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d9e529ce39e36f3d/Documents/"/>
    </mc:Choice>
  </mc:AlternateContent>
  <xr:revisionPtr revIDLastSave="124" documentId="13_ncr:1_{A4BEB5AD-66D2-4EB3-AE91-B72CF91AA2A3}" xr6:coauthVersionLast="47" xr6:coauthVersionMax="47" xr10:uidLastSave="{23390A58-4E6D-401D-9D05-90853D18A241}"/>
  <bookViews>
    <workbookView xWindow="-110" yWindow="-110" windowWidth="19420" windowHeight="11020" xr2:uid="{4F5DC691-1B86-4B9E-B22F-C08AA7D62B93}"/>
  </bookViews>
  <sheets>
    <sheet name="DataSet Table" sheetId="2" r:id="rId1"/>
    <sheet name="Skills List" sheetId="4" r:id="rId2"/>
  </sheets>
  <definedNames>
    <definedName name="_xlchart.v2.0" hidden="1">'DataSet Table'!$K$27:$K$40</definedName>
    <definedName name="_xlchart.v2.1" hidden="1">'DataSet Table'!$L$26</definedName>
    <definedName name="_xlchart.v2.2" hidden="1">'DataSet Table'!$L$27:$L$40</definedName>
    <definedName name="Slicer_Skills_Lis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K4" i="2"/>
  <c r="K5" i="2"/>
  <c r="K6" i="2"/>
  <c r="K7" i="2"/>
  <c r="K8" i="2"/>
  <c r="K9" i="2"/>
  <c r="K10" i="2"/>
  <c r="M10" i="2" s="1"/>
  <c r="K11" i="2"/>
  <c r="K12" i="2"/>
  <c r="K13" i="2"/>
  <c r="K14" i="2"/>
  <c r="M14" i="2" s="1"/>
  <c r="K15" i="2"/>
  <c r="K16" i="2"/>
  <c r="K17" i="2"/>
  <c r="K18" i="2"/>
  <c r="M18" i="2" s="1"/>
  <c r="K19" i="2"/>
  <c r="K20" i="2"/>
  <c r="K21" i="2"/>
  <c r="L6" i="2" a="1"/>
  <c r="L6" i="2" s="1"/>
  <c r="M9" i="2"/>
  <c r="M17" i="2"/>
  <c r="L5" i="2" a="1"/>
  <c r="L5" i="2" s="1"/>
  <c r="M13" i="2"/>
  <c r="L21" i="2" a="1"/>
  <c r="L21" i="2" s="1"/>
  <c r="L3" i="2" a="1"/>
  <c r="L3" i="2" s="1"/>
  <c r="L4" i="2" a="1"/>
  <c r="L4" i="2" s="1"/>
  <c r="L7" i="2" a="1"/>
  <c r="L7" i="2" s="1"/>
  <c r="M8" i="2"/>
  <c r="L11" i="2" a="1"/>
  <c r="L11" i="2" s="1"/>
  <c r="L12" i="2" a="1"/>
  <c r="L12" i="2" s="1"/>
  <c r="L15" i="2" a="1"/>
  <c r="L15" i="2" s="1"/>
  <c r="M16" i="2"/>
  <c r="L19" i="2" a="1"/>
  <c r="L19" i="2" s="1"/>
  <c r="L20" i="2" a="1"/>
  <c r="L20" i="2" s="1"/>
  <c r="K2" i="2"/>
  <c r="M2" i="2" s="1"/>
  <c r="M3" i="2"/>
  <c r="M4" i="2"/>
  <c r="Y2" i="2"/>
  <c r="T3" i="2"/>
  <c r="T4" i="2"/>
  <c r="T5" i="2"/>
  <c r="T6" i="2"/>
  <c r="T7" i="2"/>
  <c r="T8" i="2"/>
  <c r="T9" i="2"/>
  <c r="T10" i="2"/>
  <c r="T11" i="2"/>
  <c r="T12" i="2"/>
  <c r="T13" i="2"/>
  <c r="T14" i="2"/>
  <c r="T15" i="2"/>
  <c r="T16" i="2"/>
  <c r="T17" i="2"/>
  <c r="T18" i="2"/>
  <c r="T19" i="2"/>
  <c r="T20" i="2"/>
  <c r="T21" i="2"/>
  <c r="T2" i="2"/>
  <c r="M5" i="2" l="1"/>
  <c r="L17" i="2" a="1"/>
  <c r="L17" i="2" s="1"/>
  <c r="L13" i="2" a="1"/>
  <c r="L13" i="2" s="1"/>
  <c r="L9" i="2" a="1"/>
  <c r="L9" i="2" s="1"/>
  <c r="L18" i="2" a="1"/>
  <c r="L18" i="2" s="1"/>
  <c r="L16" i="2" a="1"/>
  <c r="L16" i="2" s="1"/>
  <c r="L14" i="2" a="1"/>
  <c r="L14" i="2" s="1"/>
  <c r="L10" i="2" a="1"/>
  <c r="L10" i="2" s="1"/>
  <c r="L8" i="2" a="1"/>
  <c r="L8" i="2" s="1"/>
  <c r="L2" i="2" a="1"/>
  <c r="L2" i="2" s="1"/>
  <c r="M15" i="2"/>
  <c r="M6" i="2"/>
  <c r="M20" i="2"/>
  <c r="M21" i="2"/>
  <c r="M19" i="2"/>
  <c r="M12" i="2"/>
  <c r="M7" i="2"/>
  <c r="M11" i="2"/>
  <c r="Y21" i="2"/>
  <c r="Y3" i="2"/>
  <c r="Y4" i="2"/>
  <c r="Y5" i="2"/>
  <c r="Y6" i="2"/>
  <c r="Y7" i="2"/>
  <c r="Y8" i="2"/>
  <c r="Y9" i="2"/>
  <c r="Y10" i="2"/>
  <c r="Y11" i="2"/>
  <c r="Y12" i="2"/>
  <c r="Y13" i="2"/>
  <c r="Y14" i="2"/>
  <c r="Y15" i="2"/>
  <c r="Y16" i="2"/>
  <c r="Y17" i="2"/>
  <c r="Y18" i="2"/>
  <c r="Y19" i="2"/>
  <c r="Y20" i="2"/>
  <c r="W2" i="2" l="1"/>
  <c r="W3" i="2"/>
  <c r="W4" i="2"/>
  <c r="W5" i="2"/>
  <c r="W6" i="2"/>
  <c r="W7" i="2"/>
  <c r="W8" i="2"/>
  <c r="W9" i="2"/>
  <c r="W10" i="2"/>
  <c r="W11" i="2"/>
  <c r="W12" i="2"/>
  <c r="W13" i="2"/>
  <c r="W14" i="2"/>
  <c r="W15" i="2"/>
  <c r="W16" i="2"/>
  <c r="W17" i="2"/>
  <c r="W18" i="2"/>
  <c r="W19" i="2"/>
  <c r="W20" i="2"/>
  <c r="W21" i="2"/>
  <c r="V3" i="2"/>
  <c r="V4" i="2"/>
  <c r="V5" i="2"/>
  <c r="V6" i="2"/>
  <c r="V7" i="2"/>
  <c r="V8" i="2"/>
  <c r="V9" i="2"/>
  <c r="V10" i="2"/>
  <c r="V11" i="2"/>
  <c r="V12" i="2"/>
  <c r="V13" i="2"/>
  <c r="V14" i="2"/>
  <c r="V15" i="2"/>
  <c r="V16" i="2"/>
  <c r="V17" i="2"/>
  <c r="V18" i="2"/>
  <c r="V19" i="2"/>
  <c r="V20" i="2"/>
  <c r="V21" i="2"/>
  <c r="V2" i="2"/>
  <c r="U3" i="2"/>
  <c r="U4" i="2"/>
  <c r="U5" i="2"/>
  <c r="U6" i="2"/>
  <c r="U7" i="2"/>
  <c r="U8" i="2"/>
  <c r="U9" i="2"/>
  <c r="U10" i="2"/>
  <c r="U11" i="2"/>
  <c r="U12" i="2"/>
  <c r="U13" i="2"/>
  <c r="U14" i="2"/>
  <c r="U15" i="2"/>
  <c r="U16" i="2"/>
  <c r="U17" i="2"/>
  <c r="U18" i="2"/>
  <c r="U19" i="2"/>
  <c r="U20" i="2"/>
  <c r="U21" i="2"/>
  <c r="U2" i="2"/>
  <c r="E28" i="2"/>
  <c r="E27" i="2"/>
  <c r="D27" i="2" a="1"/>
  <c r="D27" i="2" s="1"/>
  <c r="R3" i="2" a="1"/>
  <c r="R3" i="2" s="1"/>
  <c r="R4" i="2" a="1"/>
  <c r="R4" i="2" s="1"/>
  <c r="R5" i="2" a="1"/>
  <c r="R5" i="2" s="1"/>
  <c r="R6" i="2" a="1"/>
  <c r="R6" i="2" s="1"/>
  <c r="R7" i="2" a="1"/>
  <c r="R7" i="2" s="1"/>
  <c r="R8" i="2" a="1"/>
  <c r="R8" i="2" s="1"/>
  <c r="R9" i="2" a="1"/>
  <c r="R9" i="2" s="1"/>
  <c r="R10" i="2" a="1"/>
  <c r="R10" i="2" s="1"/>
  <c r="R11" i="2" a="1"/>
  <c r="R11" i="2" s="1"/>
  <c r="R12" i="2" a="1"/>
  <c r="R12" i="2" s="1"/>
  <c r="R13" i="2" a="1"/>
  <c r="R13" i="2" s="1"/>
  <c r="R14" i="2" a="1"/>
  <c r="R14" i="2" s="1"/>
  <c r="R15" i="2" a="1"/>
  <c r="R15" i="2" s="1"/>
  <c r="R16" i="2" a="1"/>
  <c r="R16" i="2" s="1"/>
  <c r="R17" i="2" a="1"/>
  <c r="R17" i="2" s="1"/>
  <c r="R18" i="2" a="1"/>
  <c r="R18" i="2" s="1"/>
  <c r="R19" i="2" a="1"/>
  <c r="R19" i="2" s="1"/>
  <c r="R20" i="2" a="1"/>
  <c r="R20" i="2" s="1"/>
  <c r="R21" i="2" a="1"/>
  <c r="R21" i="2" s="1"/>
  <c r="R2" i="2" a="1"/>
  <c r="R2" i="2" s="1"/>
  <c r="K27" i="2" a="1"/>
  <c r="K27" i="2" s="1"/>
  <c r="A23" i="2"/>
  <c r="A24" i="2" s="1" a="1"/>
  <c r="E31" i="2" s="1"/>
  <c r="E32" i="2" l="1"/>
  <c r="E34" i="2"/>
  <c r="E30" i="2"/>
  <c r="E33" i="2"/>
  <c r="E29" i="2"/>
  <c r="E35" i="2" s="1"/>
  <c r="A24" i="2"/>
  <c r="A26" i="2" s="1" a="1"/>
  <c r="E36" i="2" l="1"/>
  <c r="A26" i="2"/>
  <c r="B26" i="2" s="1"/>
  <c r="B28" i="2" s="1"/>
  <c r="B27" i="2"/>
  <c r="Q3" i="2" l="1"/>
  <c r="Q4" i="2"/>
  <c r="Q5" i="2"/>
  <c r="Q6" i="2"/>
  <c r="Q7" i="2"/>
  <c r="Q8" i="2"/>
  <c r="Q9" i="2"/>
  <c r="Q10" i="2"/>
  <c r="Q11" i="2"/>
  <c r="Q12" i="2"/>
  <c r="Q13" i="2"/>
  <c r="Q14" i="2"/>
  <c r="Q15" i="2"/>
  <c r="Q16" i="2"/>
  <c r="Q17" i="2"/>
  <c r="Q18" i="2"/>
  <c r="Q19" i="2"/>
  <c r="Q20" i="2"/>
  <c r="Q21" i="2"/>
  <c r="Q2" i="2"/>
  <c r="N17" i="2"/>
  <c r="N18" i="2"/>
  <c r="N19" i="2"/>
  <c r="N20" i="2"/>
  <c r="N21" i="2"/>
  <c r="O19" i="2" l="1"/>
  <c r="S19" i="2" a="1"/>
  <c r="S19" i="2" s="1"/>
  <c r="O18" i="2"/>
  <c r="S18" i="2" a="1"/>
  <c r="S18" i="2" s="1"/>
  <c r="O20" i="2"/>
  <c r="S20" i="2" a="1"/>
  <c r="S20" i="2" s="1"/>
  <c r="O21" i="2"/>
  <c r="S21" i="2" a="1"/>
  <c r="S21" i="2" s="1"/>
  <c r="O17" i="2"/>
  <c r="S17" i="2" a="1"/>
  <c r="S17" i="2" s="1"/>
  <c r="P19" i="2"/>
  <c r="P21" i="2"/>
  <c r="P17" i="2"/>
  <c r="P20" i="2"/>
  <c r="P18" i="2"/>
  <c r="N3" i="2" l="1"/>
  <c r="N4" i="2"/>
  <c r="N5" i="2"/>
  <c r="N6" i="2"/>
  <c r="N7" i="2"/>
  <c r="N8" i="2"/>
  <c r="N9" i="2"/>
  <c r="N10" i="2"/>
  <c r="N11" i="2"/>
  <c r="N12" i="2"/>
  <c r="N13" i="2"/>
  <c r="N14" i="2"/>
  <c r="N15" i="2"/>
  <c r="N16" i="2"/>
  <c r="N2" i="2"/>
  <c r="N30" i="2" l="1"/>
  <c r="O5" i="2"/>
  <c r="S5" i="2" a="1"/>
  <c r="S5" i="2" s="1"/>
  <c r="F30" i="2"/>
  <c r="N38" i="2"/>
  <c r="O14" i="2"/>
  <c r="S14" i="2" a="1"/>
  <c r="S14" i="2" s="1"/>
  <c r="N31" i="2"/>
  <c r="O6" i="2"/>
  <c r="S6" i="2" a="1"/>
  <c r="S6" i="2" s="1"/>
  <c r="F31" i="2"/>
  <c r="N37" i="2"/>
  <c r="O13" i="2"/>
  <c r="S13" i="2" a="1"/>
  <c r="S13" i="2" s="1"/>
  <c r="F36" i="2"/>
  <c r="O8" i="2"/>
  <c r="L33" i="2" s="1"/>
  <c r="F33" i="2"/>
  <c r="S8" i="2" a="1"/>
  <c r="S8" i="2" s="1"/>
  <c r="N35" i="2"/>
  <c r="O10" i="2"/>
  <c r="S10" i="2" a="1"/>
  <c r="S10" i="2" s="1"/>
  <c r="F34" i="2"/>
  <c r="N27" i="2"/>
  <c r="O2" i="2"/>
  <c r="L27" i="2" s="1"/>
  <c r="S2" i="2" a="1"/>
  <c r="S2" i="2" s="1"/>
  <c r="F27" i="2"/>
  <c r="N34" i="2"/>
  <c r="O9" i="2"/>
  <c r="L34" i="2" s="1"/>
  <c r="S9" i="2" a="1"/>
  <c r="S9" i="2" s="1"/>
  <c r="N40" i="2"/>
  <c r="O16" i="2"/>
  <c r="S16" i="2" a="1"/>
  <c r="S16" i="2" s="1"/>
  <c r="O12" i="2"/>
  <c r="S12" i="2" a="1"/>
  <c r="S12" i="2" s="1"/>
  <c r="N29" i="2"/>
  <c r="O4" i="2"/>
  <c r="S4" i="2" a="1"/>
  <c r="S4" i="2" s="1"/>
  <c r="F29" i="2"/>
  <c r="N39" i="2"/>
  <c r="O15" i="2"/>
  <c r="L39" i="2" s="1"/>
  <c r="S15" i="2" a="1"/>
  <c r="S15" i="2" s="1"/>
  <c r="N36" i="2"/>
  <c r="O11" i="2"/>
  <c r="S11" i="2" a="1"/>
  <c r="S11" i="2" s="1"/>
  <c r="F35" i="2"/>
  <c r="N32" i="2"/>
  <c r="O7" i="2"/>
  <c r="S7" i="2" a="1"/>
  <c r="S7" i="2" s="1"/>
  <c r="F32" i="2"/>
  <c r="N28" i="2"/>
  <c r="O3" i="2"/>
  <c r="S3" i="2" a="1"/>
  <c r="S3" i="2" s="1"/>
  <c r="F28" i="2"/>
  <c r="N33" i="2"/>
  <c r="P2" i="2"/>
  <c r="L37" i="2"/>
  <c r="L30" i="2"/>
  <c r="P16" i="2"/>
  <c r="P12" i="2"/>
  <c r="P8" i="2"/>
  <c r="P4" i="2"/>
  <c r="P15" i="2"/>
  <c r="P11" i="2"/>
  <c r="P7" i="2"/>
  <c r="P3" i="2"/>
  <c r="L38" i="2"/>
  <c r="L35" i="2"/>
  <c r="L31" i="2"/>
  <c r="L40" i="2"/>
  <c r="L29" i="2"/>
  <c r="P9" i="2"/>
  <c r="P14" i="2"/>
  <c r="P6" i="2"/>
  <c r="P13" i="2"/>
  <c r="P5" i="2"/>
  <c r="P10" i="2"/>
  <c r="L28" i="2"/>
  <c r="L36" i="2"/>
  <c r="L32" i="2"/>
  <c r="M36" i="2" l="1"/>
  <c r="M35" i="2"/>
  <c r="M30" i="2"/>
  <c r="M28" i="2"/>
  <c r="M29" i="2"/>
  <c r="M32" i="2"/>
  <c r="M31" i="2"/>
  <c r="M34" i="2"/>
  <c r="M33" i="2"/>
  <c r="M40" i="2"/>
  <c r="M39" i="2"/>
  <c r="M38" i="2"/>
  <c r="M37" i="2"/>
  <c r="M27" i="2"/>
  <c r="B29" i="2" s="1"/>
  <c r="B31" i="2" s="1"/>
  <c r="B30" i="2" l="1"/>
  <c r="B32" i="2" s="1"/>
  <c r="B33" i="2"/>
  <c r="B35" i="2" s="1"/>
  <c r="B34" i="2"/>
  <c r="B36" i="2" l="1"/>
  <c r="B38" i="2" s="1"/>
  <c r="B40" i="2" s="1"/>
  <c r="B37" i="2"/>
  <c r="B39" i="2" l="1"/>
  <c r="B41" i="2" s="1"/>
  <c r="B43" i="2" s="1"/>
  <c r="B42" i="2" l="1"/>
  <c r="B44" i="2" s="1"/>
  <c r="B46" i="2" l="1"/>
  <c r="B4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<sst xmlns="http://schemas.openxmlformats.org/spreadsheetml/2006/main" count="215" uniqueCount="134">
  <si>
    <t>Kenya</t>
  </si>
  <si>
    <t>Engineering</t>
  </si>
  <si>
    <t>Junior Software Developer</t>
  </si>
  <si>
    <t>Brian Ouma</t>
  </si>
  <si>
    <t>E015</t>
  </si>
  <si>
    <t>UK</t>
  </si>
  <si>
    <t>Marketing</t>
  </si>
  <si>
    <t>Growth Marketing Specialist</t>
  </si>
  <si>
    <t>Jane Smith</t>
  </si>
  <si>
    <t>E014</t>
  </si>
  <si>
    <t>Egypt</t>
  </si>
  <si>
    <t>Data</t>
  </si>
  <si>
    <t>Data Science Intern</t>
  </si>
  <si>
    <t>Ahmed Hassan</t>
  </si>
  <si>
    <t>E013</t>
  </si>
  <si>
    <t>Spain</t>
  </si>
  <si>
    <t>People</t>
  </si>
  <si>
    <t>People &amp; Culture Manager</t>
  </si>
  <si>
    <t>Linda Martinez</t>
  </si>
  <si>
    <t>E012</t>
  </si>
  <si>
    <t>Nigeria</t>
  </si>
  <si>
    <t>Finance</t>
  </si>
  <si>
    <t>Daniel Okafor</t>
  </si>
  <si>
    <t>E011</t>
  </si>
  <si>
    <t>Software Engineer</t>
  </si>
  <si>
    <t>Grace Wambui</t>
  </si>
  <si>
    <t>E010</t>
  </si>
  <si>
    <t>Operations</t>
  </si>
  <si>
    <t>Operations Supervisor</t>
  </si>
  <si>
    <t>Joseph Otieno</t>
  </si>
  <si>
    <t>E009</t>
  </si>
  <si>
    <t>UAE</t>
  </si>
  <si>
    <t>Sales</t>
  </si>
  <si>
    <t>VP of Sales</t>
  </si>
  <si>
    <t>Fatima Ali</t>
  </si>
  <si>
    <t>E008</t>
  </si>
  <si>
    <t>USA</t>
  </si>
  <si>
    <t>Finance Director</t>
  </si>
  <si>
    <t>Robert Brown</t>
  </si>
  <si>
    <t>E007</t>
  </si>
  <si>
    <t>Zimbabwe</t>
  </si>
  <si>
    <t>Support</t>
  </si>
  <si>
    <t>Customer Support Executive</t>
  </si>
  <si>
    <t>Mary Ndlovu</t>
  </si>
  <si>
    <t>E006</t>
  </si>
  <si>
    <t>China</t>
  </si>
  <si>
    <t>IT</t>
  </si>
  <si>
    <t>Cloud Engineer</t>
  </si>
  <si>
    <t>David Chen</t>
  </si>
  <si>
    <t>E005</t>
  </si>
  <si>
    <t>Marketing Lead</t>
  </si>
  <si>
    <t>Amina Yusuf</t>
  </si>
  <si>
    <t>E004</t>
  </si>
  <si>
    <t>Ghana</t>
  </si>
  <si>
    <t>Human Resources</t>
  </si>
  <si>
    <t>Junior HR Officer</t>
  </si>
  <si>
    <t>Peter Mensah</t>
  </si>
  <si>
    <t>E003</t>
  </si>
  <si>
    <t>Sales Manager</t>
  </si>
  <si>
    <t>Sarah Ahmed</t>
  </si>
  <si>
    <t>E002</t>
  </si>
  <si>
    <t>Senior Data Analyst</t>
  </si>
  <si>
    <t>John Kamau</t>
  </si>
  <si>
    <t>E001</t>
  </si>
  <si>
    <t>Salary_USD</t>
  </si>
  <si>
    <t>Country</t>
  </si>
  <si>
    <t>Hire_Date</t>
  </si>
  <si>
    <t>Department Source</t>
  </si>
  <si>
    <t>Job_Title</t>
  </si>
  <si>
    <t>Full_Name</t>
  </si>
  <si>
    <t>Employee_ID</t>
  </si>
  <si>
    <t>Experience</t>
  </si>
  <si>
    <t>Status</t>
  </si>
  <si>
    <t>Performance</t>
  </si>
  <si>
    <t>Bonus</t>
  </si>
  <si>
    <t>Total Compensation</t>
  </si>
  <si>
    <t>Bonus Stutus</t>
  </si>
  <si>
    <t>E-mail account</t>
  </si>
  <si>
    <t>Johnkamau@gmail.com</t>
  </si>
  <si>
    <t>Sarahkamau@gmail.com</t>
  </si>
  <si>
    <t>Peterkamau@gmail.com</t>
  </si>
  <si>
    <t>Aminakamau@gmail.com</t>
  </si>
  <si>
    <t>Davidkamau@gmail.com</t>
  </si>
  <si>
    <t>Marykamau@gmail.com</t>
  </si>
  <si>
    <t>Robertkamau@gmail.com</t>
  </si>
  <si>
    <t>Fatimakamau@gmail.com</t>
  </si>
  <si>
    <t>Josephkamau@gmail.com</t>
  </si>
  <si>
    <t>Gracekamau@gmail.com</t>
  </si>
  <si>
    <t>Danielkamau@gmail.com</t>
  </si>
  <si>
    <t>Lindakamau@gmail.com</t>
  </si>
  <si>
    <t>Ahmedkamau@gmail.com</t>
  </si>
  <si>
    <t>Janekamau@gmail.com</t>
  </si>
  <si>
    <t>Briankamau@gmail.com</t>
  </si>
  <si>
    <t>E016</t>
  </si>
  <si>
    <t>E017</t>
  </si>
  <si>
    <t>E018</t>
  </si>
  <si>
    <t>E019</t>
  </si>
  <si>
    <t>E020</t>
  </si>
  <si>
    <t>Innocent Oga</t>
  </si>
  <si>
    <t>Skills List</t>
  </si>
  <si>
    <t>Kafka, DataBricks, Spark, Python, GCP</t>
  </si>
  <si>
    <t>Power BI, GCP, Airflow, Hadoop, R</t>
  </si>
  <si>
    <t>Azure, Java, SQL, DataBricks</t>
  </si>
  <si>
    <t>DataBricks, Hadoop, Java</t>
  </si>
  <si>
    <t>Snowflake, Airflow, DataBricks</t>
  </si>
  <si>
    <t>Scala, Azure, R, Kafka</t>
  </si>
  <si>
    <t>Snowflake, Excel, Scala</t>
  </si>
  <si>
    <t>Excel, Power BI, R</t>
  </si>
  <si>
    <t>Scala, R, Hadoop, Power BI, SQL</t>
  </si>
  <si>
    <t>Emma Ochi</t>
  </si>
  <si>
    <t>Mark Ian</t>
  </si>
  <si>
    <t>Jane Samiai</t>
  </si>
  <si>
    <t>Rihanna Weks</t>
  </si>
  <si>
    <t>InnocentOga@gmail.com</t>
  </si>
  <si>
    <t>EmmaOchi@gmail.com</t>
  </si>
  <si>
    <t>MarkIan@gmail.com</t>
  </si>
  <si>
    <t>JaneSamiai@gmail.com</t>
  </si>
  <si>
    <t>RihannaWeks@gmail.com</t>
  </si>
  <si>
    <t>Uganda</t>
  </si>
  <si>
    <t>Bonus&amp;IT</t>
  </si>
  <si>
    <t>Bonus Status</t>
  </si>
  <si>
    <t>Skills</t>
  </si>
  <si>
    <t>Count</t>
  </si>
  <si>
    <t>Department</t>
  </si>
  <si>
    <t>Average Bonus</t>
  </si>
  <si>
    <t>Job Tittle</t>
  </si>
  <si>
    <t>Annual Salary</t>
  </si>
  <si>
    <t>%</t>
  </si>
  <si>
    <t>Sum of Salary_USD</t>
  </si>
  <si>
    <t>Salary</t>
  </si>
  <si>
    <t>Senior</t>
  </si>
  <si>
    <t>VP</t>
  </si>
  <si>
    <t>Seniority Level</t>
  </si>
  <si>
    <t>Sales &amp;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</si>
</sst>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0.0"/>
  </numFmts>
  <fonts count="9" x14ac:knownFonts="1">
    <font>
      <sz val="11"/>
      <color theme="1"/>
      <name val="Dubai"/>
      <family val="2"/>
    </font>
    <font>
      <sz val="11"/>
      <color theme="1"/>
      <name val="Dubai"/>
      <family val="2"/>
    </font>
    <font>
      <u/>
      <sz val="11"/>
      <color theme="10"/>
      <name val="Dubai"/>
      <family val="2"/>
    </font>
    <font>
      <sz val="8"/>
      <name val="Dubai"/>
      <family val="2"/>
    </font>
    <font>
      <b/>
      <sz val="11"/>
      <color theme="1"/>
      <name val="Segoe UI"/>
      <family val="2"/>
    </font>
    <font>
      <sz val="11"/>
      <color theme="1"/>
      <name val="Segoe UI"/>
      <family val="2"/>
    </font>
    <font>
      <b/>
      <sz val="10"/>
      <color theme="1"/>
      <name val="Segoe UI"/>
      <family val="2"/>
    </font>
    <font>
      <sz val="10"/>
      <color theme="1"/>
      <name val="Segoe UI"/>
      <family val="2"/>
    </font>
    <font>
      <u/>
      <sz val="11"/>
      <color theme="1"/>
      <name val="Segoe UI"/>
      <family val="2"/>
    </font>
  </fonts>
  <fills count="5">
    <fill>
      <patternFill patternType="none"/>
    </fill>
    <fill>
      <patternFill patternType="gray125"/>
    </fill>
    <fill>
      <patternFill patternType="solid">
        <fgColor theme="2" tint="-9.9978637043366805E-2"/>
        <bgColor indexed="64"/>
      </patternFill>
    </fill>
    <fill>
      <patternFill patternType="solid">
        <fgColor theme="3" tint="0.89999084444715716"/>
        <bgColor indexed="64"/>
      </patternFill>
    </fill>
    <fill>
      <patternFill patternType="solid">
        <fgColor theme="4"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61">
    <xf numFmtId="0" fontId="0" fillId="0" borderId="0" xfId="0"/>
    <xf numFmtId="164" fontId="0" fillId="0" borderId="0" xfId="0" applyNumberFormat="1"/>
    <xf numFmtId="0" fontId="0" fillId="0" borderId="1" xfId="0" applyBorder="1"/>
    <xf numFmtId="0" fontId="5" fillId="0" borderId="0" xfId="0" applyFont="1"/>
    <xf numFmtId="0" fontId="5" fillId="0" borderId="1" xfId="0" applyFont="1" applyBorder="1"/>
    <xf numFmtId="0" fontId="5" fillId="0" borderId="0" xfId="0" applyFont="1" applyAlignment="1">
      <alignment horizontal="center"/>
    </xf>
    <xf numFmtId="164" fontId="5" fillId="0" borderId="0" xfId="0" applyNumberFormat="1" applyFont="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5" fillId="0" borderId="1" xfId="0" applyFont="1" applyBorder="1" applyAlignment="1">
      <alignment horizontal="center"/>
    </xf>
    <xf numFmtId="0" fontId="4" fillId="0" borderId="1" xfId="0" applyFont="1" applyBorder="1"/>
    <xf numFmtId="10" fontId="4" fillId="0" borderId="1" xfId="0" applyNumberFormat="1" applyFont="1" applyBorder="1"/>
    <xf numFmtId="6" fontId="5" fillId="0" borderId="10" xfId="0" applyNumberFormat="1" applyFont="1" applyBorder="1"/>
    <xf numFmtId="10" fontId="4" fillId="0" borderId="0" xfId="0" applyNumberFormat="1" applyFont="1"/>
    <xf numFmtId="0" fontId="5" fillId="0" borderId="12" xfId="0" applyFont="1" applyBorder="1" applyAlignment="1">
      <alignment horizontal="center"/>
    </xf>
    <xf numFmtId="164" fontId="5" fillId="0" borderId="12" xfId="1" applyNumberFormat="1" applyFont="1" applyBorder="1"/>
    <xf numFmtId="0" fontId="5" fillId="0" borderId="12" xfId="0" applyFont="1" applyBorder="1"/>
    <xf numFmtId="0" fontId="4" fillId="0" borderId="12" xfId="0" applyFont="1" applyBorder="1"/>
    <xf numFmtId="164" fontId="5" fillId="0" borderId="1" xfId="1" applyNumberFormat="1" applyFont="1" applyBorder="1"/>
    <xf numFmtId="164" fontId="5" fillId="0" borderId="1" xfId="0" applyNumberFormat="1" applyFont="1" applyBorder="1"/>
    <xf numFmtId="164" fontId="5" fillId="0" borderId="13" xfId="1" applyNumberFormat="1" applyFont="1" applyBorder="1"/>
    <xf numFmtId="164" fontId="5" fillId="0" borderId="14" xfId="1" applyNumberFormat="1" applyFont="1" applyBorder="1"/>
    <xf numFmtId="10" fontId="4" fillId="0" borderId="15" xfId="0" applyNumberFormat="1" applyFont="1" applyBorder="1"/>
    <xf numFmtId="10" fontId="4" fillId="0" borderId="16" xfId="0" applyNumberFormat="1" applyFont="1" applyBorder="1"/>
    <xf numFmtId="0" fontId="4" fillId="0" borderId="0" xfId="0" applyFont="1"/>
    <xf numFmtId="6" fontId="5" fillId="0" borderId="0" xfId="0" applyNumberFormat="1" applyFont="1"/>
    <xf numFmtId="164" fontId="5" fillId="0" borderId="10" xfId="1" applyNumberFormat="1" applyFont="1" applyBorder="1"/>
    <xf numFmtId="0" fontId="5" fillId="0" borderId="17" xfId="0" applyFont="1" applyBorder="1"/>
    <xf numFmtId="6" fontId="5" fillId="0" borderId="18" xfId="0" applyNumberFormat="1" applyFont="1" applyBorder="1"/>
    <xf numFmtId="164" fontId="5" fillId="0" borderId="17" xfId="1" applyNumberFormat="1" applyFont="1" applyBorder="1"/>
    <xf numFmtId="164" fontId="5" fillId="0" borderId="5" xfId="1" applyNumberFormat="1" applyFont="1" applyBorder="1"/>
    <xf numFmtId="6" fontId="5" fillId="0" borderId="19" xfId="0" applyNumberFormat="1" applyFont="1" applyBorder="1"/>
    <xf numFmtId="164" fontId="5" fillId="0" borderId="7" xfId="1" applyNumberFormat="1" applyFont="1" applyBorder="1"/>
    <xf numFmtId="0" fontId="5" fillId="0" borderId="8" xfId="0" applyFont="1" applyBorder="1"/>
    <xf numFmtId="164" fontId="5" fillId="0" borderId="9" xfId="1" applyNumberFormat="1" applyFont="1" applyBorder="1"/>
    <xf numFmtId="164" fontId="5" fillId="0" borderId="19" xfId="1" applyNumberFormat="1" applyFont="1" applyBorder="1"/>
    <xf numFmtId="164" fontId="5" fillId="0" borderId="18" xfId="1" applyNumberFormat="1" applyFont="1" applyBorder="1"/>
    <xf numFmtId="0" fontId="0" fillId="0" borderId="0" xfId="0" pivotButton="1"/>
    <xf numFmtId="0" fontId="4" fillId="4" borderId="0" xfId="0" applyFont="1" applyFill="1"/>
    <xf numFmtId="0" fontId="6" fillId="4" borderId="1" xfId="0" applyFont="1" applyFill="1" applyBorder="1" applyAlignment="1">
      <alignment horizontal="center" vertical="center" wrapText="1"/>
    </xf>
    <xf numFmtId="0" fontId="4" fillId="4" borderId="1" xfId="0" applyFont="1" applyFill="1" applyBorder="1"/>
    <xf numFmtId="0" fontId="4" fillId="4" borderId="1" xfId="0" applyFont="1" applyFill="1" applyBorder="1" applyAlignment="1">
      <alignment horizontal="center"/>
    </xf>
    <xf numFmtId="0" fontId="6" fillId="4" borderId="0" xfId="0" applyFont="1" applyFill="1" applyAlignment="1">
      <alignment horizontal="center" vertical="center" wrapText="1"/>
    </xf>
    <xf numFmtId="0" fontId="7" fillId="0" borderId="1" xfId="0" applyFont="1" applyBorder="1" applyAlignment="1">
      <alignment vertical="center" wrapText="1"/>
    </xf>
    <xf numFmtId="0" fontId="8" fillId="0" borderId="1" xfId="3" applyFont="1" applyBorder="1" applyAlignment="1">
      <alignment vertical="center" wrapText="1"/>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64" fontId="7" fillId="0" borderId="1" xfId="1" applyNumberFormat="1" applyFont="1" applyBorder="1" applyAlignment="1">
      <alignment horizontal="center" vertical="center" wrapText="1"/>
    </xf>
    <xf numFmtId="9" fontId="5" fillId="0" borderId="1" xfId="2" applyFont="1" applyBorder="1"/>
    <xf numFmtId="0" fontId="7" fillId="0" borderId="2" xfId="0" applyFont="1" applyBorder="1" applyAlignment="1">
      <alignment vertical="center" wrapText="1"/>
    </xf>
    <xf numFmtId="0" fontId="8" fillId="0" borderId="0" xfId="3" applyFont="1"/>
    <xf numFmtId="9" fontId="5" fillId="0" borderId="11" xfId="2" applyFont="1" applyBorder="1"/>
    <xf numFmtId="0" fontId="4" fillId="2" borderId="8" xfId="0" applyFont="1" applyFill="1" applyBorder="1"/>
    <xf numFmtId="0" fontId="4" fillId="2" borderId="9" xfId="0" applyFont="1" applyFill="1" applyBorder="1"/>
    <xf numFmtId="0" fontId="4" fillId="3" borderId="20" xfId="0" applyFont="1" applyFill="1" applyBorder="1"/>
    <xf numFmtId="0" fontId="4" fillId="3" borderId="22" xfId="0" applyFont="1" applyFill="1" applyBorder="1"/>
    <xf numFmtId="0" fontId="4" fillId="3" borderId="3" xfId="0" applyFont="1" applyFill="1" applyBorder="1"/>
    <xf numFmtId="0" fontId="4" fillId="3" borderId="21" xfId="0" applyFont="1" applyFill="1" applyBorder="1"/>
    <xf numFmtId="0" fontId="4" fillId="3" borderId="3" xfId="0" applyFont="1" applyFill="1" applyBorder="1" applyAlignment="1">
      <alignment horizontal="center"/>
    </xf>
  </cellXfs>
  <cellStyles count="4">
    <cellStyle name="Currency" xfId="1" builtinId="4"/>
    <cellStyle name="Hyperlink" xfId="3" builtinId="8"/>
    <cellStyle name="Normal" xfId="0" builtinId="0"/>
    <cellStyle name="Percent" xfId="2" builtinId="5"/>
  </cellStyles>
  <dxfs count="6">
    <dxf>
      <font>
        <b/>
        <i val="0"/>
        <color rgb="FFFFC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Department</a:t>
            </a:r>
            <a:r>
              <a:rPr lang="en-US" baseline="0"/>
              <a:t> aNNUAL SALARY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'DataSet Table'!$E$26</c:f>
              <c:strCache>
                <c:ptCount val="1"/>
                <c:pt idx="0">
                  <c:v>Annual Salary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63-455D-BF20-658898CC01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63-455D-BF20-658898CC019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63-455D-BF20-658898CC019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163-455D-BF20-658898CC019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163-455D-BF20-658898CC019E}"/>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163-455D-BF20-658898CC019E}"/>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163-455D-BF20-658898CC019E}"/>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163-455D-BF20-658898CC019E}"/>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163-455D-BF20-658898CC019E}"/>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163-455D-BF20-658898CC01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'DataSet Table'!$D$27:$D$36</c:f>
              <c:strCache>
                <c:ptCount val="10"/>
                <c:pt idx="0">
                  <c:v>Data</c:v>
                </c:pt>
                <c:pt idx="1">
                  <c:v>Sales</c:v>
                </c:pt>
                <c:pt idx="2">
                  <c:v>Human Resources</c:v>
                </c:pt>
                <c:pt idx="3">
                  <c:v>Marketing</c:v>
                </c:pt>
                <c:pt idx="4">
                  <c:v>IT</c:v>
                </c:pt>
                <c:pt idx="5">
                  <c:v>Support</c:v>
                </c:pt>
                <c:pt idx="6">
                  <c:v>Finance</c:v>
                </c:pt>
                <c:pt idx="7">
                  <c:v>Operations</c:v>
                </c:pt>
                <c:pt idx="8">
                  <c:v>Engineering</c:v>
                </c:pt>
                <c:pt idx="9">
                  <c:v>People</c:v>
                </c:pt>
              </c:strCache>
            </c:strRef>
          </c:cat>
          <c:val>
            <c:numRef>
              <c:f>'DataSet Table'!$E$27:$E$36</c:f>
              <c:numCache>
                <c:formatCode>_("$"* #,##0_);_("$"* \(#,##0\);_("$"* "-"??_);_(@_)</c:formatCode>
                <c:ptCount val="10"/>
                <c:pt idx="0">
                  <c:v>5700</c:v>
                </c:pt>
                <c:pt idx="1">
                  <c:v>14800</c:v>
                </c:pt>
                <c:pt idx="2">
                  <c:v>2200</c:v>
                </c:pt>
                <c:pt idx="3">
                  <c:v>8900</c:v>
                </c:pt>
                <c:pt idx="4">
                  <c:v>11399</c:v>
                </c:pt>
                <c:pt idx="5">
                  <c:v>7600</c:v>
                </c:pt>
                <c:pt idx="6">
                  <c:v>18800</c:v>
                </c:pt>
                <c:pt idx="7">
                  <c:v>3900</c:v>
                </c:pt>
                <c:pt idx="8">
                  <c:v>9700</c:v>
                </c:pt>
                <c:pt idx="9">
                  <c:v>6000</c:v>
                </c:pt>
              </c:numCache>
            </c:numRef>
          </c:val>
          <c:extLst>
            <c:ext xmlns:c16="http://schemas.microsoft.com/office/drawing/2014/chart" uri="{C3380CC4-5D6E-409C-BE32-E72D297353CC}">
              <c16:uniqueId val="{00000000-24B9-4F87-B07A-ADE9BFCF96E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'DataSet Table'!$B$25</c:f>
              <c:strCache>
                <c:ptCount val="1"/>
                <c:pt idx="0">
                  <c:v>Count</c:v>
                </c:pt>
              </c:strCache>
            </c:strRef>
          </c:tx>
          <c:spPr>
            <a:solidFill>
              <a:schemeClr val="accent2"/>
            </a:solidFill>
            <a:ln>
              <a:noFill/>
            </a:ln>
            <a:effectLst/>
          </c:spPr>
          <c:invertIfNegative val="0"/>
          <c:cat>
            <c:strRef>
              <c:f>'DataSet Table'!$A$26:$A$46</c:f>
              <c:strCache>
                <c:ptCount val="21"/>
                <c:pt idx="0">
                  <c:v>Kafka</c:v>
                </c:pt>
                <c:pt idx="1">
                  <c:v> DataBricks</c:v>
                </c:pt>
                <c:pt idx="2">
                  <c:v> Spark</c:v>
                </c:pt>
                <c:pt idx="3">
                  <c:v> Python</c:v>
                </c:pt>
                <c:pt idx="4">
                  <c:v> GCP</c:v>
                </c:pt>
                <c:pt idx="5">
                  <c:v>Power BI</c:v>
                </c:pt>
                <c:pt idx="6">
                  <c:v> Airflow</c:v>
                </c:pt>
                <c:pt idx="7">
                  <c:v> Hadoop</c:v>
                </c:pt>
                <c:pt idx="8">
                  <c:v> R</c:v>
                </c:pt>
                <c:pt idx="9">
                  <c:v>Azure</c:v>
                </c:pt>
                <c:pt idx="10">
                  <c:v> Java</c:v>
                </c:pt>
                <c:pt idx="11">
                  <c:v> SQL</c:v>
                </c:pt>
                <c:pt idx="12">
                  <c:v>DataBricks</c:v>
                </c:pt>
                <c:pt idx="13">
                  <c:v>Snowflake</c:v>
                </c:pt>
                <c:pt idx="14">
                  <c:v>Scala</c:v>
                </c:pt>
                <c:pt idx="15">
                  <c:v> Azure</c:v>
                </c:pt>
                <c:pt idx="16">
                  <c:v> Kafka</c:v>
                </c:pt>
                <c:pt idx="17">
                  <c:v> Excel</c:v>
                </c:pt>
                <c:pt idx="18">
                  <c:v> Scala</c:v>
                </c:pt>
                <c:pt idx="19">
                  <c:v>Excel</c:v>
                </c:pt>
                <c:pt idx="20">
                  <c:v> Power BI</c:v>
                </c:pt>
              </c:strCache>
            </c:strRef>
          </c:cat>
          <c:val>
            <c:numRef>
              <c:f>'DataSet Table'!$B$26:$B$46</c:f>
              <c:numCache>
                <c:formatCode>General</c:formatCode>
                <c:ptCount val="21"/>
                <c:pt idx="0">
                  <c:v>3</c:v>
                </c:pt>
                <c:pt idx="1">
                  <c:v>9</c:v>
                </c:pt>
                <c:pt idx="2">
                  <c:v>3</c:v>
                </c:pt>
                <c:pt idx="3">
                  <c:v>3</c:v>
                </c:pt>
                <c:pt idx="4">
                  <c:v>5</c:v>
                </c:pt>
                <c:pt idx="5">
                  <c:v>2</c:v>
                </c:pt>
                <c:pt idx="6">
                  <c:v>5</c:v>
                </c:pt>
                <c:pt idx="7">
                  <c:v>8</c:v>
                </c:pt>
                <c:pt idx="8">
                  <c:v>7</c:v>
                </c:pt>
                <c:pt idx="9">
                  <c:v>3</c:v>
                </c:pt>
                <c:pt idx="10">
                  <c:v>6</c:v>
                </c:pt>
                <c:pt idx="11">
                  <c:v>6</c:v>
                </c:pt>
                <c:pt idx="12">
                  <c:v>3</c:v>
                </c:pt>
                <c:pt idx="13">
                  <c:v>4</c:v>
                </c:pt>
                <c:pt idx="14">
                  <c:v>4</c:v>
                </c:pt>
                <c:pt idx="15">
                  <c:v>1</c:v>
                </c:pt>
                <c:pt idx="16">
                  <c:v>1</c:v>
                </c:pt>
                <c:pt idx="17">
                  <c:v>1</c:v>
                </c:pt>
                <c:pt idx="18">
                  <c:v>1</c:v>
                </c:pt>
                <c:pt idx="19">
                  <c:v>1</c:v>
                </c:pt>
                <c:pt idx="20">
                  <c:v>4</c:v>
                </c:pt>
              </c:numCache>
            </c:numRef>
          </c:val>
          <c:extLst>
            <c:ext xmlns:c16="http://schemas.microsoft.com/office/drawing/2014/chart" uri="{C3380CC4-5D6E-409C-BE32-E72D297353CC}">
              <c16:uniqueId val="{00000000-5B04-4DA5-B7D4-973E52245E72}"/>
            </c:ext>
          </c:extLst>
        </c:ser>
        <c:dLbls>
          <c:showLegendKey val="0"/>
          <c:showVal val="0"/>
          <c:showCatName val="0"/>
          <c:showSerName val="0"/>
          <c:showPercent val="0"/>
          <c:showBubbleSize val="0"/>
        </c:dLbls>
        <c:gapWidth val="219"/>
        <c:overlap val="-27"/>
        <c:axId val="1160506400"/>
        <c:axId val="1160514560"/>
      </c:barChart>
      <c:catAx>
        <c:axId val="116050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514560"/>
        <c:crosses val="autoZero"/>
        <c:auto val="1"/>
        <c:lblAlgn val="ctr"/>
        <c:lblOffset val="100"/>
        <c:noMultiLvlLbl val="0"/>
      </c:catAx>
      <c:valAx>
        <c:axId val="116051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506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1FEC837-EA25-4191-A608-54DB52CDADAB}">
          <cx:tx>
            <cx:txData>
              <cx:f>_xlchart.v2.1</cx:f>
              <cx:v>Annual Salary</cx:v>
            </cx:txData>
          </cx:tx>
          <cx:dataLabels>
            <cx:visibility seriesName="0" categoryName="0" value="1"/>
          </cx:dataLabels>
          <cx:dataId val="0"/>
        </cx:series>
      </cx:plotAreaRegion>
      <cx:axis id="0">
        <cx:catScaling gapWidth="0.0599999987"/>
        <cx:tickLabels/>
      </cx:axis>
    </cx:plotArea>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50800</xdr:colOff>
      <xdr:row>24</xdr:row>
      <xdr:rowOff>111125</xdr:rowOff>
    </xdr:from>
    <xdr:to>
      <xdr:col>9</xdr:col>
      <xdr:colOff>558800</xdr:colOff>
      <xdr:row>37</xdr:row>
      <xdr:rowOff>111125</xdr:rowOff>
    </xdr:to>
    <xdr:graphicFrame macro="">
      <xdr:nvGraphicFramePr>
        <xdr:cNvPr id="3" name="Chart 2">
          <a:extLst>
            <a:ext uri="{FF2B5EF4-FFF2-40B4-BE49-F238E27FC236}">
              <a16:creationId xmlns:a16="http://schemas.microsoft.com/office/drawing/2014/main" id="{686E3BFF-DD6A-1B92-1F00-3E1ED328C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146050</xdr:colOff>
      <xdr:row>25</xdr:row>
      <xdr:rowOff>142875</xdr:rowOff>
    </xdr:from>
    <xdr:to>
      <xdr:col>20</xdr:col>
      <xdr:colOff>615950</xdr:colOff>
      <xdr:row>38</xdr:row>
      <xdr:rowOff>142875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A698997-2B09-76B6-2151-55F5186166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338550" y="6594475"/>
              <a:ext cx="54292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37</xdr:row>
      <xdr:rowOff>0</xdr:rowOff>
    </xdr:from>
    <xdr:to>
      <xdr:col>6</xdr:col>
      <xdr:colOff>857250</xdr:colOff>
      <xdr:row>50</xdr:row>
      <xdr:rowOff>6350</xdr:rowOff>
    </xdr:to>
    <xdr:graphicFrame macro="">
      <xdr:nvGraphicFramePr>
        <xdr:cNvPr id="5" name="Chart 4">
          <a:extLst>
            <a:ext uri="{FF2B5EF4-FFF2-40B4-BE49-F238E27FC236}">
              <a16:creationId xmlns:a16="http://schemas.microsoft.com/office/drawing/2014/main" id="{B9C7B061-147F-42F3-804F-130102752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196850</xdr:colOff>
      <xdr:row>2</xdr:row>
      <xdr:rowOff>241300</xdr:rowOff>
    </xdr:to>
    <mc:AlternateContent xmlns:mc="http://schemas.openxmlformats.org/markup-compatibility/2006" xmlns:a14="http://schemas.microsoft.com/office/drawing/2010/main">
      <mc:Choice Requires="a14">
        <xdr:graphicFrame macro="">
          <xdr:nvGraphicFramePr>
            <xdr:cNvPr id="2" name="Skills List">
              <a:extLst>
                <a:ext uri="{FF2B5EF4-FFF2-40B4-BE49-F238E27FC236}">
                  <a16:creationId xmlns:a16="http://schemas.microsoft.com/office/drawing/2014/main" id="{C046B3CB-9CF7-FD4A-C825-918128F3333B}"/>
                </a:ext>
              </a:extLst>
            </xdr:cNvPr>
            <xdr:cNvGraphicFramePr/>
          </xdr:nvGraphicFramePr>
          <xdr:xfrm>
            <a:off x="0" y="0"/>
            <a:ext cx="0" cy="0"/>
          </xdr:xfrm>
          <a:graphic>
            <a:graphicData uri="http://schemas.microsoft.com/office/drawing/2010/slicer">
              <sle:slicer xmlns:sle="http://schemas.microsoft.com/office/drawing/2010/slicer" name="Skills List"/>
            </a:graphicData>
          </a:graphic>
        </xdr:graphicFrame>
      </mc:Choice>
      <mc:Fallback xmlns="">
        <xdr:sp macro="" textlink="">
          <xdr:nvSpPr>
            <xdr:cNvPr id="0" name=""/>
            <xdr:cNvSpPr>
              <a:spLocks noTextEdit="1"/>
            </xdr:cNvSpPr>
          </xdr:nvSpPr>
          <xdr:spPr>
            <a:xfrm>
              <a:off x="0" y="0"/>
              <a:ext cx="617855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488818287035" createdVersion="8" refreshedVersion="8" minRefreshableVersion="3" recordCount="20" xr:uid="{1068F450-D53C-4EE4-90B6-9BBBCA30AD6A}">
  <cacheSource type="worksheet">
    <worksheetSource ref="A1:S21" sheet="DataSet Table"/>
  </cacheSource>
  <cacheFields count="19">
    <cacheField name="Employee_ID" numFmtId="0">
      <sharedItems/>
    </cacheField>
    <cacheField name="Full_Name" numFmtId="0">
      <sharedItems count="20">
        <s v="John Kamau"/>
        <s v="Sarah Ahmed"/>
        <s v="Peter Mensah"/>
        <s v="Amina Yusuf"/>
        <s v="David Chen"/>
        <s v="Mary Ndlovu"/>
        <s v="Robert Brown"/>
        <s v="Fatima Ali"/>
        <s v="Joseph Otieno"/>
        <s v="Grace Wambui"/>
        <s v="Daniel Okafor"/>
        <s v="Linda Martinez"/>
        <s v="Ahmed Hassan"/>
        <s v="Jane Smith"/>
        <s v="Brian Ouma"/>
        <s v="Innocent Oga"/>
        <s v="Emma Ochi"/>
        <s v="Mark Ian"/>
        <s v="Jane Samiai"/>
        <s v="Rihanna Weks"/>
      </sharedItems>
    </cacheField>
    <cacheField name="E-mail account" numFmtId="0">
      <sharedItems/>
    </cacheField>
    <cacheField name="Job_Title" numFmtId="0">
      <sharedItems/>
    </cacheField>
    <cacheField name="Department Source" numFmtId="0">
      <sharedItems/>
    </cacheField>
    <cacheField name="Hire_Date" numFmtId="14">
      <sharedItems containsSemiMixedTypes="0" containsNonDate="0" containsDate="1" containsString="0" minDate="2018-02-14T00:00:00" maxDate="2024-01-06T00:00:00"/>
    </cacheField>
    <cacheField name="Skills List" numFmtId="0">
      <sharedItems count="9">
        <s v="Kafka, DataBricks, Spark, Python, GCP"/>
        <s v="Power BI, GCP, Airflow, Hadoop, R"/>
        <s v="Azure, Java, SQL, DataBricks"/>
        <s v="DataBricks, Hadoop, Java"/>
        <s v="Snowflake, Airflow, DataBricks"/>
        <s v="Scala, Azure, R, Kafka"/>
        <s v="Snowflake, Excel, Scala"/>
        <s v="Excel, Power BI, R"/>
        <s v="Scala, R, Hadoop, Power BI, SQL"/>
      </sharedItems>
    </cacheField>
    <cacheField name="Country" numFmtId="0">
      <sharedItems count="11">
        <s v="Kenya"/>
        <s v="UAE"/>
        <s v="Ghana"/>
        <s v="Nigeria"/>
        <s v="China"/>
        <s v="Zimbabwe"/>
        <s v="USA"/>
        <s v="Spain"/>
        <s v="Egypt"/>
        <s v="UK"/>
        <s v="Uganda"/>
      </sharedItems>
    </cacheField>
    <cacheField name="Salary_USD" numFmtId="164">
      <sharedItems containsSemiMixedTypes="0" containsString="0" containsNumber="1" containsInteger="1" minValue="1500" maxValue="9800"/>
    </cacheField>
    <cacheField name="Bonus" numFmtId="9">
      <sharedItems containsSemiMixedTypes="0" containsString="0" containsNumber="1" minValue="0" maxValue="0.33"/>
    </cacheField>
    <cacheField name="Experience" numFmtId="165">
      <sharedItems containsSemiMixedTypes="0" containsString="0" containsNumber="1" containsInteger="1" minValue="2" maxValue="7"/>
    </cacheField>
    <cacheField name="Status" numFmtId="0">
      <sharedItems/>
    </cacheField>
    <cacheField name="Performance" numFmtId="0">
      <sharedItems containsSemiMixedTypes="0" containsString="0" containsNumber="1" minValue="61.2" maxValue="210"/>
    </cacheField>
    <cacheField name="Bonus2" numFmtId="164">
      <sharedItems containsSemiMixedTypes="0" containsString="0" containsNumber="1" minValue="0" maxValue="2100"/>
    </cacheField>
    <cacheField name="Total Compensation" numFmtId="164">
      <sharedItems containsSemiMixedTypes="0" containsString="0" containsNumber="1" minValue="1650" maxValue="9800"/>
    </cacheField>
    <cacheField name="Bonus Stutus" numFmtId="0">
      <sharedItems/>
    </cacheField>
    <cacheField name="Bonus&amp;IT" numFmtId="0">
      <sharedItems/>
    </cacheField>
    <cacheField name="Country2" numFmtId="0">
      <sharedItems/>
    </cacheField>
    <cacheField name="Bonus Status" numFmtId="0">
      <sharedItems/>
    </cacheField>
  </cacheFields>
  <extLst>
    <ext xmlns:x14="http://schemas.microsoft.com/office/spreadsheetml/2009/9/main" uri="{725AE2AE-9491-48be-B2B4-4EB974FC3084}">
      <x14:pivotCacheDefinition pivotCacheId="231267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001"/>
    <x v="0"/>
    <s v="Johnkamau@gmail.com"/>
    <s v="Senior Data Analyst"/>
    <s v="Data"/>
    <d v="2022-03-15T00:00:00"/>
    <x v="0"/>
    <x v="0"/>
    <n v="4200"/>
    <n v="0.2"/>
    <n v="3"/>
    <s v="Junior"/>
    <n v="93"/>
    <n v="840"/>
    <n v="5040"/>
    <s v="Bonus Award"/>
    <s v="Standard"/>
    <s v="Kenyan"/>
    <s v="High"/>
  </r>
  <r>
    <s v="E002"/>
    <x v="1"/>
    <s v="Sarahkamau@gmail.com"/>
    <s v="Sales Manager"/>
    <s v="Sales"/>
    <d v="2021-07-01T00:00:00"/>
    <x v="1"/>
    <x v="1"/>
    <n v="5000"/>
    <n v="0.13"/>
    <n v="4"/>
    <s v="Junior"/>
    <n v="122"/>
    <n v="650"/>
    <n v="5650"/>
    <s v="Bonus Award"/>
    <s v="Standard"/>
    <s v="Emirate"/>
    <s v="High"/>
  </r>
  <r>
    <s v="E003"/>
    <x v="2"/>
    <s v="Peterkamau@gmail.com"/>
    <s v="Junior HR Officer"/>
    <s v="Human Resources"/>
    <d v="2023-01-10T00:00:00"/>
    <x v="2"/>
    <x v="2"/>
    <n v="2200"/>
    <n v="0.24"/>
    <n v="3"/>
    <s v="Junior"/>
    <n v="93.6"/>
    <n v="528"/>
    <n v="2728"/>
    <s v="Bonus Award"/>
    <s v="Standard"/>
    <s v="Ghanaian"/>
    <s v="High"/>
  </r>
  <r>
    <s v="E004"/>
    <x v="3"/>
    <s v="Aminakamau@gmail.com"/>
    <s v="Marketing Lead"/>
    <s v="Marketing"/>
    <d v="2020-11-20T00:00:00"/>
    <x v="0"/>
    <x v="3"/>
    <n v="4600"/>
    <n v="0.18"/>
    <n v="5"/>
    <s v="Junior"/>
    <n v="152.69999999999999"/>
    <n v="828"/>
    <n v="5428"/>
    <s v="Bonus Award"/>
    <s v="Standard"/>
    <s v="Nigerian"/>
    <s v="High"/>
  </r>
  <r>
    <s v="E005"/>
    <x v="4"/>
    <s v="Davidkamau@gmail.com"/>
    <s v="Cloud Engineer"/>
    <s v="IT"/>
    <d v="2022-06-05T00:00:00"/>
    <x v="3"/>
    <x v="4"/>
    <n v="4800"/>
    <n v="0.1"/>
    <n v="3"/>
    <s v="Junior"/>
    <n v="91.5"/>
    <n v="480"/>
    <n v="5280"/>
    <s v="Bonus Award"/>
    <s v="High"/>
    <s v="Chinese"/>
    <s v="MID"/>
  </r>
  <r>
    <s v="E006"/>
    <x v="5"/>
    <s v="Marykamau@gmail.com"/>
    <s v="Customer Support Executive"/>
    <s v="Support"/>
    <d v="2023-04-18T00:00:00"/>
    <x v="4"/>
    <x v="5"/>
    <n v="2000"/>
    <n v="0.21"/>
    <n v="2"/>
    <s v="Junior"/>
    <n v="63.2"/>
    <n v="420"/>
    <n v="2420"/>
    <s v="Bonus Award"/>
    <s v="Standard"/>
    <s v="Zimb"/>
    <s v="MID"/>
  </r>
  <r>
    <s v="E007"/>
    <x v="6"/>
    <s v="Robertkamau@gmail.com"/>
    <s v="Finance Director"/>
    <s v="Finance"/>
    <d v="2019-09-30T00:00:00"/>
    <x v="2"/>
    <x v="6"/>
    <n v="7500"/>
    <n v="0.28000000000000003"/>
    <n v="6"/>
    <s v="Senior"/>
    <n v="184.2"/>
    <n v="2100"/>
    <n v="9600"/>
    <s v="Bonus Award"/>
    <s v="Standard"/>
    <s v="American"/>
    <s v="Standard"/>
  </r>
  <r>
    <s v="E008"/>
    <x v="7"/>
    <s v="Fatimakamau@gmail.com"/>
    <s v="VP of Sales"/>
    <s v="Sales"/>
    <d v="2018-02-14T00:00:00"/>
    <x v="4"/>
    <x v="1"/>
    <n v="9800"/>
    <n v="0"/>
    <n v="7"/>
    <s v="Senior"/>
    <n v="210"/>
    <n v="0"/>
    <n v="9800"/>
    <s v="No Bonus"/>
    <s v="Standard"/>
    <s v="Emirate"/>
    <s v="Low"/>
  </r>
  <r>
    <s v="E009"/>
    <x v="8"/>
    <s v="Josephkamau@gmail.com"/>
    <s v="Operations Supervisor"/>
    <s v="Operations"/>
    <d v="2021-12-01T00:00:00"/>
    <x v="5"/>
    <x v="0"/>
    <n v="3900"/>
    <n v="0.31"/>
    <n v="4"/>
    <s v="Junior"/>
    <n v="124.7"/>
    <n v="1209"/>
    <n v="5109"/>
    <s v="Bonus Award"/>
    <s v="Standard"/>
    <s v="Kenyan"/>
    <s v="High"/>
  </r>
  <r>
    <s v="E010"/>
    <x v="9"/>
    <s v="Gracekamau@gmail.com"/>
    <s v="Software Engineer"/>
    <s v="Engineering"/>
    <d v="2023-08-25T00:00:00"/>
    <x v="6"/>
    <x v="0"/>
    <n v="4100"/>
    <n v="0.23"/>
    <n v="2"/>
    <s v="Junior"/>
    <n v="63.5"/>
    <n v="943"/>
    <n v="5043"/>
    <s v="Bonus Award"/>
    <s v="Standard"/>
    <s v="Kenyan"/>
    <s v="High"/>
  </r>
  <r>
    <s v="E011"/>
    <x v="10"/>
    <s v="Danielkamau@gmail.com"/>
    <s v="Finance Director"/>
    <s v="Finance"/>
    <d v="2020-05-11T00:00:00"/>
    <x v="7"/>
    <x v="3"/>
    <n v="5300"/>
    <n v="0"/>
    <n v="5"/>
    <s v="Junior"/>
    <n v="150"/>
    <n v="0"/>
    <n v="5300"/>
    <s v="No Bonus"/>
    <s v="Standard"/>
    <s v="Nigerian"/>
    <s v="Low"/>
  </r>
  <r>
    <s v="E012"/>
    <x v="11"/>
    <s v="Lindakamau@gmail.com"/>
    <s v="People &amp; Culture Manager"/>
    <s v="People"/>
    <d v="2019-10-07T00:00:00"/>
    <x v="8"/>
    <x v="7"/>
    <n v="6000"/>
    <n v="0.09"/>
    <n v="6"/>
    <s v="Senior"/>
    <n v="181.4"/>
    <n v="540"/>
    <n v="6540"/>
    <s v="Bonus Award"/>
    <s v="Standard"/>
    <s v="Spainish"/>
    <s v="High"/>
  </r>
  <r>
    <s v="E013"/>
    <x v="12"/>
    <s v="Ahmedkamau@gmail.com"/>
    <s v="Data Science Intern"/>
    <s v="Data"/>
    <d v="2024-01-05T00:00:00"/>
    <x v="1"/>
    <x v="8"/>
    <n v="1500"/>
    <n v="0.1"/>
    <n v="2"/>
    <s v="Junior"/>
    <n v="61.5"/>
    <n v="150"/>
    <n v="1650"/>
    <s v="Bonus Award"/>
    <s v="Standard"/>
    <s v="Egyptain"/>
    <s v="Low"/>
  </r>
  <r>
    <s v="E014"/>
    <x v="13"/>
    <s v="Janekamau@gmail.com"/>
    <s v="Growth Marketing Specialist"/>
    <s v="Marketing"/>
    <d v="2022-09-19T00:00:00"/>
    <x v="3"/>
    <x v="9"/>
    <n v="4300"/>
    <n v="0.24"/>
    <n v="3"/>
    <s v="Junior"/>
    <n v="93.6"/>
    <n v="1032"/>
    <n v="5332"/>
    <s v="Bonus Award"/>
    <s v="Standard"/>
    <s v="British"/>
    <s v="High"/>
  </r>
  <r>
    <s v="E015"/>
    <x v="14"/>
    <s v="Briankamau@gmail.com"/>
    <s v="Junior Software Developer"/>
    <s v="Engineering"/>
    <d v="2023-06-12T00:00:00"/>
    <x v="8"/>
    <x v="0"/>
    <n v="2800"/>
    <n v="0.3"/>
    <n v="2"/>
    <s v="Junior"/>
    <n v="64.5"/>
    <n v="840"/>
    <n v="3640"/>
    <s v="Bonus Award"/>
    <s v="Standard"/>
    <s v="Kenyan"/>
    <s v="High"/>
  </r>
  <r>
    <s v="E016"/>
    <x v="15"/>
    <s v="InnocentOga@gmail.com"/>
    <s v="Junior HR Officer"/>
    <s v="Support"/>
    <d v="2023-06-13T00:00:00"/>
    <x v="8"/>
    <x v="0"/>
    <n v="2800"/>
    <n v="0.08"/>
    <n v="2"/>
    <s v="Junior"/>
    <n v="61.2"/>
    <n v="224"/>
    <n v="3024"/>
    <s v="Bonus Award"/>
    <s v="Standard"/>
    <s v="Kenyan"/>
    <s v="Low"/>
  </r>
  <r>
    <s v="E017"/>
    <x v="16"/>
    <s v="EmmaOchi@gmail.com"/>
    <s v="Junior Software Developer"/>
    <s v="Engineering"/>
    <d v="2023-06-14T00:00:00"/>
    <x v="0"/>
    <x v="10"/>
    <n v="2800"/>
    <n v="0.09"/>
    <n v="2"/>
    <s v="Junior"/>
    <n v="61.4"/>
    <n v="252"/>
    <n v="3052"/>
    <s v="Bonus Award"/>
    <s v="Standard"/>
    <s v="Ugandan"/>
    <s v="Low"/>
  </r>
  <r>
    <s v="E018"/>
    <x v="17"/>
    <s v="MarkIan@gmail.com"/>
    <s v="Finance Director"/>
    <s v="IT"/>
    <d v="2023-01-10T00:00:00"/>
    <x v="3"/>
    <x v="0"/>
    <n v="6599"/>
    <n v="0.05"/>
    <n v="3"/>
    <s v="Junior"/>
    <n v="90.8"/>
    <n v="329.95000000000005"/>
    <n v="6928.95"/>
    <s v="Bonus Award"/>
    <s v="High"/>
    <s v="Kenyan"/>
    <s v="MID"/>
  </r>
  <r>
    <s v="E019"/>
    <x v="18"/>
    <s v="JaneSamiai@gmail.com"/>
    <s v="Junior Software Developer"/>
    <s v="Support"/>
    <d v="2020-11-20T00:00:00"/>
    <x v="4"/>
    <x v="10"/>
    <n v="2800"/>
    <n v="0.33"/>
    <n v="5"/>
    <s v="Junior"/>
    <n v="155"/>
    <n v="924"/>
    <n v="3724"/>
    <s v="Bonus Award"/>
    <s v="Standard"/>
    <s v="Ugandan"/>
    <s v="High"/>
  </r>
  <r>
    <s v="E020"/>
    <x v="19"/>
    <s v="RihannaWeks@gmail.com"/>
    <s v="Finance Director"/>
    <s v="Finance"/>
    <d v="2022-06-05T00:00:00"/>
    <x v="2"/>
    <x v="10"/>
    <n v="6000"/>
    <n v="0.22"/>
    <n v="3"/>
    <s v="Junior"/>
    <n v="93.3"/>
    <n v="1320"/>
    <n v="7320"/>
    <s v="Bonus Award"/>
    <s v="Standard"/>
    <s v="Ugandan"/>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6F123-DC7B-4446-8A27-4E0D293F3E5C}" name="PivotTable12" cacheId="0" applyNumberFormats="0" applyBorderFormats="0" applyFontFormats="0" applyPatternFormats="0" applyAlignmentFormats="0" applyWidthHeightFormats="1" dataCaption="Values" grandTotalCaption="Salary" updatedVersion="8" minRefreshableVersion="3" showDrill="0" useAutoFormatting="1" rowGrandTotals="0" itemPrintTitles="1" createdVersion="8" indent="0" showHeaders="0" compact="0" outline="1" outlineData="1" compactData="0" multipleFieldFilters="0">
  <location ref="A4:N34" firstHeaderRow="1" firstDataRow="2" firstDataCol="2"/>
  <pivotFields count="19">
    <pivotField compact="0" showAll="0"/>
    <pivotField axis="axisRow" compact="0" showAll="0">
      <items count="21">
        <item x="12"/>
        <item x="3"/>
        <item x="14"/>
        <item x="10"/>
        <item x="4"/>
        <item x="16"/>
        <item x="7"/>
        <item x="9"/>
        <item x="15"/>
        <item x="18"/>
        <item x="13"/>
        <item x="0"/>
        <item x="8"/>
        <item x="11"/>
        <item x="17"/>
        <item x="5"/>
        <item x="2"/>
        <item x="19"/>
        <item x="6"/>
        <item x="1"/>
        <item t="default"/>
      </items>
    </pivotField>
    <pivotField compact="0" showAll="0"/>
    <pivotField compact="0" showAll="0"/>
    <pivotField compact="0" showAll="0"/>
    <pivotField compact="0" numFmtId="14" showAll="0"/>
    <pivotField axis="axisRow" compact="0" showAll="0">
      <items count="10">
        <item x="2"/>
        <item x="3"/>
        <item x="7"/>
        <item x="0"/>
        <item x="1"/>
        <item x="5"/>
        <item x="8"/>
        <item x="4"/>
        <item x="6"/>
        <item t="default"/>
      </items>
    </pivotField>
    <pivotField axis="axisCol" compact="0" showAll="0">
      <items count="12">
        <item x="4"/>
        <item x="8"/>
        <item x="2"/>
        <item x="0"/>
        <item x="3"/>
        <item x="7"/>
        <item x="1"/>
        <item x="10"/>
        <item x="9"/>
        <item x="6"/>
        <item x="5"/>
        <item t="default"/>
      </items>
    </pivotField>
    <pivotField dataField="1" compact="0" numFmtId="164" showAll="0"/>
    <pivotField compact="0" numFmtId="9" showAll="0"/>
    <pivotField compact="0" numFmtId="165" showAll="0"/>
    <pivotField compact="0" showAll="0"/>
    <pivotField compact="0" showAll="0"/>
    <pivotField compact="0" numFmtId="164" showAll="0"/>
    <pivotField compact="0" numFmtId="164" showAll="0"/>
    <pivotField compact="0" showAll="0"/>
    <pivotField compact="0" showAll="0"/>
    <pivotField compact="0" showAll="0"/>
    <pivotField compact="0" showAll="0"/>
  </pivotFields>
  <rowFields count="2">
    <field x="6"/>
    <field x="1"/>
  </rowFields>
  <rowItems count="29">
    <i>
      <x/>
    </i>
    <i r="1">
      <x v="16"/>
    </i>
    <i r="1">
      <x v="17"/>
    </i>
    <i r="1">
      <x v="18"/>
    </i>
    <i>
      <x v="1"/>
    </i>
    <i r="1">
      <x v="4"/>
    </i>
    <i r="1">
      <x v="10"/>
    </i>
    <i r="1">
      <x v="14"/>
    </i>
    <i>
      <x v="2"/>
    </i>
    <i r="1">
      <x v="3"/>
    </i>
    <i>
      <x v="3"/>
    </i>
    <i r="1">
      <x v="1"/>
    </i>
    <i r="1">
      <x v="5"/>
    </i>
    <i r="1">
      <x v="11"/>
    </i>
    <i>
      <x v="4"/>
    </i>
    <i r="1">
      <x/>
    </i>
    <i r="1">
      <x v="19"/>
    </i>
    <i>
      <x v="5"/>
    </i>
    <i r="1">
      <x v="12"/>
    </i>
    <i>
      <x v="6"/>
    </i>
    <i r="1">
      <x v="2"/>
    </i>
    <i r="1">
      <x v="8"/>
    </i>
    <i r="1">
      <x v="13"/>
    </i>
    <i>
      <x v="7"/>
    </i>
    <i r="1">
      <x v="6"/>
    </i>
    <i r="1">
      <x v="9"/>
    </i>
    <i r="1">
      <x v="15"/>
    </i>
    <i>
      <x v="8"/>
    </i>
    <i r="1">
      <x v="7"/>
    </i>
  </rowItems>
  <colFields count="1">
    <field x="7"/>
  </colFields>
  <colItems count="12">
    <i>
      <x/>
    </i>
    <i>
      <x v="1"/>
    </i>
    <i>
      <x v="2"/>
    </i>
    <i>
      <x v="3"/>
    </i>
    <i>
      <x v="4"/>
    </i>
    <i>
      <x v="5"/>
    </i>
    <i>
      <x v="6"/>
    </i>
    <i>
      <x v="7"/>
    </i>
    <i>
      <x v="8"/>
    </i>
    <i>
      <x v="9"/>
    </i>
    <i>
      <x v="10"/>
    </i>
    <i t="grand">
      <x/>
    </i>
  </colItems>
  <dataFields count="1">
    <dataField name="Sum of Salary_USD" fld="8" baseField="0" baseItem="0" numFmtId="164"/>
  </dataFields>
  <formats count="3">
    <format dxfId="5">
      <pivotArea type="topRight" dataOnly="0" labelOnly="1" outline="0" fieldPosition="0"/>
    </format>
    <format dxfId="4">
      <pivotArea dataOnly="0" labelOnly="1" outline="0" fieldPosition="0">
        <references count="1">
          <reference field="7" count="0"/>
        </references>
      </pivotArea>
    </format>
    <format dxfId="3">
      <pivotArea dataOnly="0" labelOnly="1" grandCol="1" outline="0" fieldPosition="0"/>
    </format>
  </formats>
  <conditionalFormats count="2">
    <conditionalFormat priority="1">
      <pivotAreas count="1">
        <pivotArea type="data" grandCol="1" outline="0" collapsedLevelsAreSubtotals="1" fieldPosition="0">
          <references count="1">
            <reference field="4294967294" count="1" selected="0">
              <x v="0"/>
            </reference>
          </references>
        </pivotArea>
      </pivotAreas>
    </conditionalFormat>
    <conditionalFormat priority="2">
      <pivotAreas count="1">
        <pivotArea type="data" grandCol="1" outline="0" collapsedLevelsAreSubtotals="1" fieldPosition="0">
          <references count="1">
            <reference field="4294967294" count="1" selected="0">
              <x v="0"/>
            </reference>
          </references>
        </pivotArea>
      </pivotAreas>
    </conditionalFormat>
  </conditionalFormats>
  <pivotTableStyleInfo name="PivotStyleLight23"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3" id="{741E29CF-97AE-43D0-B00D-B30E640F6736}">
            <x14:pivotAreas count="17">
              <pivotArea type="data" grandCol="1" collapsedLevelsAreSubtotals="1" fieldPosition="0">
                <references count="3">
                  <reference field="4294967294" count="1" selected="0">
                    <x v="0"/>
                  </reference>
                  <reference field="1" count="3">
                    <x v="16"/>
                    <x v="17"/>
                    <x v="18"/>
                  </reference>
                  <reference field="6" count="1" selected="0">
                    <x v="0"/>
                  </reference>
                </references>
              </pivotArea>
              <pivotArea type="data" grandCol="1" collapsedLevelsAreSubtotals="1" fieldPosition="0">
                <references count="2">
                  <reference field="4294967294" count="1" selected="0">
                    <x v="0"/>
                  </reference>
                  <reference field="6" count="1">
                    <x v="1"/>
                  </reference>
                </references>
              </pivotArea>
              <pivotArea type="data" grandCol="1" collapsedLevelsAreSubtotals="1" fieldPosition="0">
                <references count="3">
                  <reference field="4294967294" count="1" selected="0">
                    <x v="0"/>
                  </reference>
                  <reference field="1" count="3">
                    <x v="4"/>
                    <x v="10"/>
                    <x v="14"/>
                  </reference>
                  <reference field="6" count="1" selected="0">
                    <x v="1"/>
                  </reference>
                </references>
              </pivotArea>
              <pivotArea type="data" grandCol="1" collapsedLevelsAreSubtotals="1" fieldPosition="0">
                <references count="2">
                  <reference field="4294967294" count="1" selected="0">
                    <x v="0"/>
                  </reference>
                  <reference field="6" count="1">
                    <x v="2"/>
                  </reference>
                </references>
              </pivotArea>
              <pivotArea type="data" grandCol="1" collapsedLevelsAreSubtotals="1" fieldPosition="0">
                <references count="3">
                  <reference field="4294967294" count="1" selected="0">
                    <x v="0"/>
                  </reference>
                  <reference field="1" count="1">
                    <x v="3"/>
                  </reference>
                  <reference field="6" count="1" selected="0">
                    <x v="2"/>
                  </reference>
                </references>
              </pivotArea>
              <pivotArea type="data" grandCol="1" collapsedLevelsAreSubtotals="1" fieldPosition="0">
                <references count="2">
                  <reference field="4294967294" count="1" selected="0">
                    <x v="0"/>
                  </reference>
                  <reference field="6" count="1">
                    <x v="3"/>
                  </reference>
                </references>
              </pivotArea>
              <pivotArea type="data" grandCol="1" collapsedLevelsAreSubtotals="1" fieldPosition="0">
                <references count="3">
                  <reference field="4294967294" count="1" selected="0">
                    <x v="0"/>
                  </reference>
                  <reference field="1" count="3">
                    <x v="1"/>
                    <x v="5"/>
                    <x v="11"/>
                  </reference>
                  <reference field="6" count="1" selected="0">
                    <x v="3"/>
                  </reference>
                </references>
              </pivotArea>
              <pivotArea type="data" grandCol="1" collapsedLevelsAreSubtotals="1" fieldPosition="0">
                <references count="2">
                  <reference field="4294967294" count="1" selected="0">
                    <x v="0"/>
                  </reference>
                  <reference field="6" count="1">
                    <x v="4"/>
                  </reference>
                </references>
              </pivotArea>
              <pivotArea type="data" grandCol="1" collapsedLevelsAreSubtotals="1" fieldPosition="0">
                <references count="3">
                  <reference field="4294967294" count="1" selected="0">
                    <x v="0"/>
                  </reference>
                  <reference field="1" count="2">
                    <x v="0"/>
                    <x v="19"/>
                  </reference>
                  <reference field="6" count="1" selected="0">
                    <x v="4"/>
                  </reference>
                </references>
              </pivotArea>
              <pivotArea type="data" grandCol="1" collapsedLevelsAreSubtotals="1" fieldPosition="0">
                <references count="2">
                  <reference field="4294967294" count="1" selected="0">
                    <x v="0"/>
                  </reference>
                  <reference field="6" count="1">
                    <x v="5"/>
                  </reference>
                </references>
              </pivotArea>
              <pivotArea type="data" grandCol="1" collapsedLevelsAreSubtotals="1" fieldPosition="0">
                <references count="3">
                  <reference field="4294967294" count="1" selected="0">
                    <x v="0"/>
                  </reference>
                  <reference field="1" count="1">
                    <x v="12"/>
                  </reference>
                  <reference field="6" count="1" selected="0">
                    <x v="5"/>
                  </reference>
                </references>
              </pivotArea>
              <pivotArea type="data" grandCol="1" collapsedLevelsAreSubtotals="1" fieldPosition="0">
                <references count="2">
                  <reference field="4294967294" count="1" selected="0">
                    <x v="0"/>
                  </reference>
                  <reference field="6" count="1">
                    <x v="6"/>
                  </reference>
                </references>
              </pivotArea>
              <pivotArea type="data" grandCol="1" collapsedLevelsAreSubtotals="1" fieldPosition="0">
                <references count="3">
                  <reference field="4294967294" count="1" selected="0">
                    <x v="0"/>
                  </reference>
                  <reference field="1" count="3">
                    <x v="2"/>
                    <x v="8"/>
                    <x v="13"/>
                  </reference>
                  <reference field="6" count="1" selected="0">
                    <x v="6"/>
                  </reference>
                </references>
              </pivotArea>
              <pivotArea type="data" grandCol="1" collapsedLevelsAreSubtotals="1" fieldPosition="0">
                <references count="2">
                  <reference field="4294967294" count="1" selected="0">
                    <x v="0"/>
                  </reference>
                  <reference field="6" count="1">
                    <x v="7"/>
                  </reference>
                </references>
              </pivotArea>
              <pivotArea type="data" grandCol="1" collapsedLevelsAreSubtotals="1" fieldPosition="0">
                <references count="3">
                  <reference field="4294967294" count="1" selected="0">
                    <x v="0"/>
                  </reference>
                  <reference field="1" count="3">
                    <x v="6"/>
                    <x v="9"/>
                    <x v="15"/>
                  </reference>
                  <reference field="6" count="1" selected="0">
                    <x v="7"/>
                  </reference>
                </references>
              </pivotArea>
              <pivotArea type="data" grandCol="1" collapsedLevelsAreSubtotals="1" fieldPosition="0">
                <references count="2">
                  <reference field="4294967294" count="1" selected="0">
                    <x v="0"/>
                  </reference>
                  <reference field="6" count="1">
                    <x v="8"/>
                  </reference>
                </references>
              </pivotArea>
              <pivotArea type="data" grandCol="1" collapsedLevelsAreSubtotals="1" fieldPosition="0">
                <references count="3">
                  <reference field="4294967294" count="1" selected="0">
                    <x v="0"/>
                  </reference>
                  <reference field="1" count="1">
                    <x v="7"/>
                  </reference>
                  <reference field="6" count="1" selected="0">
                    <x v="8"/>
                  </reference>
                </references>
              </pivotArea>
            </x14:pivotAreas>
          </x14:conditionalFormat>
        </x14:conditionalFormats>
      </x14:pivotTableDefinition>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s_List" xr10:uid="{5ABC9A55-0D8C-469C-8FA3-76ADE51965B2}" sourceName="Skills List">
  <pivotTables>
    <pivotTable tabId="4" name="PivotTable12"/>
  </pivotTables>
  <data>
    <tabular pivotCacheId="231267179">
      <items count="9">
        <i x="2" s="1"/>
        <i x="3" s="1"/>
        <i x="7" s="1"/>
        <i x="0" s="1"/>
        <i x="1" s="1"/>
        <i x="5" s="1"/>
        <i x="8"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ills List" xr10:uid="{23562480-8DA8-4B3D-8515-60488F5ED6A2}" cache="Slicer_Skills_List" caption="Skills List" columnCount="9" style="SlicerStyleOther2" rowHeight="2836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Fatimakamau@gmail.com" TargetMode="External"/><Relationship Id="rId13" Type="http://schemas.openxmlformats.org/officeDocument/2006/relationships/hyperlink" Target="mailto:Ahmedkamau@gmail.com" TargetMode="External"/><Relationship Id="rId18" Type="http://schemas.openxmlformats.org/officeDocument/2006/relationships/hyperlink" Target="mailto:EmmaOchi@gmail.com" TargetMode="External"/><Relationship Id="rId3" Type="http://schemas.openxmlformats.org/officeDocument/2006/relationships/hyperlink" Target="mailto:Peterkamau@gmail.com" TargetMode="External"/><Relationship Id="rId21" Type="http://schemas.openxmlformats.org/officeDocument/2006/relationships/hyperlink" Target="mailto:RihannaWeks@gmail.com" TargetMode="External"/><Relationship Id="rId7" Type="http://schemas.openxmlformats.org/officeDocument/2006/relationships/hyperlink" Target="mailto:Robertkamau@gmail.com" TargetMode="External"/><Relationship Id="rId12" Type="http://schemas.openxmlformats.org/officeDocument/2006/relationships/hyperlink" Target="mailto:Lindakamau@gmail.com" TargetMode="External"/><Relationship Id="rId17" Type="http://schemas.openxmlformats.org/officeDocument/2006/relationships/hyperlink" Target="mailto:InnocentOga@gmail.com" TargetMode="External"/><Relationship Id="rId2" Type="http://schemas.openxmlformats.org/officeDocument/2006/relationships/hyperlink" Target="mailto:Sarahkamau@gmail.com" TargetMode="External"/><Relationship Id="rId16" Type="http://schemas.openxmlformats.org/officeDocument/2006/relationships/hyperlink" Target="mailto:InnocentOga@gmail.com" TargetMode="External"/><Relationship Id="rId20" Type="http://schemas.openxmlformats.org/officeDocument/2006/relationships/hyperlink" Target="mailto:JaneSamiai@gmail.com" TargetMode="External"/><Relationship Id="rId1" Type="http://schemas.openxmlformats.org/officeDocument/2006/relationships/hyperlink" Target="mailto:Johnkamau@gmail.com" TargetMode="External"/><Relationship Id="rId6" Type="http://schemas.openxmlformats.org/officeDocument/2006/relationships/hyperlink" Target="mailto:Marykamau@gmail.com" TargetMode="External"/><Relationship Id="rId11" Type="http://schemas.openxmlformats.org/officeDocument/2006/relationships/hyperlink" Target="mailto:Danielkamau@gmail.com" TargetMode="External"/><Relationship Id="rId5" Type="http://schemas.openxmlformats.org/officeDocument/2006/relationships/hyperlink" Target="mailto:Davidkamau@gmail.com" TargetMode="External"/><Relationship Id="rId15" Type="http://schemas.openxmlformats.org/officeDocument/2006/relationships/hyperlink" Target="mailto:Briankamau@gmail.com" TargetMode="External"/><Relationship Id="rId10" Type="http://schemas.openxmlformats.org/officeDocument/2006/relationships/hyperlink" Target="mailto:Gracekamau@gmail.com" TargetMode="External"/><Relationship Id="rId19" Type="http://schemas.openxmlformats.org/officeDocument/2006/relationships/hyperlink" Target="mailto:MarkIan@gmail.com" TargetMode="External"/><Relationship Id="rId4" Type="http://schemas.openxmlformats.org/officeDocument/2006/relationships/hyperlink" Target="mailto:Aminakamau@gmail.com" TargetMode="External"/><Relationship Id="rId9" Type="http://schemas.openxmlformats.org/officeDocument/2006/relationships/hyperlink" Target="mailto:Josephkamau@gmail.com" TargetMode="External"/><Relationship Id="rId14" Type="http://schemas.openxmlformats.org/officeDocument/2006/relationships/hyperlink" Target="mailto:Janekamau@gmail.com"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8EF4-C814-4AC0-BCD3-9F479CC42B5B}">
  <dimension ref="A1:CC46"/>
  <sheetViews>
    <sheetView showGridLines="0" tabSelected="1" topLeftCell="F1" zoomScale="130" zoomScaleNormal="130" workbookViewId="0">
      <selection activeCell="K4" sqref="K4"/>
    </sheetView>
  </sheetViews>
  <sheetFormatPr defaultRowHeight="16.5" x14ac:dyDescent="0.45"/>
  <cols>
    <col min="1" max="1" width="9.9140625" style="3" bestFit="1" customWidth="1"/>
    <col min="2" max="2" width="11.25" style="3" bestFit="1" customWidth="1"/>
    <col min="3" max="3" width="21.83203125" style="3" customWidth="1"/>
    <col min="4" max="4" width="20.6640625" style="3" bestFit="1" customWidth="1"/>
    <col min="5" max="5" width="14.5" style="3" bestFit="1" customWidth="1"/>
    <col min="6" max="6" width="13.58203125" style="3" customWidth="1"/>
    <col min="7" max="7" width="29.33203125" style="3" bestFit="1" customWidth="1"/>
    <col min="8" max="8" width="12.6640625" style="3" bestFit="1" customWidth="1"/>
    <col min="9" max="9" width="11.33203125" style="3" customWidth="1"/>
    <col min="10" max="10" width="9.25" style="3" customWidth="1"/>
    <col min="11" max="11" width="19.1640625" style="3" customWidth="1"/>
    <col min="12" max="12" width="13.08203125" style="3" customWidth="1"/>
    <col min="13" max="13" width="12" style="5" bestFit="1" customWidth="1"/>
    <col min="14" max="14" width="13.9140625" style="3" bestFit="1" customWidth="1"/>
    <col min="15" max="15" width="13.58203125" style="3" customWidth="1"/>
    <col min="16" max="16" width="11.33203125" style="3" bestFit="1" customWidth="1"/>
    <col min="17" max="17" width="10" style="3" customWidth="1"/>
    <col min="18" max="18" width="12.83203125" style="3" bestFit="1" customWidth="1"/>
    <col min="19" max="20" width="8.6640625" style="3"/>
    <col min="21" max="21" width="9.4140625" style="3" bestFit="1" customWidth="1"/>
    <col min="22" max="24" width="8.6640625" style="3"/>
    <col min="25" max="25" width="18.5" style="3" bestFit="1" customWidth="1"/>
    <col min="26" max="26" width="10.5" style="3" bestFit="1" customWidth="1"/>
    <col min="27" max="16384" width="8.6640625" style="3"/>
  </cols>
  <sheetData>
    <row r="1" spans="1:26" s="40" customFormat="1" ht="32" x14ac:dyDescent="0.45">
      <c r="A1" s="41" t="s">
        <v>70</v>
      </c>
      <c r="B1" s="41" t="s">
        <v>69</v>
      </c>
      <c r="C1" s="41" t="s">
        <v>77</v>
      </c>
      <c r="D1" s="41" t="s">
        <v>68</v>
      </c>
      <c r="E1" s="41" t="s">
        <v>67</v>
      </c>
      <c r="F1" s="41" t="s">
        <v>66</v>
      </c>
      <c r="G1" s="42" t="s">
        <v>99</v>
      </c>
      <c r="H1" s="41" t="s">
        <v>65</v>
      </c>
      <c r="I1" s="41" t="s">
        <v>64</v>
      </c>
      <c r="J1" s="42" t="s">
        <v>74</v>
      </c>
      <c r="K1" s="41" t="s">
        <v>71</v>
      </c>
      <c r="L1" s="41" t="s">
        <v>72</v>
      </c>
      <c r="M1" s="43" t="s">
        <v>73</v>
      </c>
      <c r="N1" s="41" t="s">
        <v>74</v>
      </c>
      <c r="O1" s="41" t="s">
        <v>75</v>
      </c>
      <c r="P1" s="41" t="s">
        <v>76</v>
      </c>
      <c r="Q1" s="41" t="s">
        <v>119</v>
      </c>
      <c r="R1" s="41" t="s">
        <v>65</v>
      </c>
      <c r="S1" s="41" t="s">
        <v>120</v>
      </c>
      <c r="T1" s="44" t="s">
        <v>133</v>
      </c>
      <c r="U1" s="40" t="s">
        <v>130</v>
      </c>
      <c r="V1" s="40" t="s">
        <v>131</v>
      </c>
      <c r="Y1" s="40" t="s">
        <v>132</v>
      </c>
      <c r="Z1" s="40" t="s">
        <v>27</v>
      </c>
    </row>
    <row r="2" spans="1:26" x14ac:dyDescent="0.45">
      <c r="A2" s="45" t="s">
        <v>63</v>
      </c>
      <c r="B2" s="45" t="s">
        <v>62</v>
      </c>
      <c r="C2" s="46" t="s">
        <v>78</v>
      </c>
      <c r="D2" s="45" t="s">
        <v>61</v>
      </c>
      <c r="E2" s="45" t="s">
        <v>11</v>
      </c>
      <c r="F2" s="47">
        <v>44635</v>
      </c>
      <c r="G2" s="4" t="s">
        <v>100</v>
      </c>
      <c r="H2" s="48" t="s">
        <v>0</v>
      </c>
      <c r="I2" s="49">
        <v>4200</v>
      </c>
      <c r="J2" s="50">
        <v>0.2</v>
      </c>
      <c r="K2" s="11">
        <f ca="1">DATEDIF($F2,TODAY(),"y")+(DATEDIF($F2,TODAY(),"YM")/12)</f>
        <v>3.8333333333333335</v>
      </c>
      <c r="L2" s="11" t="str" cm="1">
        <f t="array" aca="1" ref="L2" ca="1">_xlfn.IFS($K2&lt;=5,"Junior",$K2&gt;=6,"Senior")</f>
        <v>Junior</v>
      </c>
      <c r="M2" s="11">
        <f ca="1">IF(OR($J2="",$K2=""),"",ROUND((($J2*100)*0.05+(MIN($K2,10)/10*100)*2),1))</f>
        <v>77.7</v>
      </c>
      <c r="N2" s="20">
        <f>IF($I2=0,0,$I2*$J2)</f>
        <v>840</v>
      </c>
      <c r="O2" s="21">
        <f>IF($I2="","",$I2*(1+$N2))</f>
        <v>3532200</v>
      </c>
      <c r="P2" s="4" t="str">
        <f>IF($N2=0,"No Bonus", "Bonus Award")</f>
        <v>Bonus Award</v>
      </c>
      <c r="Q2" s="12" t="str">
        <f>IF(AND($E2="IT", OR($E2&gt;0.15,$D2&gt;5000)),"High","Standard")</f>
        <v>Standard</v>
      </c>
      <c r="R2" s="4" t="str" cm="1">
        <f t="array" ref="R2">_xlfn.SWITCH($H2,"Kenya","Kenyan","UAE","Emirate","Ghana","Ghanaian","Zimbabwe","Zimb","Nigeria","Nigerian","Spain","Spainish","Egypt","Egyptain","Uk","British","Uganda","Ugandan","China","Chinese","USA","American","Unkown")</f>
        <v>Kenyan</v>
      </c>
      <c r="S2" s="4" t="str" cm="1">
        <f t="array" ref="S2">_xlfn.IFS($N2&lt;=300,"Low",$N2&lt;=500,"MID",$N2&lt;=1500,"High",$N2&gt;2000,"Standard")</f>
        <v>High</v>
      </c>
      <c r="T2" s="3" t="str">
        <f>IF(AND($E2="Sales",OR($E2&gt;0.05,$D2&gt;5000)),"High","Standard")</f>
        <v>Standard</v>
      </c>
      <c r="U2" s="3" t="str">
        <f>IF(ISNUMBER(SEARCH("senior",D2)),"Senior","Not Senior")</f>
        <v>Senior</v>
      </c>
      <c r="V2" s="6" t="str">
        <f>IF(ISNUMBER(SEARCH("VP",D2)),"VP","No VP")</f>
        <v>No VP</v>
      </c>
      <c r="W2" s="3" t="e">
        <f>IF(ISNUMBER(SEARCH("VP",D2)),"VP"),IF(ISNUMBER(SEARCH("Director",D2)),"Director")</f>
        <v>#VALUE!</v>
      </c>
      <c r="Y2" s="3" t="str">
        <f>IF(ISNUMBER(SEARCH("VP",$D2)),"VP",IF(ISNUMBER(SEARCH("Director",$D2)),"Director",IF(OR(ISNUMBER(SEARCH("Manager",$D2)),ISNUMBER(SEARCH("Manager",$D2))),"Manager",IF(ISNUMBER(SEARCH("Lead",$D2)),"Lead",IF(OR(ISNUMBER(SEARCH("Sr",$D2)),ISNUMBER(SEARCH("Junior",$D2))),"Junior","Individual Contributor")))))</f>
        <v>Individual Contributor</v>
      </c>
    </row>
    <row r="3" spans="1:26" x14ac:dyDescent="0.45">
      <c r="A3" s="45" t="s">
        <v>60</v>
      </c>
      <c r="B3" s="45" t="s">
        <v>59</v>
      </c>
      <c r="C3" s="46" t="s">
        <v>79</v>
      </c>
      <c r="D3" s="45" t="s">
        <v>58</v>
      </c>
      <c r="E3" s="45" t="s">
        <v>32</v>
      </c>
      <c r="F3" s="47">
        <v>44378</v>
      </c>
      <c r="G3" s="4" t="s">
        <v>101</v>
      </c>
      <c r="H3" s="48" t="s">
        <v>31</v>
      </c>
      <c r="I3" s="49">
        <v>5000</v>
      </c>
      <c r="J3" s="50">
        <v>0.13</v>
      </c>
      <c r="K3" s="11">
        <f t="shared" ref="K3:K21" ca="1" si="0">DATEDIF($F3,TODAY(),"y")</f>
        <v>4</v>
      </c>
      <c r="L3" s="11" t="str" cm="1">
        <f t="array" aca="1" ref="L3" ca="1">_xlfn.IFS($K3&lt;=5,"Junior",$K3&gt;=6,"Senior")</f>
        <v>Junior</v>
      </c>
      <c r="M3" s="11">
        <f t="shared" ref="M3:M21" ca="1" si="1">IF(OR($J3="",$K3=""),"",ROUND((($J3*100)*0.05+(MIN($K3,10)/10*100)*2),1))</f>
        <v>80.7</v>
      </c>
      <c r="N3" s="20">
        <f t="shared" ref="N3:N21" si="2">IF($I3=0,0,$I3*$J3)</f>
        <v>650</v>
      </c>
      <c r="O3" s="21">
        <f t="shared" ref="O3:O21" si="3">IF($I3="","",$I3*(1+$N3))</f>
        <v>3255000</v>
      </c>
      <c r="P3" s="4" t="str">
        <f t="shared" ref="P3:P21" si="4">IF($N3=0,"No Bonus", "Bonus Award")</f>
        <v>Bonus Award</v>
      </c>
      <c r="Q3" s="12" t="str">
        <f t="shared" ref="Q3:Q21" si="5">IF(AND($E3="IT", OR($E3&gt;0.15,$D3&gt;5000)),"High","Standard")</f>
        <v>Standard</v>
      </c>
      <c r="R3" s="4" t="str" cm="1">
        <f t="array" ref="R3">_xlfn.SWITCH($H3,"Kenya","Kenyan","UAE","Emirate","Ghana","Ghanaian","Zimbabwe","Zimb","Nigeria","Nigerian","Spain","Spainish","Egypt","Egyptain","Uk","British","Uganda","Ugandan","China","Chinese","USA","American","Unkown")</f>
        <v>Emirate</v>
      </c>
      <c r="S3" s="4" t="str" cm="1">
        <f t="array" ref="S3">_xlfn.IFS($N3&lt;=300,"Low",$N3&lt;=500,"MID",$N3&lt;=1500,"High",$N3&gt;2000,"Standard")</f>
        <v>High</v>
      </c>
      <c r="T3" s="3" t="str">
        <f t="shared" ref="T3:T21" si="6">IF(AND($E3="Sales",OR($E3&gt;0.05,$D3&gt;5000)),"High","Standard")</f>
        <v>High</v>
      </c>
      <c r="U3" s="3" t="str">
        <f t="shared" ref="U3:U21" si="7">IF(ISNUMBER(SEARCH("senior",D3)),"Senior","Not Senior")</f>
        <v>Not Senior</v>
      </c>
      <c r="V3" s="6" t="str">
        <f t="shared" ref="V3:V21" si="8">IF(ISNUMBER(SEARCH("VP",D3)),"VP","No VP")</f>
        <v>No VP</v>
      </c>
      <c r="W3" s="3" t="e">
        <f>IF(ISNUMBER(SEARCH("VP",D3)),"VP"),IF(ISNUMBER(SEARCH("Director",D3)),"Director","Other")</f>
        <v>#VALUE!</v>
      </c>
      <c r="Y3" s="3" t="str">
        <f t="shared" ref="Y3:Y21" si="9">IF(ISNUMBER(SEARCH("VP",$D3)),"VP",IF(ISNUMBER(SEARCH("Director",$D3)),"Director",IF(OR(ISNUMBER(SEARCH("Manager",$D3)),ISNUMBER(SEARCH("Manager",$D3))),"Manager",IF(ISNUMBER(SEARCH("Lead",$D3)),"Lead",IF(OR(ISNUMBER(SEARCH("Sr",$D3)),ISNUMBER(SEARCH("Junior",$D3))),"Junior","Individual Contributor")))))</f>
        <v>Manager</v>
      </c>
    </row>
    <row r="4" spans="1:26" x14ac:dyDescent="0.45">
      <c r="A4" s="45" t="s">
        <v>57</v>
      </c>
      <c r="B4" s="45" t="s">
        <v>56</v>
      </c>
      <c r="C4" s="46" t="s">
        <v>80</v>
      </c>
      <c r="D4" s="45" t="s">
        <v>55</v>
      </c>
      <c r="E4" s="45" t="s">
        <v>54</v>
      </c>
      <c r="F4" s="47">
        <v>44936</v>
      </c>
      <c r="G4" s="4" t="s">
        <v>102</v>
      </c>
      <c r="H4" s="48" t="s">
        <v>53</v>
      </c>
      <c r="I4" s="49">
        <v>2200</v>
      </c>
      <c r="J4" s="50">
        <v>0.24</v>
      </c>
      <c r="K4" s="11">
        <f t="shared" ca="1" si="0"/>
        <v>3</v>
      </c>
      <c r="L4" s="11" t="str" cm="1">
        <f t="array" aca="1" ref="L4" ca="1">_xlfn.IFS($K4&lt;=5,"Junior",$K4&gt;=6,"Senior")</f>
        <v>Junior</v>
      </c>
      <c r="M4" s="11">
        <f t="shared" ca="1" si="1"/>
        <v>61.2</v>
      </c>
      <c r="N4" s="20">
        <f t="shared" si="2"/>
        <v>528</v>
      </c>
      <c r="O4" s="21">
        <f t="shared" si="3"/>
        <v>1163800</v>
      </c>
      <c r="P4" s="4" t="str">
        <f t="shared" si="4"/>
        <v>Bonus Award</v>
      </c>
      <c r="Q4" s="12" t="str">
        <f t="shared" si="5"/>
        <v>Standard</v>
      </c>
      <c r="R4" s="4" t="str" cm="1">
        <f t="array" ref="R4">_xlfn.SWITCH($H4,"Kenya","Kenyan","UAE","Emirate","Ghana","Ghanaian","Zimbabwe","Zimb","Nigeria","Nigerian","Spain","Spainish","Egypt","Egyptain","Uk","British","Uganda","Ugandan","China","Chinese","USA","American","Unkown")</f>
        <v>Ghanaian</v>
      </c>
      <c r="S4" s="4" t="str" cm="1">
        <f t="array" ref="S4">_xlfn.IFS($N4&lt;=300,"Low",$N4&lt;=500,"MID",$N4&lt;=1500,"High",$N4&gt;2000,"Standard")</f>
        <v>High</v>
      </c>
      <c r="T4" s="3" t="str">
        <f t="shared" si="6"/>
        <v>Standard</v>
      </c>
      <c r="U4" s="3" t="str">
        <f t="shared" si="7"/>
        <v>Not Senior</v>
      </c>
      <c r="V4" s="6" t="str">
        <f t="shared" si="8"/>
        <v>No VP</v>
      </c>
      <c r="W4" s="3" t="e">
        <f>IF(ISNUMBER(SEARCH("VP",D4)),"VP"),IF(ISNUMBER(SEARCH("Director",D4)),"Director","Other")</f>
        <v>#VALUE!</v>
      </c>
      <c r="Y4" s="3" t="str">
        <f t="shared" si="9"/>
        <v>Junior</v>
      </c>
    </row>
    <row r="5" spans="1:26" x14ac:dyDescent="0.45">
      <c r="A5" s="45" t="s">
        <v>52</v>
      </c>
      <c r="B5" s="45" t="s">
        <v>51</v>
      </c>
      <c r="C5" s="46" t="s">
        <v>81</v>
      </c>
      <c r="D5" s="45" t="s">
        <v>50</v>
      </c>
      <c r="E5" s="45" t="s">
        <v>6</v>
      </c>
      <c r="F5" s="47">
        <v>44155</v>
      </c>
      <c r="G5" s="4" t="s">
        <v>100</v>
      </c>
      <c r="H5" s="48" t="s">
        <v>20</v>
      </c>
      <c r="I5" s="49">
        <v>4600</v>
      </c>
      <c r="J5" s="50">
        <v>0.18</v>
      </c>
      <c r="K5" s="11">
        <f t="shared" ca="1" si="0"/>
        <v>5</v>
      </c>
      <c r="L5" s="11" t="str" cm="1">
        <f t="array" aca="1" ref="L5" ca="1">_xlfn.IFS($K5&lt;=5,"Junior",$K5&gt;=6,"Senior")</f>
        <v>Junior</v>
      </c>
      <c r="M5" s="11">
        <f t="shared" ca="1" si="1"/>
        <v>100.9</v>
      </c>
      <c r="N5" s="20">
        <f t="shared" si="2"/>
        <v>828</v>
      </c>
      <c r="O5" s="21">
        <f t="shared" si="3"/>
        <v>3813400</v>
      </c>
      <c r="P5" s="4" t="str">
        <f t="shared" si="4"/>
        <v>Bonus Award</v>
      </c>
      <c r="Q5" s="12" t="str">
        <f t="shared" si="5"/>
        <v>Standard</v>
      </c>
      <c r="R5" s="4" t="str" cm="1">
        <f t="array" ref="R5">_xlfn.SWITCH($H5,"Kenya","Kenyan","UAE","Emirate","Ghana","Ghanaian","Zimbabwe","Zimb","Nigeria","Nigerian","Spain","Spainish","Egypt","Egyptain","Uk","British","Uganda","Ugandan","China","Chinese","USA","American","Unkown")</f>
        <v>Nigerian</v>
      </c>
      <c r="S5" s="4" t="str" cm="1">
        <f t="array" ref="S5">_xlfn.IFS($N5&lt;=300,"Low",$N5&lt;=500,"MID",$N5&lt;=1500,"High",$N5&gt;2000,"Standard")</f>
        <v>High</v>
      </c>
      <c r="T5" s="3" t="str">
        <f t="shared" si="6"/>
        <v>Standard</v>
      </c>
      <c r="U5" s="3" t="str">
        <f t="shared" si="7"/>
        <v>Not Senior</v>
      </c>
      <c r="V5" s="6" t="str">
        <f t="shared" si="8"/>
        <v>No VP</v>
      </c>
      <c r="W5" s="3" t="e">
        <f>IF(ISNUMBER(SEARCH("VP",D5)),"VP"),IF(ISNUMBER(SEARCH("Director",D5)),"Director","Other")</f>
        <v>#VALUE!</v>
      </c>
      <c r="Y5" s="3" t="str">
        <f t="shared" si="9"/>
        <v>Lead</v>
      </c>
    </row>
    <row r="6" spans="1:26" x14ac:dyDescent="0.45">
      <c r="A6" s="45" t="s">
        <v>49</v>
      </c>
      <c r="B6" s="45" t="s">
        <v>48</v>
      </c>
      <c r="C6" s="46" t="s">
        <v>82</v>
      </c>
      <c r="D6" s="45" t="s">
        <v>47</v>
      </c>
      <c r="E6" s="45" t="s">
        <v>46</v>
      </c>
      <c r="F6" s="47">
        <v>44717</v>
      </c>
      <c r="G6" s="4" t="s">
        <v>103</v>
      </c>
      <c r="H6" s="48" t="s">
        <v>45</v>
      </c>
      <c r="I6" s="49">
        <v>4800</v>
      </c>
      <c r="J6" s="50">
        <v>0.1</v>
      </c>
      <c r="K6" s="11">
        <f t="shared" ca="1" si="0"/>
        <v>3</v>
      </c>
      <c r="L6" s="11" t="str" cm="1">
        <f t="array" aca="1" ref="L6" ca="1">_xlfn.IFS($K6&lt;=5,"Junior",$K6&gt;=6,"Senior")</f>
        <v>Junior</v>
      </c>
      <c r="M6" s="11">
        <f t="shared" ca="1" si="1"/>
        <v>60.5</v>
      </c>
      <c r="N6" s="20">
        <f t="shared" si="2"/>
        <v>480</v>
      </c>
      <c r="O6" s="21">
        <f t="shared" si="3"/>
        <v>2308800</v>
      </c>
      <c r="P6" s="4" t="str">
        <f t="shared" si="4"/>
        <v>Bonus Award</v>
      </c>
      <c r="Q6" s="12" t="str">
        <f t="shared" si="5"/>
        <v>High</v>
      </c>
      <c r="R6" s="4" t="str" cm="1">
        <f t="array" ref="R6">_xlfn.SWITCH($H6,"Kenya","Kenyan","UAE","Emirate","Ghana","Ghanaian","Zimbabwe","Zimb","Nigeria","Nigerian","Spain","Spainish","Egypt","Egyptain","Uk","British","Uganda","Ugandan","China","Chinese","USA","American","Unkown")</f>
        <v>Chinese</v>
      </c>
      <c r="S6" s="4" t="str" cm="1">
        <f t="array" ref="S6">_xlfn.IFS($N6&lt;=300,"Low",$N6&lt;=500,"MID",$N6&lt;=1500,"High",$N6&gt;2000,"Standard")</f>
        <v>MID</v>
      </c>
      <c r="T6" s="3" t="str">
        <f t="shared" si="6"/>
        <v>Standard</v>
      </c>
      <c r="U6" s="3" t="str">
        <f t="shared" si="7"/>
        <v>Not Senior</v>
      </c>
      <c r="V6" s="6" t="str">
        <f t="shared" si="8"/>
        <v>No VP</v>
      </c>
      <c r="W6" s="3" t="e">
        <f>IF(ISNUMBER(SEARCH("VP",D6)),"VP"),IF(ISNUMBER(SEARCH("Director",D6)),"Director","Other")</f>
        <v>#VALUE!</v>
      </c>
      <c r="Y6" s="3" t="str">
        <f t="shared" si="9"/>
        <v>Individual Contributor</v>
      </c>
    </row>
    <row r="7" spans="1:26" ht="32" x14ac:dyDescent="0.45">
      <c r="A7" s="45" t="s">
        <v>44</v>
      </c>
      <c r="B7" s="45" t="s">
        <v>43</v>
      </c>
      <c r="C7" s="46" t="s">
        <v>83</v>
      </c>
      <c r="D7" s="45" t="s">
        <v>42</v>
      </c>
      <c r="E7" s="45" t="s">
        <v>41</v>
      </c>
      <c r="F7" s="47">
        <v>45034</v>
      </c>
      <c r="G7" s="4" t="s">
        <v>104</v>
      </c>
      <c r="H7" s="48" t="s">
        <v>40</v>
      </c>
      <c r="I7" s="49">
        <v>2000</v>
      </c>
      <c r="J7" s="50">
        <v>0.21</v>
      </c>
      <c r="K7" s="11">
        <f t="shared" ca="1" si="0"/>
        <v>2</v>
      </c>
      <c r="L7" s="11" t="str" cm="1">
        <f t="array" aca="1" ref="L7" ca="1">_xlfn.IFS($K7&lt;=5,"Junior",$K7&gt;=6,"Senior")</f>
        <v>Junior</v>
      </c>
      <c r="M7" s="11">
        <f t="shared" ca="1" si="1"/>
        <v>41.1</v>
      </c>
      <c r="N7" s="20">
        <f t="shared" si="2"/>
        <v>420</v>
      </c>
      <c r="O7" s="21">
        <f t="shared" si="3"/>
        <v>842000</v>
      </c>
      <c r="P7" s="4" t="str">
        <f t="shared" si="4"/>
        <v>Bonus Award</v>
      </c>
      <c r="Q7" s="12" t="str">
        <f t="shared" si="5"/>
        <v>Standard</v>
      </c>
      <c r="R7" s="4" t="str" cm="1">
        <f t="array" ref="R7">_xlfn.SWITCH($H7,"Kenya","Kenyan","UAE","Emirate","Ghana","Ghanaian","Zimbabwe","Zimb","Nigeria","Nigerian","Spain","Spainish","Egypt","Egyptain","Uk","British","Uganda","Ugandan","China","Chinese","USA","American","Unkown")</f>
        <v>Zimb</v>
      </c>
      <c r="S7" s="4" t="str" cm="1">
        <f t="array" ref="S7">_xlfn.IFS($N7&lt;=300,"Low",$N7&lt;=500,"MID",$N7&lt;=1500,"High",$N7&gt;2000,"Standard")</f>
        <v>MID</v>
      </c>
      <c r="T7" s="3" t="str">
        <f t="shared" si="6"/>
        <v>Standard</v>
      </c>
      <c r="U7" s="3" t="str">
        <f t="shared" si="7"/>
        <v>Not Senior</v>
      </c>
      <c r="V7" s="6" t="str">
        <f t="shared" si="8"/>
        <v>No VP</v>
      </c>
      <c r="W7" s="3" t="e">
        <f>IF(ISNUMBER(SEARCH("VP",D7)),"VP"),IF(ISNUMBER(SEARCH("Director",D7)),"Director","Other")</f>
        <v>#VALUE!</v>
      </c>
      <c r="Y7" s="3" t="str">
        <f t="shared" si="9"/>
        <v>Individual Contributor</v>
      </c>
    </row>
    <row r="8" spans="1:26" x14ac:dyDescent="0.45">
      <c r="A8" s="45" t="s">
        <v>39</v>
      </c>
      <c r="B8" s="45" t="s">
        <v>38</v>
      </c>
      <c r="C8" s="46" t="s">
        <v>84</v>
      </c>
      <c r="D8" s="45" t="s">
        <v>37</v>
      </c>
      <c r="E8" s="45" t="s">
        <v>21</v>
      </c>
      <c r="F8" s="47">
        <v>43738</v>
      </c>
      <c r="G8" s="4" t="s">
        <v>102</v>
      </c>
      <c r="H8" s="48" t="s">
        <v>36</v>
      </c>
      <c r="I8" s="49">
        <v>7500</v>
      </c>
      <c r="J8" s="50">
        <v>0.28000000000000003</v>
      </c>
      <c r="K8" s="11">
        <f t="shared" ca="1" si="0"/>
        <v>6</v>
      </c>
      <c r="L8" s="11" t="str" cm="1">
        <f t="array" aca="1" ref="L8" ca="1">_xlfn.IFS($K8&lt;=5,"Junior",$K8&gt;=6,"Senior")</f>
        <v>Senior</v>
      </c>
      <c r="M8" s="11">
        <f t="shared" ca="1" si="1"/>
        <v>121.4</v>
      </c>
      <c r="N8" s="20">
        <f t="shared" si="2"/>
        <v>2100</v>
      </c>
      <c r="O8" s="21">
        <f t="shared" si="3"/>
        <v>15757500</v>
      </c>
      <c r="P8" s="4" t="str">
        <f t="shared" si="4"/>
        <v>Bonus Award</v>
      </c>
      <c r="Q8" s="12" t="str">
        <f t="shared" si="5"/>
        <v>Standard</v>
      </c>
      <c r="R8" s="4" t="str" cm="1">
        <f t="array" ref="R8">_xlfn.SWITCH($H8,"Kenya","Kenyan","UAE","Emirate","Ghana","Ghanaian","Zimbabwe","Zimb","Nigeria","Nigerian","Spain","Spainish","Egypt","Egyptain","Uk","British","Uganda","Ugandan","China","Chinese","USA","American","Unkown")</f>
        <v>American</v>
      </c>
      <c r="S8" s="4" t="str" cm="1">
        <f t="array" ref="S8">_xlfn.IFS($N8&lt;=300,"Low",$N8&lt;=500,"MID",$N8&lt;=1500,"High",$N8&gt;2000,"Standard")</f>
        <v>Standard</v>
      </c>
      <c r="T8" s="3" t="str">
        <f t="shared" si="6"/>
        <v>Standard</v>
      </c>
      <c r="U8" s="3" t="str">
        <f t="shared" si="7"/>
        <v>Not Senior</v>
      </c>
      <c r="V8" s="6" t="str">
        <f t="shared" si="8"/>
        <v>No VP</v>
      </c>
      <c r="W8" s="3" t="e">
        <f>IF(ISNUMBER(SEARCH("VP",D8)),"VP"),IF(ISNUMBER(SEARCH("Director",D8)),"Director","Other")</f>
        <v>#VALUE!</v>
      </c>
      <c r="Y8" s="3" t="str">
        <f t="shared" si="9"/>
        <v>Director</v>
      </c>
    </row>
    <row r="9" spans="1:26" x14ac:dyDescent="0.45">
      <c r="A9" s="45" t="s">
        <v>35</v>
      </c>
      <c r="B9" s="45" t="s">
        <v>34</v>
      </c>
      <c r="C9" s="46" t="s">
        <v>85</v>
      </c>
      <c r="D9" s="45" t="s">
        <v>33</v>
      </c>
      <c r="E9" s="45" t="s">
        <v>32</v>
      </c>
      <c r="F9" s="47">
        <v>43145</v>
      </c>
      <c r="G9" s="4" t="s">
        <v>104</v>
      </c>
      <c r="H9" s="48" t="s">
        <v>31</v>
      </c>
      <c r="I9" s="49">
        <v>9800</v>
      </c>
      <c r="J9" s="50">
        <v>0</v>
      </c>
      <c r="K9" s="11">
        <f t="shared" ca="1" si="0"/>
        <v>7</v>
      </c>
      <c r="L9" s="11" t="str" cm="1">
        <f t="array" aca="1" ref="L9" ca="1">_xlfn.IFS($K9&lt;=5,"Junior",$K9&gt;=6,"Senior")</f>
        <v>Senior</v>
      </c>
      <c r="M9" s="11">
        <f t="shared" ca="1" si="1"/>
        <v>140</v>
      </c>
      <c r="N9" s="20">
        <f t="shared" si="2"/>
        <v>0</v>
      </c>
      <c r="O9" s="21">
        <f t="shared" si="3"/>
        <v>9800</v>
      </c>
      <c r="P9" s="4" t="str">
        <f t="shared" si="4"/>
        <v>No Bonus</v>
      </c>
      <c r="Q9" s="12" t="str">
        <f t="shared" si="5"/>
        <v>Standard</v>
      </c>
      <c r="R9" s="4" t="str" cm="1">
        <f t="array" ref="R9">_xlfn.SWITCH($H9,"Kenya","Kenyan","UAE","Emirate","Ghana","Ghanaian","Zimbabwe","Zimb","Nigeria","Nigerian","Spain","Spainish","Egypt","Egyptain","Uk","British","Uganda","Ugandan","China","Chinese","USA","American","Unkown")</f>
        <v>Emirate</v>
      </c>
      <c r="S9" s="4" t="str" cm="1">
        <f t="array" ref="S9">_xlfn.IFS($N9&lt;=300,"Low",$N9&lt;=500,"MID",$N9&lt;=1500,"High",$N9&gt;2000,"Standard")</f>
        <v>Low</v>
      </c>
      <c r="T9" s="3" t="str">
        <f t="shared" si="6"/>
        <v>High</v>
      </c>
      <c r="U9" s="3" t="str">
        <f t="shared" si="7"/>
        <v>Not Senior</v>
      </c>
      <c r="V9" s="6" t="str">
        <f t="shared" si="8"/>
        <v>VP</v>
      </c>
      <c r="W9" s="3" t="e">
        <f>IF(ISNUMBER(SEARCH("VP",D9)),"VP"),IF(ISNUMBER(SEARCH("Director",D9)),"Director","Other")</f>
        <v>#VALUE!</v>
      </c>
      <c r="Y9" s="3" t="str">
        <f t="shared" si="9"/>
        <v>VP</v>
      </c>
    </row>
    <row r="10" spans="1:26" x14ac:dyDescent="0.45">
      <c r="A10" s="45" t="s">
        <v>30</v>
      </c>
      <c r="B10" s="45" t="s">
        <v>29</v>
      </c>
      <c r="C10" s="46" t="s">
        <v>86</v>
      </c>
      <c r="D10" s="45" t="s">
        <v>28</v>
      </c>
      <c r="E10" s="45" t="s">
        <v>27</v>
      </c>
      <c r="F10" s="47">
        <v>44531</v>
      </c>
      <c r="G10" s="4" t="s">
        <v>105</v>
      </c>
      <c r="H10" s="48" t="s">
        <v>0</v>
      </c>
      <c r="I10" s="49">
        <v>3900</v>
      </c>
      <c r="J10" s="50">
        <v>0.31</v>
      </c>
      <c r="K10" s="11">
        <f t="shared" ca="1" si="0"/>
        <v>4</v>
      </c>
      <c r="L10" s="11" t="str" cm="1">
        <f t="array" aca="1" ref="L10" ca="1">_xlfn.IFS($K10&lt;=5,"Junior",$K10&gt;=6,"Senior")</f>
        <v>Junior</v>
      </c>
      <c r="M10" s="11">
        <f t="shared" ca="1" si="1"/>
        <v>81.599999999999994</v>
      </c>
      <c r="N10" s="20">
        <f t="shared" si="2"/>
        <v>1209</v>
      </c>
      <c r="O10" s="21">
        <f t="shared" si="3"/>
        <v>4719000</v>
      </c>
      <c r="P10" s="4" t="str">
        <f t="shared" si="4"/>
        <v>Bonus Award</v>
      </c>
      <c r="Q10" s="12" t="str">
        <f t="shared" si="5"/>
        <v>Standard</v>
      </c>
      <c r="R10" s="4" t="str" cm="1">
        <f t="array" ref="R10">_xlfn.SWITCH($H10,"Kenya","Kenyan","UAE","Emirate","Ghana","Ghanaian","Zimbabwe","Zimb","Nigeria","Nigerian","Spain","Spainish","Egypt","Egyptain","Uk","British","Uganda","Ugandan","China","Chinese","USA","American","Unkown")</f>
        <v>Kenyan</v>
      </c>
      <c r="S10" s="4" t="str" cm="1">
        <f t="array" ref="S10">_xlfn.IFS($N10&lt;=300,"Low",$N10&lt;=500,"MID",$N10&lt;=1500,"High",$N10&gt;2000,"Standard")</f>
        <v>High</v>
      </c>
      <c r="T10" s="3" t="str">
        <f t="shared" si="6"/>
        <v>Standard</v>
      </c>
      <c r="U10" s="3" t="str">
        <f t="shared" si="7"/>
        <v>Not Senior</v>
      </c>
      <c r="V10" s="6" t="str">
        <f t="shared" si="8"/>
        <v>No VP</v>
      </c>
      <c r="W10" s="3" t="e">
        <f>IF(ISNUMBER(SEARCH("VP",D10)),"VP"),IF(ISNUMBER(SEARCH("Director",D10)),"Director","Other")</f>
        <v>#VALUE!</v>
      </c>
      <c r="Y10" s="3" t="str">
        <f t="shared" si="9"/>
        <v>Individual Contributor</v>
      </c>
    </row>
    <row r="11" spans="1:26" ht="32" x14ac:dyDescent="0.45">
      <c r="A11" s="45" t="s">
        <v>26</v>
      </c>
      <c r="B11" s="45" t="s">
        <v>25</v>
      </c>
      <c r="C11" s="46" t="s">
        <v>87</v>
      </c>
      <c r="D11" s="45" t="s">
        <v>24</v>
      </c>
      <c r="E11" s="45" t="s">
        <v>1</v>
      </c>
      <c r="F11" s="47">
        <v>45163</v>
      </c>
      <c r="G11" s="4" t="s">
        <v>106</v>
      </c>
      <c r="H11" s="48" t="s">
        <v>0</v>
      </c>
      <c r="I11" s="49">
        <v>4100</v>
      </c>
      <c r="J11" s="50">
        <v>0.23</v>
      </c>
      <c r="K11" s="11">
        <f t="shared" ca="1" si="0"/>
        <v>2</v>
      </c>
      <c r="L11" s="11" t="str" cm="1">
        <f t="array" aca="1" ref="L11" ca="1">_xlfn.IFS($K11&lt;=5,"Junior",$K11&gt;=6,"Senior")</f>
        <v>Junior</v>
      </c>
      <c r="M11" s="11">
        <f t="shared" ca="1" si="1"/>
        <v>41.2</v>
      </c>
      <c r="N11" s="20">
        <f t="shared" si="2"/>
        <v>943</v>
      </c>
      <c r="O11" s="21">
        <f t="shared" si="3"/>
        <v>3870400</v>
      </c>
      <c r="P11" s="4" t="str">
        <f t="shared" si="4"/>
        <v>Bonus Award</v>
      </c>
      <c r="Q11" s="12" t="str">
        <f t="shared" si="5"/>
        <v>Standard</v>
      </c>
      <c r="R11" s="4" t="str" cm="1">
        <f t="array" ref="R11">_xlfn.SWITCH($H11,"Kenya","Kenyan","UAE","Emirate","Ghana","Ghanaian","Zimbabwe","Zimb","Nigeria","Nigerian","Spain","Spainish","Egypt","Egyptain","Uk","British","Uganda","Ugandan","China","Chinese","USA","American","Unkown")</f>
        <v>Kenyan</v>
      </c>
      <c r="S11" s="4" t="str" cm="1">
        <f t="array" ref="S11">_xlfn.IFS($N11&lt;=300,"Low",$N11&lt;=500,"MID",$N11&lt;=1500,"High",$N11&gt;2000,"Standard")</f>
        <v>High</v>
      </c>
      <c r="T11" s="3" t="str">
        <f t="shared" si="6"/>
        <v>Standard</v>
      </c>
      <c r="U11" s="3" t="str">
        <f t="shared" si="7"/>
        <v>Not Senior</v>
      </c>
      <c r="V11" s="6" t="str">
        <f t="shared" si="8"/>
        <v>No VP</v>
      </c>
      <c r="W11" s="3" t="e">
        <f>IF(ISNUMBER(SEARCH("VP",D11)),"VP"),IF(ISNUMBER(SEARCH("Director",D11)),"Director","Other")</f>
        <v>#VALUE!</v>
      </c>
      <c r="Y11" s="3" t="str">
        <f t="shared" si="9"/>
        <v>Individual Contributor</v>
      </c>
    </row>
    <row r="12" spans="1:26" x14ac:dyDescent="0.45">
      <c r="A12" s="45" t="s">
        <v>23</v>
      </c>
      <c r="B12" s="45" t="s">
        <v>22</v>
      </c>
      <c r="C12" s="46" t="s">
        <v>88</v>
      </c>
      <c r="D12" s="45" t="s">
        <v>37</v>
      </c>
      <c r="E12" s="45" t="s">
        <v>21</v>
      </c>
      <c r="F12" s="47">
        <v>43962</v>
      </c>
      <c r="G12" s="4" t="s">
        <v>107</v>
      </c>
      <c r="H12" s="48" t="s">
        <v>20</v>
      </c>
      <c r="I12" s="49">
        <v>5300</v>
      </c>
      <c r="J12" s="50">
        <v>0</v>
      </c>
      <c r="K12" s="11">
        <f t="shared" ca="1" si="0"/>
        <v>5</v>
      </c>
      <c r="L12" s="11" t="str" cm="1">
        <f t="array" aca="1" ref="L12" ca="1">_xlfn.IFS($K12&lt;=5,"Junior",$K12&gt;=6,"Senior")</f>
        <v>Junior</v>
      </c>
      <c r="M12" s="11">
        <f t="shared" ca="1" si="1"/>
        <v>100</v>
      </c>
      <c r="N12" s="20">
        <f t="shared" si="2"/>
        <v>0</v>
      </c>
      <c r="O12" s="21">
        <f t="shared" si="3"/>
        <v>5300</v>
      </c>
      <c r="P12" s="4" t="str">
        <f t="shared" si="4"/>
        <v>No Bonus</v>
      </c>
      <c r="Q12" s="12" t="str">
        <f t="shared" si="5"/>
        <v>Standard</v>
      </c>
      <c r="R12" s="4" t="str" cm="1">
        <f t="array" ref="R12">_xlfn.SWITCH($H12,"Kenya","Kenyan","UAE","Emirate","Ghana","Ghanaian","Zimbabwe","Zimb","Nigeria","Nigerian","Spain","Spainish","Egypt","Egyptain","Uk","British","Uganda","Ugandan","China","Chinese","USA","American","Unkown")</f>
        <v>Nigerian</v>
      </c>
      <c r="S12" s="4" t="str" cm="1">
        <f t="array" ref="S12">_xlfn.IFS($N12&lt;=300,"Low",$N12&lt;=500,"MID",$N12&lt;=1500,"High",$N12&gt;2000,"Standard")</f>
        <v>Low</v>
      </c>
      <c r="T12" s="3" t="str">
        <f t="shared" si="6"/>
        <v>Standard</v>
      </c>
      <c r="U12" s="3" t="str">
        <f t="shared" si="7"/>
        <v>Not Senior</v>
      </c>
      <c r="V12" s="6" t="str">
        <f t="shared" si="8"/>
        <v>No VP</v>
      </c>
      <c r="W12" s="3" t="e">
        <f>IF(ISNUMBER(SEARCH("VP",D12)),"VP"),IF(ISNUMBER(SEARCH("Director",D12)),"Director","Other")</f>
        <v>#VALUE!</v>
      </c>
      <c r="Y12" s="3" t="str">
        <f t="shared" si="9"/>
        <v>Director</v>
      </c>
    </row>
    <row r="13" spans="1:26" ht="32" x14ac:dyDescent="0.45">
      <c r="A13" s="45" t="s">
        <v>19</v>
      </c>
      <c r="B13" s="45" t="s">
        <v>18</v>
      </c>
      <c r="C13" s="46" t="s">
        <v>89</v>
      </c>
      <c r="D13" s="45" t="s">
        <v>17</v>
      </c>
      <c r="E13" s="45" t="s">
        <v>16</v>
      </c>
      <c r="F13" s="47">
        <v>43745</v>
      </c>
      <c r="G13" s="4" t="s">
        <v>108</v>
      </c>
      <c r="H13" s="48" t="s">
        <v>15</v>
      </c>
      <c r="I13" s="49">
        <v>6000</v>
      </c>
      <c r="J13" s="50">
        <v>0.09</v>
      </c>
      <c r="K13" s="11">
        <f t="shared" ca="1" si="0"/>
        <v>6</v>
      </c>
      <c r="L13" s="11" t="str" cm="1">
        <f t="array" aca="1" ref="L13" ca="1">_xlfn.IFS($K13&lt;=5,"Junior",$K13&gt;=6,"Senior")</f>
        <v>Senior</v>
      </c>
      <c r="M13" s="11">
        <f t="shared" ca="1" si="1"/>
        <v>120.5</v>
      </c>
      <c r="N13" s="20">
        <f t="shared" si="2"/>
        <v>540</v>
      </c>
      <c r="O13" s="21">
        <f t="shared" si="3"/>
        <v>3246000</v>
      </c>
      <c r="P13" s="4" t="str">
        <f t="shared" si="4"/>
        <v>Bonus Award</v>
      </c>
      <c r="Q13" s="12" t="str">
        <f t="shared" si="5"/>
        <v>Standard</v>
      </c>
      <c r="R13" s="4" t="str" cm="1">
        <f t="array" ref="R13">_xlfn.SWITCH($H13,"Kenya","Kenyan","UAE","Emirate","Ghana","Ghanaian","Zimbabwe","Zimb","Nigeria","Nigerian","Spain","Spainish","Egypt","Egyptain","Uk","British","Uganda","Ugandan","China","Chinese","USA","American","Unkown")</f>
        <v>Spainish</v>
      </c>
      <c r="S13" s="4" t="str" cm="1">
        <f t="array" ref="S13">_xlfn.IFS($N13&lt;=300,"Low",$N13&lt;=500,"MID",$N13&lt;=1500,"High",$N13&gt;2000,"Standard")</f>
        <v>High</v>
      </c>
      <c r="T13" s="3" t="str">
        <f t="shared" si="6"/>
        <v>Standard</v>
      </c>
      <c r="U13" s="3" t="str">
        <f t="shared" si="7"/>
        <v>Not Senior</v>
      </c>
      <c r="V13" s="6" t="str">
        <f t="shared" si="8"/>
        <v>No VP</v>
      </c>
      <c r="W13" s="3" t="e">
        <f>IF(ISNUMBER(SEARCH("VP",D13)),"VP"),IF(ISNUMBER(SEARCH("Director",D13)),"Director","Other")</f>
        <v>#VALUE!</v>
      </c>
      <c r="Y13" s="3" t="str">
        <f t="shared" si="9"/>
        <v>Manager</v>
      </c>
    </row>
    <row r="14" spans="1:26" ht="33" x14ac:dyDescent="0.45">
      <c r="A14" s="45" t="s">
        <v>14</v>
      </c>
      <c r="B14" s="45" t="s">
        <v>13</v>
      </c>
      <c r="C14" s="46" t="s">
        <v>90</v>
      </c>
      <c r="D14" s="45" t="s">
        <v>12</v>
      </c>
      <c r="E14" s="45" t="s">
        <v>11</v>
      </c>
      <c r="F14" s="47">
        <v>45296</v>
      </c>
      <c r="G14" s="4" t="s">
        <v>101</v>
      </c>
      <c r="H14" s="48" t="s">
        <v>10</v>
      </c>
      <c r="I14" s="49">
        <v>1500</v>
      </c>
      <c r="J14" s="50">
        <v>0.1</v>
      </c>
      <c r="K14" s="11">
        <f t="shared" ca="1" si="0"/>
        <v>2</v>
      </c>
      <c r="L14" s="11" t="str" cm="1">
        <f t="array" aca="1" ref="L14" ca="1">_xlfn.IFS($K14&lt;=5,"Junior",$K14&gt;=6,"Senior")</f>
        <v>Junior</v>
      </c>
      <c r="M14" s="11">
        <f t="shared" ca="1" si="1"/>
        <v>40.5</v>
      </c>
      <c r="N14" s="20">
        <f t="shared" si="2"/>
        <v>150</v>
      </c>
      <c r="O14" s="21">
        <f t="shared" si="3"/>
        <v>226500</v>
      </c>
      <c r="P14" s="4" t="str">
        <f t="shared" si="4"/>
        <v>Bonus Award</v>
      </c>
      <c r="Q14" s="12" t="str">
        <f t="shared" si="5"/>
        <v>Standard</v>
      </c>
      <c r="R14" s="4" t="str" cm="1">
        <f t="array" ref="R14">_xlfn.SWITCH($H14,"Kenya","Kenyan","UAE","Emirate","Ghana","Ghanaian","Zimbabwe","Zimb","Nigeria","Nigerian","Spain","Spainish","Egypt","Egyptain","Uk","British","Uganda","Ugandan","China","Chinese","USA","American","Unkown")</f>
        <v>Egyptain</v>
      </c>
      <c r="S14" s="4" t="str" cm="1">
        <f t="array" ref="S14">_xlfn.IFS($N14&lt;=300,"Low",$N14&lt;=500,"MID",$N14&lt;=1500,"High",$N14&gt;2000,"Standard")</f>
        <v>Low</v>
      </c>
      <c r="T14" s="3" t="str">
        <f t="shared" si="6"/>
        <v>Standard</v>
      </c>
      <c r="U14" s="3" t="str">
        <f t="shared" si="7"/>
        <v>Not Senior</v>
      </c>
      <c r="V14" s="6" t="str">
        <f t="shared" si="8"/>
        <v>No VP</v>
      </c>
      <c r="W14" s="3" t="e">
        <f>IF(ISNUMBER(SEARCH("VP",D14)),"VP"),IF(ISNUMBER(SEARCH("Director",D14)),"Director","Other")</f>
        <v>#VALUE!</v>
      </c>
      <c r="Y14" s="3" t="str">
        <f t="shared" si="9"/>
        <v>Individual Contributor</v>
      </c>
    </row>
    <row r="15" spans="1:26" ht="32" x14ac:dyDescent="0.45">
      <c r="A15" s="45" t="s">
        <v>9</v>
      </c>
      <c r="B15" s="45" t="s">
        <v>8</v>
      </c>
      <c r="C15" s="46" t="s">
        <v>91</v>
      </c>
      <c r="D15" s="45" t="s">
        <v>7</v>
      </c>
      <c r="E15" s="45" t="s">
        <v>6</v>
      </c>
      <c r="F15" s="47">
        <v>44823</v>
      </c>
      <c r="G15" s="4" t="s">
        <v>103</v>
      </c>
      <c r="H15" s="48" t="s">
        <v>5</v>
      </c>
      <c r="I15" s="49">
        <v>4300</v>
      </c>
      <c r="J15" s="50">
        <v>0.24</v>
      </c>
      <c r="K15" s="11">
        <f t="shared" ca="1" si="0"/>
        <v>3</v>
      </c>
      <c r="L15" s="11" t="str" cm="1">
        <f t="array" aca="1" ref="L15" ca="1">_xlfn.IFS($K15&lt;=5,"Junior",$K15&gt;=6,"Senior")</f>
        <v>Junior</v>
      </c>
      <c r="M15" s="11">
        <f t="shared" ca="1" si="1"/>
        <v>61.2</v>
      </c>
      <c r="N15" s="20">
        <f t="shared" si="2"/>
        <v>1032</v>
      </c>
      <c r="O15" s="21">
        <f t="shared" si="3"/>
        <v>4441900</v>
      </c>
      <c r="P15" s="4" t="str">
        <f t="shared" si="4"/>
        <v>Bonus Award</v>
      </c>
      <c r="Q15" s="12" t="str">
        <f t="shared" si="5"/>
        <v>Standard</v>
      </c>
      <c r="R15" s="4" t="str" cm="1">
        <f t="array" ref="R15">_xlfn.SWITCH($H15,"Kenya","Kenyan","UAE","Emirate","Ghana","Ghanaian","Zimbabwe","Zimb","Nigeria","Nigerian","Spain","Spainish","Egypt","Egyptain","Uk","British","Uganda","Ugandan","China","Chinese","USA","American","Unkown")</f>
        <v>British</v>
      </c>
      <c r="S15" s="4" t="str" cm="1">
        <f t="array" ref="S15">_xlfn.IFS($N15&lt;=300,"Low",$N15&lt;=500,"MID",$N15&lt;=1500,"High",$N15&gt;2000,"Standard")</f>
        <v>High</v>
      </c>
      <c r="T15" s="3" t="str">
        <f t="shared" si="6"/>
        <v>Standard</v>
      </c>
      <c r="U15" s="3" t="str">
        <f t="shared" si="7"/>
        <v>Not Senior</v>
      </c>
      <c r="V15" s="6" t="str">
        <f t="shared" si="8"/>
        <v>No VP</v>
      </c>
      <c r="W15" s="3" t="e">
        <f>IF(ISNUMBER(SEARCH("VP",D15)),"VP"),IF(ISNUMBER(SEARCH("Director",D15)),"Director","Other")</f>
        <v>#VALUE!</v>
      </c>
      <c r="Y15" s="3" t="str">
        <f t="shared" si="9"/>
        <v>Individual Contributor</v>
      </c>
    </row>
    <row r="16" spans="1:26" x14ac:dyDescent="0.45">
      <c r="A16" s="45" t="s">
        <v>4</v>
      </c>
      <c r="B16" s="45" t="s">
        <v>3</v>
      </c>
      <c r="C16" s="46" t="s">
        <v>92</v>
      </c>
      <c r="D16" s="45" t="s">
        <v>2</v>
      </c>
      <c r="E16" s="45" t="s">
        <v>1</v>
      </c>
      <c r="F16" s="47">
        <v>45089</v>
      </c>
      <c r="G16" s="4" t="s">
        <v>108</v>
      </c>
      <c r="H16" s="48" t="s">
        <v>0</v>
      </c>
      <c r="I16" s="49">
        <v>2800</v>
      </c>
      <c r="J16" s="50">
        <v>0.3</v>
      </c>
      <c r="K16" s="11">
        <f t="shared" ca="1" si="0"/>
        <v>2</v>
      </c>
      <c r="L16" s="11" t="str" cm="1">
        <f t="array" aca="1" ref="L16" ca="1">_xlfn.IFS($K16&lt;=5,"Junior",$K16&gt;=6,"Senior")</f>
        <v>Junior</v>
      </c>
      <c r="M16" s="11">
        <f t="shared" ca="1" si="1"/>
        <v>41.5</v>
      </c>
      <c r="N16" s="20">
        <f t="shared" si="2"/>
        <v>840</v>
      </c>
      <c r="O16" s="21">
        <f t="shared" si="3"/>
        <v>2354800</v>
      </c>
      <c r="P16" s="4" t="str">
        <f t="shared" si="4"/>
        <v>Bonus Award</v>
      </c>
      <c r="Q16" s="12" t="str">
        <f t="shared" si="5"/>
        <v>Standard</v>
      </c>
      <c r="R16" s="4" t="str" cm="1">
        <f t="array" ref="R16">_xlfn.SWITCH($H16,"Kenya","Kenyan","UAE","Emirate","Ghana","Ghanaian","Zimbabwe","Zimb","Nigeria","Nigerian","Spain","Spainish","Egypt","Egyptain","Uk","British","Uganda","Ugandan","China","Chinese","USA","American","Unkown")</f>
        <v>Kenyan</v>
      </c>
      <c r="S16" s="4" t="str" cm="1">
        <f t="array" ref="S16">_xlfn.IFS($N16&lt;=300,"Low",$N16&lt;=500,"MID",$N16&lt;=1500,"High",$N16&gt;2000,"Standard")</f>
        <v>High</v>
      </c>
      <c r="T16" s="3" t="str">
        <f t="shared" si="6"/>
        <v>Standard</v>
      </c>
      <c r="U16" s="3" t="str">
        <f t="shared" si="7"/>
        <v>Not Senior</v>
      </c>
      <c r="V16" s="6" t="str">
        <f t="shared" si="8"/>
        <v>No VP</v>
      </c>
      <c r="W16" s="3" t="e">
        <f>IF(ISNUMBER(SEARCH("VP",D16)),"VP"),IF(ISNUMBER(SEARCH("Director",D16)),"Director","Other")</f>
        <v>#VALUE!</v>
      </c>
      <c r="Y16" s="3" t="str">
        <f t="shared" si="9"/>
        <v>Junior</v>
      </c>
    </row>
    <row r="17" spans="1:81" x14ac:dyDescent="0.45">
      <c r="A17" s="51" t="s">
        <v>93</v>
      </c>
      <c r="B17" s="51" t="s">
        <v>98</v>
      </c>
      <c r="C17" s="52" t="s">
        <v>113</v>
      </c>
      <c r="D17" s="45" t="s">
        <v>55</v>
      </c>
      <c r="E17" s="45" t="s">
        <v>41</v>
      </c>
      <c r="F17" s="47">
        <v>45090</v>
      </c>
      <c r="G17" s="4" t="s">
        <v>108</v>
      </c>
      <c r="H17" s="48" t="s">
        <v>0</v>
      </c>
      <c r="I17" s="49">
        <v>2800</v>
      </c>
      <c r="J17" s="50">
        <v>0.08</v>
      </c>
      <c r="K17" s="11">
        <f t="shared" ca="1" si="0"/>
        <v>2</v>
      </c>
      <c r="L17" s="11" t="str" cm="1">
        <f t="array" aca="1" ref="L17" ca="1">_xlfn.IFS($K17&lt;=5,"Junior",$K17&gt;=6,"Senior")</f>
        <v>Junior</v>
      </c>
      <c r="M17" s="11">
        <f t="shared" ca="1" si="1"/>
        <v>40.4</v>
      </c>
      <c r="N17" s="20">
        <f t="shared" si="2"/>
        <v>224</v>
      </c>
      <c r="O17" s="21">
        <f t="shared" si="3"/>
        <v>630000</v>
      </c>
      <c r="P17" s="4" t="str">
        <f t="shared" si="4"/>
        <v>Bonus Award</v>
      </c>
      <c r="Q17" s="12" t="str">
        <f t="shared" si="5"/>
        <v>Standard</v>
      </c>
      <c r="R17" s="4" t="str" cm="1">
        <f t="array" ref="R17">_xlfn.SWITCH($H17,"Kenya","Kenyan","UAE","Emirate","Ghana","Ghanaian","Zimbabwe","Zimb","Nigeria","Nigerian","Spain","Spainish","Egypt","Egyptain","Uk","British","Uganda","Ugandan","China","Chinese","USA","American","Unkown")</f>
        <v>Kenyan</v>
      </c>
      <c r="S17" s="4" t="str" cm="1">
        <f t="array" ref="S17">_xlfn.IFS($N17&lt;=300,"Low",$N17&lt;=500,"MID",$N17&lt;=1500,"High",$N17&gt;2000,"Standard")</f>
        <v>Low</v>
      </c>
      <c r="T17" s="3" t="str">
        <f t="shared" si="6"/>
        <v>Standard</v>
      </c>
      <c r="U17" s="3" t="str">
        <f t="shared" si="7"/>
        <v>Not Senior</v>
      </c>
      <c r="V17" s="6" t="str">
        <f t="shared" si="8"/>
        <v>No VP</v>
      </c>
      <c r="W17" s="3" t="e">
        <f>IF(ISNUMBER(SEARCH("VP",D17)),"VP"),IF(ISNUMBER(SEARCH("Director",D17)),"Director","Other")</f>
        <v>#VALUE!</v>
      </c>
      <c r="Y17" s="3" t="str">
        <f t="shared" si="9"/>
        <v>Junior</v>
      </c>
    </row>
    <row r="18" spans="1:81" x14ac:dyDescent="0.45">
      <c r="A18" s="51" t="s">
        <v>94</v>
      </c>
      <c r="B18" s="51" t="s">
        <v>109</v>
      </c>
      <c r="C18" s="52" t="s">
        <v>114</v>
      </c>
      <c r="D18" s="45" t="s">
        <v>2</v>
      </c>
      <c r="E18" s="45" t="s">
        <v>1</v>
      </c>
      <c r="F18" s="47">
        <v>45091</v>
      </c>
      <c r="G18" s="4" t="s">
        <v>100</v>
      </c>
      <c r="H18" s="48" t="s">
        <v>118</v>
      </c>
      <c r="I18" s="49">
        <v>2800</v>
      </c>
      <c r="J18" s="50">
        <v>0.09</v>
      </c>
      <c r="K18" s="11">
        <f t="shared" ca="1" si="0"/>
        <v>2</v>
      </c>
      <c r="L18" s="11" t="str" cm="1">
        <f t="array" aca="1" ref="L18" ca="1">_xlfn.IFS($K18&lt;=5,"Junior",$K18&gt;=6,"Senior")</f>
        <v>Junior</v>
      </c>
      <c r="M18" s="11">
        <f t="shared" ca="1" si="1"/>
        <v>40.5</v>
      </c>
      <c r="N18" s="20">
        <f t="shared" si="2"/>
        <v>252</v>
      </c>
      <c r="O18" s="21">
        <f t="shared" si="3"/>
        <v>708400</v>
      </c>
      <c r="P18" s="4" t="str">
        <f t="shared" si="4"/>
        <v>Bonus Award</v>
      </c>
      <c r="Q18" s="12" t="str">
        <f t="shared" si="5"/>
        <v>Standard</v>
      </c>
      <c r="R18" s="4" t="str" cm="1">
        <f t="array" ref="R18">_xlfn.SWITCH($H18,"Kenya","Kenyan","UAE","Emirate","Ghana","Ghanaian","Zimbabwe","Zimb","Nigeria","Nigerian","Spain","Spainish","Egypt","Egyptain","Uk","British","Uganda","Ugandan","China","Chinese","USA","American","Unkown")</f>
        <v>Ugandan</v>
      </c>
      <c r="S18" s="4" t="str" cm="1">
        <f t="array" ref="S18">_xlfn.IFS($N18&lt;=300,"Low",$N18&lt;=500,"MID",$N18&lt;=1500,"High",$N18&gt;2000,"Standard")</f>
        <v>Low</v>
      </c>
      <c r="T18" s="3" t="str">
        <f t="shared" si="6"/>
        <v>Standard</v>
      </c>
      <c r="U18" s="3" t="str">
        <f t="shared" si="7"/>
        <v>Not Senior</v>
      </c>
      <c r="V18" s="6" t="str">
        <f t="shared" si="8"/>
        <v>No VP</v>
      </c>
      <c r="W18" s="3" t="e">
        <f>IF(ISNUMBER(SEARCH("VP",D18)),"VP"),IF(ISNUMBER(SEARCH("Director",D18)),"Director","Other")</f>
        <v>#VALUE!</v>
      </c>
      <c r="Y18" s="3" t="str">
        <f t="shared" si="9"/>
        <v>Junior</v>
      </c>
    </row>
    <row r="19" spans="1:81" x14ac:dyDescent="0.45">
      <c r="A19" s="51" t="s">
        <v>95</v>
      </c>
      <c r="B19" s="51" t="s">
        <v>110</v>
      </c>
      <c r="C19" s="52" t="s">
        <v>115</v>
      </c>
      <c r="D19" s="45" t="s">
        <v>37</v>
      </c>
      <c r="E19" s="45" t="s">
        <v>46</v>
      </c>
      <c r="F19" s="47">
        <v>44936</v>
      </c>
      <c r="G19" s="4" t="s">
        <v>103</v>
      </c>
      <c r="H19" s="48" t="s">
        <v>0</v>
      </c>
      <c r="I19" s="49">
        <v>6599</v>
      </c>
      <c r="J19" s="50">
        <v>0.05</v>
      </c>
      <c r="K19" s="11">
        <f t="shared" ca="1" si="0"/>
        <v>3</v>
      </c>
      <c r="L19" s="11" t="str" cm="1">
        <f t="array" aca="1" ref="L19" ca="1">_xlfn.IFS($K19&lt;=5,"Junior",$K19&gt;=6,"Senior")</f>
        <v>Junior</v>
      </c>
      <c r="M19" s="11">
        <f t="shared" ca="1" si="1"/>
        <v>60.3</v>
      </c>
      <c r="N19" s="20">
        <f t="shared" si="2"/>
        <v>329.95000000000005</v>
      </c>
      <c r="O19" s="21">
        <f t="shared" si="3"/>
        <v>2183939.0500000003</v>
      </c>
      <c r="P19" s="4" t="str">
        <f t="shared" si="4"/>
        <v>Bonus Award</v>
      </c>
      <c r="Q19" s="12" t="str">
        <f t="shared" si="5"/>
        <v>High</v>
      </c>
      <c r="R19" s="4" t="str" cm="1">
        <f t="array" ref="R19">_xlfn.SWITCH($H19,"Kenya","Kenyan","UAE","Emirate","Ghana","Ghanaian","Zimbabwe","Zimb","Nigeria","Nigerian","Spain","Spainish","Egypt","Egyptain","Uk","British","Uganda","Ugandan","China","Chinese","USA","American","Unkown")</f>
        <v>Kenyan</v>
      </c>
      <c r="S19" s="4" t="str" cm="1">
        <f t="array" ref="S19">_xlfn.IFS($N19&lt;=300,"Low",$N19&lt;=500,"MID",$N19&lt;=1500,"High",$N19&gt;2000,"Standard")</f>
        <v>MID</v>
      </c>
      <c r="T19" s="3" t="str">
        <f t="shared" si="6"/>
        <v>Standard</v>
      </c>
      <c r="U19" s="3" t="str">
        <f t="shared" si="7"/>
        <v>Not Senior</v>
      </c>
      <c r="V19" s="6" t="str">
        <f t="shared" si="8"/>
        <v>No VP</v>
      </c>
      <c r="W19" s="3" t="e">
        <f>IF(ISNUMBER(SEARCH("VP",D19)),"VP"),IF(ISNUMBER(SEARCH("Director",D19)),"Director","Other")</f>
        <v>#VALUE!</v>
      </c>
      <c r="Y19" s="3" t="str">
        <f t="shared" si="9"/>
        <v>Director</v>
      </c>
    </row>
    <row r="20" spans="1:81" x14ac:dyDescent="0.45">
      <c r="A20" s="51" t="s">
        <v>96</v>
      </c>
      <c r="B20" s="51" t="s">
        <v>111</v>
      </c>
      <c r="C20" s="52" t="s">
        <v>116</v>
      </c>
      <c r="D20" s="45" t="s">
        <v>2</v>
      </c>
      <c r="E20" s="45" t="s">
        <v>41</v>
      </c>
      <c r="F20" s="47">
        <v>44155</v>
      </c>
      <c r="G20" s="4" t="s">
        <v>104</v>
      </c>
      <c r="H20" s="48" t="s">
        <v>118</v>
      </c>
      <c r="I20" s="49">
        <v>2800</v>
      </c>
      <c r="J20" s="50">
        <v>0.33</v>
      </c>
      <c r="K20" s="11">
        <f t="shared" ca="1" si="0"/>
        <v>5</v>
      </c>
      <c r="L20" s="11" t="str" cm="1">
        <f t="array" aca="1" ref="L20" ca="1">_xlfn.IFS($K20&lt;=5,"Junior",$K20&gt;=6,"Senior")</f>
        <v>Junior</v>
      </c>
      <c r="M20" s="11">
        <f t="shared" ca="1" si="1"/>
        <v>101.7</v>
      </c>
      <c r="N20" s="20">
        <f t="shared" si="2"/>
        <v>924</v>
      </c>
      <c r="O20" s="21">
        <f t="shared" si="3"/>
        <v>2590000</v>
      </c>
      <c r="P20" s="4" t="str">
        <f t="shared" si="4"/>
        <v>Bonus Award</v>
      </c>
      <c r="Q20" s="12" t="str">
        <f t="shared" si="5"/>
        <v>Standard</v>
      </c>
      <c r="R20" s="4" t="str" cm="1">
        <f t="array" ref="R20">_xlfn.SWITCH($H20,"Kenya","Kenyan","UAE","Emirate","Ghana","Ghanaian","Zimbabwe","Zimb","Nigeria","Nigerian","Spain","Spainish","Egypt","Egyptain","Uk","British","Uganda","Ugandan","China","Chinese","USA","American","Unkown")</f>
        <v>Ugandan</v>
      </c>
      <c r="S20" s="4" t="str" cm="1">
        <f t="array" ref="S20">_xlfn.IFS($N20&lt;=300,"Low",$N20&lt;=500,"MID",$N20&lt;=1500,"High",$N20&gt;2000,"Standard")</f>
        <v>High</v>
      </c>
      <c r="T20" s="3" t="str">
        <f t="shared" si="6"/>
        <v>Standard</v>
      </c>
      <c r="U20" s="3" t="str">
        <f t="shared" si="7"/>
        <v>Not Senior</v>
      </c>
      <c r="V20" s="6" t="str">
        <f t="shared" si="8"/>
        <v>No VP</v>
      </c>
      <c r="W20" s="3" t="e">
        <f>IF(ISNUMBER(SEARCH("VP",D20)),"VP"),IF(ISNUMBER(SEARCH("Director",D20)),"Director","Other")</f>
        <v>#VALUE!</v>
      </c>
      <c r="Y20" s="3" t="str">
        <f t="shared" si="9"/>
        <v>Junior</v>
      </c>
    </row>
    <row r="21" spans="1:81" ht="17" thickBot="1" x14ac:dyDescent="0.5">
      <c r="A21" s="51" t="s">
        <v>97</v>
      </c>
      <c r="B21" s="51" t="s">
        <v>112</v>
      </c>
      <c r="C21" s="52" t="s">
        <v>117</v>
      </c>
      <c r="D21" s="45" t="s">
        <v>37</v>
      </c>
      <c r="E21" s="45" t="s">
        <v>21</v>
      </c>
      <c r="F21" s="47">
        <v>44717</v>
      </c>
      <c r="G21" s="4" t="s">
        <v>102</v>
      </c>
      <c r="H21" s="48" t="s">
        <v>118</v>
      </c>
      <c r="I21" s="49">
        <v>6000</v>
      </c>
      <c r="J21" s="53">
        <v>0.22</v>
      </c>
      <c r="K21" s="11">
        <f t="shared" ca="1" si="0"/>
        <v>3</v>
      </c>
      <c r="L21" s="16" t="str" cm="1">
        <f t="array" aca="1" ref="L21" ca="1">_xlfn.IFS($K21&lt;=5,"Junior",$K21&gt;=6,"Senior")</f>
        <v>Junior</v>
      </c>
      <c r="M21" s="11">
        <f t="shared" ca="1" si="1"/>
        <v>61.1</v>
      </c>
      <c r="N21" s="17">
        <f t="shared" si="2"/>
        <v>1320</v>
      </c>
      <c r="O21" s="21">
        <f t="shared" si="3"/>
        <v>7926000</v>
      </c>
      <c r="P21" s="18" t="str">
        <f t="shared" si="4"/>
        <v>Bonus Award</v>
      </c>
      <c r="Q21" s="19" t="str">
        <f t="shared" si="5"/>
        <v>Standard</v>
      </c>
      <c r="R21" s="18" t="str" cm="1">
        <f t="array" ref="R21">_xlfn.SWITCH($H21,"Kenya","Kenyan","UAE","Emirate","Ghana","Ghanaian","Zimbabwe","Zimb","Nigeria","Nigerian","Spain","Spainish","Egypt","Egyptain","Uk","British","Uganda","Ugandan","China","Chinese","USA","American","Unkown")</f>
        <v>Ugandan</v>
      </c>
      <c r="S21" s="4" t="str" cm="1">
        <f t="array" ref="S21">_xlfn.IFS($N21&lt;=300,"Low",$N21&lt;=500,"MID",$N21&lt;=1500,"High",$N21&gt;2000,"Standard")</f>
        <v>High</v>
      </c>
      <c r="T21" s="3" t="str">
        <f t="shared" si="6"/>
        <v>Standard</v>
      </c>
      <c r="U21" s="3" t="str">
        <f t="shared" si="7"/>
        <v>Not Senior</v>
      </c>
      <c r="V21" s="6" t="str">
        <f t="shared" si="8"/>
        <v>No VP</v>
      </c>
      <c r="W21" s="3" t="e">
        <f>IF(ISNUMBER(SEARCH("VP",D21)),"VP"),IF(ISNUMBER(SEARCH("Director",D21)),"Director","Other")</f>
        <v>#VALUE!</v>
      </c>
      <c r="Y21" s="3" t="str">
        <f t="shared" si="9"/>
        <v>Director</v>
      </c>
    </row>
    <row r="22" spans="1:81" ht="17" thickTop="1" x14ac:dyDescent="0.45"/>
    <row r="23" spans="1:81" x14ac:dyDescent="0.45">
      <c r="A23" s="4" t="str">
        <f>_xlfn.TEXTJOIN(",",TRUE,G2:G21)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SQL,Power BI, GCP, Airflow, Hadoop, R,DataBricks, Hadoop, Java,Scala, R, Hadoop, Power BI, SQL,Scala, R, Hadoop, Power BI, SQL,Kafka, DataBricks, Spark, Python, GCP,DataBricks, Hadoop, Java,Snowflake, Airflow, DataBricks,Azure, Java, SQL, DataBricks</v>
      </c>
      <c r="B23" s="4"/>
      <c r="C23" s="4"/>
      <c r="D23" s="4"/>
      <c r="E23" s="4"/>
      <c r="F23" s="4"/>
      <c r="G23" s="4"/>
      <c r="H23" s="4"/>
      <c r="I23" s="4"/>
      <c r="J23" s="4"/>
      <c r="K23" s="4"/>
      <c r="L23" s="4"/>
      <c r="M23" s="11"/>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row>
    <row r="24" spans="1:81" x14ac:dyDescent="0.45">
      <c r="A24" s="4" t="str" cm="1">
        <f t="array" ref="A24:CB24">_xlfn.TEXTSPLIT(A23,",")</f>
        <v>Kafka</v>
      </c>
      <c r="B24" s="4" t="str">
        <v xml:space="preserve"> DataBricks</v>
      </c>
      <c r="C24" s="4" t="str">
        <v xml:space="preserve"> Spark</v>
      </c>
      <c r="D24" s="4" t="str">
        <v xml:space="preserve"> Python</v>
      </c>
      <c r="E24" s="4" t="str">
        <v xml:space="preserve"> GCP</v>
      </c>
      <c r="F24" s="4" t="str">
        <v>Power BI</v>
      </c>
      <c r="G24" s="4" t="str">
        <v xml:space="preserve"> GCP</v>
      </c>
      <c r="H24" s="4" t="str">
        <v xml:space="preserve"> Airflow</v>
      </c>
      <c r="I24" s="4" t="str">
        <v xml:space="preserve"> Hadoop</v>
      </c>
      <c r="J24" s="4" t="str">
        <v xml:space="preserve"> R</v>
      </c>
      <c r="K24" s="4" t="str">
        <v>Azure</v>
      </c>
      <c r="L24" s="4" t="str">
        <v xml:space="preserve"> Java</v>
      </c>
      <c r="M24" s="11" t="str">
        <v xml:space="preserve"> SQL</v>
      </c>
      <c r="N24" s="4" t="str">
        <v xml:space="preserve"> DataBricks</v>
      </c>
      <c r="O24" s="4" t="str">
        <v>Kafka</v>
      </c>
      <c r="P24" s="4" t="str">
        <v xml:space="preserve"> DataBricks</v>
      </c>
      <c r="Q24" s="4" t="str">
        <v xml:space="preserve"> Spark</v>
      </c>
      <c r="R24" s="4" t="str">
        <v xml:space="preserve"> Python</v>
      </c>
      <c r="S24" s="4" t="str">
        <v xml:space="preserve"> GCP</v>
      </c>
      <c r="T24" s="4" t="str">
        <v>DataBricks</v>
      </c>
      <c r="U24" s="4" t="str">
        <v xml:space="preserve"> Hadoop</v>
      </c>
      <c r="V24" s="4" t="str">
        <v xml:space="preserve"> Java</v>
      </c>
      <c r="W24" s="4" t="str">
        <v>Snowflake</v>
      </c>
      <c r="X24" s="4" t="str">
        <v xml:space="preserve"> Airflow</v>
      </c>
      <c r="Y24" s="4" t="str">
        <v xml:space="preserve"> DataBricks</v>
      </c>
      <c r="Z24" s="4" t="str">
        <v>Azure</v>
      </c>
      <c r="AA24" s="4" t="str">
        <v xml:space="preserve"> Java</v>
      </c>
      <c r="AB24" s="4" t="str">
        <v xml:space="preserve"> SQL</v>
      </c>
      <c r="AC24" s="4" t="str">
        <v xml:space="preserve"> DataBricks</v>
      </c>
      <c r="AD24" s="4" t="str">
        <v>Snowflake</v>
      </c>
      <c r="AE24" s="4" t="str">
        <v xml:space="preserve"> Airflow</v>
      </c>
      <c r="AF24" s="4" t="str">
        <v xml:space="preserve"> DataBricks</v>
      </c>
      <c r="AG24" s="4" t="str">
        <v>Scala</v>
      </c>
      <c r="AH24" s="4" t="str">
        <v xml:space="preserve"> Azure</v>
      </c>
      <c r="AI24" s="4" t="str">
        <v xml:space="preserve"> R</v>
      </c>
      <c r="AJ24" s="4" t="str">
        <v xml:space="preserve"> Kafka</v>
      </c>
      <c r="AK24" s="4" t="str">
        <v>Snowflake</v>
      </c>
      <c r="AL24" s="4" t="str">
        <v xml:space="preserve"> Excel</v>
      </c>
      <c r="AM24" s="4" t="str">
        <v xml:space="preserve"> Scala</v>
      </c>
      <c r="AN24" s="4" t="str">
        <v>Excel</v>
      </c>
      <c r="AO24" s="4" t="str">
        <v xml:space="preserve"> Power BI</v>
      </c>
      <c r="AP24" s="4" t="str">
        <v xml:space="preserve"> R</v>
      </c>
      <c r="AQ24" s="4" t="str">
        <v>Scala</v>
      </c>
      <c r="AR24" s="4" t="str">
        <v xml:space="preserve"> R</v>
      </c>
      <c r="AS24" s="4" t="str">
        <v xml:space="preserve"> Hadoop</v>
      </c>
      <c r="AT24" s="4" t="str">
        <v xml:space="preserve"> Power BI</v>
      </c>
      <c r="AU24" s="4" t="str">
        <v xml:space="preserve"> SQL</v>
      </c>
      <c r="AV24" s="4" t="str">
        <v>Power BI</v>
      </c>
      <c r="AW24" s="4" t="str">
        <v xml:space="preserve"> GCP</v>
      </c>
      <c r="AX24" s="4" t="str">
        <v xml:space="preserve"> Airflow</v>
      </c>
      <c r="AY24" s="4" t="str">
        <v xml:space="preserve"> Hadoop</v>
      </c>
      <c r="AZ24" s="4" t="str">
        <v xml:space="preserve"> R</v>
      </c>
      <c r="BA24" s="4" t="str">
        <v>DataBricks</v>
      </c>
      <c r="BB24" s="4" t="str">
        <v xml:space="preserve"> Hadoop</v>
      </c>
      <c r="BC24" s="4" t="str">
        <v xml:space="preserve"> Java</v>
      </c>
      <c r="BD24" s="4" t="str">
        <v>Scala</v>
      </c>
      <c r="BE24" s="4" t="str">
        <v xml:space="preserve"> R</v>
      </c>
      <c r="BF24" s="4" t="str">
        <v xml:space="preserve"> Hadoop</v>
      </c>
      <c r="BG24" s="4" t="str">
        <v xml:space="preserve"> Power BI</v>
      </c>
      <c r="BH24" s="4" t="str">
        <v xml:space="preserve"> SQL</v>
      </c>
      <c r="BI24" s="4" t="str">
        <v>Scala</v>
      </c>
      <c r="BJ24" s="4" t="str">
        <v xml:space="preserve"> R</v>
      </c>
      <c r="BK24" s="4" t="str">
        <v xml:space="preserve"> Hadoop</v>
      </c>
      <c r="BL24" s="4" t="str">
        <v xml:space="preserve"> Power BI</v>
      </c>
      <c r="BM24" s="4" t="str">
        <v xml:space="preserve"> SQL</v>
      </c>
      <c r="BN24" s="4" t="str">
        <v>Kafka</v>
      </c>
      <c r="BO24" s="4" t="str">
        <v xml:space="preserve"> DataBricks</v>
      </c>
      <c r="BP24" s="4" t="str">
        <v xml:space="preserve"> Spark</v>
      </c>
      <c r="BQ24" s="4" t="str">
        <v xml:space="preserve"> Python</v>
      </c>
      <c r="BR24" s="4" t="str">
        <v xml:space="preserve"> GCP</v>
      </c>
      <c r="BS24" s="4" t="str">
        <v>DataBricks</v>
      </c>
      <c r="BT24" s="4" t="str">
        <v xml:space="preserve"> Hadoop</v>
      </c>
      <c r="BU24" s="4" t="str">
        <v xml:space="preserve"> Java</v>
      </c>
      <c r="BV24" s="4" t="str">
        <v>Snowflake</v>
      </c>
      <c r="BW24" s="4" t="str">
        <v xml:space="preserve"> Airflow</v>
      </c>
      <c r="BX24" s="4" t="str">
        <v xml:space="preserve"> DataBricks</v>
      </c>
      <c r="BY24" s="4" t="str">
        <v>Azure</v>
      </c>
      <c r="BZ24" s="4" t="str">
        <v xml:space="preserve"> Java</v>
      </c>
      <c r="CA24" s="4" t="str">
        <v xml:space="preserve"> SQL</v>
      </c>
      <c r="CB24" s="4" t="str">
        <v xml:space="preserve"> DataBricks</v>
      </c>
      <c r="CC24" s="4"/>
    </row>
    <row r="25" spans="1:81" ht="17" thickBot="1" x14ac:dyDescent="0.5">
      <c r="A25" s="54" t="s">
        <v>121</v>
      </c>
      <c r="B25" s="55" t="s">
        <v>122</v>
      </c>
    </row>
    <row r="26" spans="1:81" ht="17" thickBot="1" x14ac:dyDescent="0.5">
      <c r="A26" s="7" t="str" cm="1">
        <f t="array" ref="A26:A46">_xlfn.UNIQUE(TRANSPOSE(_xlfn.ANCHORARRAY(A24)))</f>
        <v>Kafka</v>
      </c>
      <c r="B26" s="8">
        <f>COUNTIF($24:24,$A26)</f>
        <v>3</v>
      </c>
      <c r="D26" s="56" t="s">
        <v>123</v>
      </c>
      <c r="E26" s="57" t="s">
        <v>126</v>
      </c>
      <c r="F26" s="58" t="s">
        <v>124</v>
      </c>
      <c r="G26" s="26"/>
      <c r="H26" s="26"/>
      <c r="I26" s="26"/>
      <c r="K26" s="56" t="s">
        <v>125</v>
      </c>
      <c r="L26" s="59" t="s">
        <v>126</v>
      </c>
      <c r="M26" s="60" t="s">
        <v>127</v>
      </c>
      <c r="N26" s="58" t="s">
        <v>124</v>
      </c>
    </row>
    <row r="27" spans="1:81" x14ac:dyDescent="0.45">
      <c r="A27" s="7" t="str">
        <v xml:space="preserve"> DataBricks</v>
      </c>
      <c r="B27" s="8">
        <f>COUNTIF($24:25,$A27)</f>
        <v>9</v>
      </c>
      <c r="D27" s="35" t="str" cm="1">
        <f t="array" ref="D27:D36">_xlfn.UNIQUE(E2:E21)</f>
        <v>Data</v>
      </c>
      <c r="E27" s="38">
        <f>SUMIF(E2:E21,D27,I2:I21)</f>
        <v>5700</v>
      </c>
      <c r="F27" s="22">
        <f>AVERAGEIF(E2:E21,D27,N2:N21)</f>
        <v>495</v>
      </c>
      <c r="H27" s="27"/>
      <c r="I27" s="15"/>
      <c r="K27" s="35" t="str" cm="1">
        <f t="array" ref="K27:K40">_xlfn.UNIQUE($D$2:$D$21)</f>
        <v>Senior Data Analyst</v>
      </c>
      <c r="L27" s="30">
        <f t="shared" ref="L27:L40" si="10">SUMIF(D2:D21,K27,O2:O21)</f>
        <v>3532200</v>
      </c>
      <c r="M27" s="24">
        <f t="shared" ref="M27:M40" si="11">SUM(L27)/SUM($L$27:$L$40)</f>
        <v>5.5551065440756893E-2</v>
      </c>
      <c r="N27" s="36">
        <f t="shared" ref="N27:N40" si="12">AVERAGEIF(D2:D21,K27,N2:N21)</f>
        <v>840</v>
      </c>
    </row>
    <row r="28" spans="1:81" x14ac:dyDescent="0.45">
      <c r="A28" s="7" t="str">
        <v xml:space="preserve"> Spark</v>
      </c>
      <c r="B28" s="8">
        <f>COUNTIF($24:26,$A28)</f>
        <v>3</v>
      </c>
      <c r="D28" s="7" t="str">
        <v>Sales</v>
      </c>
      <c r="E28" s="28">
        <f t="shared" ref="E28:E36" si="13">SUMIF(E3:E22,D28,I3:I22)</f>
        <v>14800</v>
      </c>
      <c r="F28" s="22">
        <f t="shared" ref="F28:F36" si="14">AVERAGEIF(E3:E22,D28,N3:N22)</f>
        <v>325</v>
      </c>
      <c r="H28" s="27"/>
      <c r="I28" s="15"/>
      <c r="K28" s="7" t="str">
        <v>Sales Manager</v>
      </c>
      <c r="L28" s="14">
        <f t="shared" si="10"/>
        <v>3255000</v>
      </c>
      <c r="M28" s="24">
        <f t="shared" si="11"/>
        <v>5.1191528794989997E-2</v>
      </c>
      <c r="N28" s="32">
        <f t="shared" si="12"/>
        <v>650</v>
      </c>
    </row>
    <row r="29" spans="1:81" x14ac:dyDescent="0.45">
      <c r="A29" s="7" t="str">
        <v xml:space="preserve"> Python</v>
      </c>
      <c r="B29" s="8">
        <f>COUNTIF($24:27,$A29)</f>
        <v>3</v>
      </c>
      <c r="D29" s="7" t="str">
        <v>Human Resources</v>
      </c>
      <c r="E29" s="28">
        <f t="shared" si="13"/>
        <v>2200</v>
      </c>
      <c r="F29" s="22">
        <f t="shared" si="14"/>
        <v>528</v>
      </c>
      <c r="H29" s="27"/>
      <c r="I29" s="15"/>
      <c r="K29" s="7" t="str">
        <v>Junior HR Officer</v>
      </c>
      <c r="L29" s="14">
        <f t="shared" si="10"/>
        <v>1793800</v>
      </c>
      <c r="M29" s="24">
        <f t="shared" si="11"/>
        <v>2.8211171844071601E-2</v>
      </c>
      <c r="N29" s="32">
        <f t="shared" si="12"/>
        <v>376</v>
      </c>
    </row>
    <row r="30" spans="1:81" x14ac:dyDescent="0.45">
      <c r="A30" s="7" t="str">
        <v xml:space="preserve"> GCP</v>
      </c>
      <c r="B30" s="8">
        <f>COUNTIF($24:28,$A30)</f>
        <v>5</v>
      </c>
      <c r="D30" s="7" t="str">
        <v>Marketing</v>
      </c>
      <c r="E30" s="28">
        <f t="shared" si="13"/>
        <v>8900</v>
      </c>
      <c r="F30" s="22">
        <f t="shared" si="14"/>
        <v>930</v>
      </c>
      <c r="H30" s="27"/>
      <c r="I30" s="15"/>
      <c r="K30" s="7" t="str">
        <v>Marketing Lead</v>
      </c>
      <c r="L30" s="14">
        <f t="shared" si="10"/>
        <v>3813400</v>
      </c>
      <c r="M30" s="24">
        <f t="shared" si="11"/>
        <v>5.9973510263230376E-2</v>
      </c>
      <c r="N30" s="32">
        <f t="shared" si="12"/>
        <v>828</v>
      </c>
    </row>
    <row r="31" spans="1:81" x14ac:dyDescent="0.45">
      <c r="A31" s="7" t="str">
        <v>Power BI</v>
      </c>
      <c r="B31" s="8">
        <f>COUNTIF($24:29,$A31)</f>
        <v>2</v>
      </c>
      <c r="D31" s="7" t="str">
        <v>IT</v>
      </c>
      <c r="E31" s="28">
        <f t="shared" si="13"/>
        <v>11399</v>
      </c>
      <c r="F31" s="22">
        <f t="shared" si="14"/>
        <v>404.97500000000002</v>
      </c>
      <c r="H31" s="27"/>
      <c r="I31" s="15"/>
      <c r="K31" s="7" t="str">
        <v>Cloud Engineer</v>
      </c>
      <c r="L31" s="14">
        <f t="shared" si="10"/>
        <v>2308800</v>
      </c>
      <c r="M31" s="24">
        <f t="shared" si="11"/>
        <v>3.6310599595045442E-2</v>
      </c>
      <c r="N31" s="32">
        <f t="shared" si="12"/>
        <v>480</v>
      </c>
    </row>
    <row r="32" spans="1:81" x14ac:dyDescent="0.45">
      <c r="A32" s="7" t="str">
        <v xml:space="preserve"> Airflow</v>
      </c>
      <c r="B32" s="8">
        <f>COUNTIF($24:30,$A32)</f>
        <v>5</v>
      </c>
      <c r="D32" s="7" t="str">
        <v>Support</v>
      </c>
      <c r="E32" s="28">
        <f t="shared" si="13"/>
        <v>7600</v>
      </c>
      <c r="F32" s="22">
        <f t="shared" si="14"/>
        <v>522.66666666666663</v>
      </c>
      <c r="H32" s="27"/>
      <c r="I32" s="15"/>
      <c r="K32" s="7" t="str">
        <v>Customer Support Executive</v>
      </c>
      <c r="L32" s="14">
        <f t="shared" si="10"/>
        <v>842000</v>
      </c>
      <c r="M32" s="24">
        <f t="shared" si="11"/>
        <v>1.3242171196737812E-2</v>
      </c>
      <c r="N32" s="32">
        <f t="shared" si="12"/>
        <v>420</v>
      </c>
    </row>
    <row r="33" spans="1:14" x14ac:dyDescent="0.45">
      <c r="A33" s="7" t="str">
        <v xml:space="preserve"> Hadoop</v>
      </c>
      <c r="B33" s="8">
        <f>COUNTIF($24:31,$A33)</f>
        <v>8</v>
      </c>
      <c r="D33" s="7" t="str">
        <v>Finance</v>
      </c>
      <c r="E33" s="28">
        <f t="shared" si="13"/>
        <v>18800</v>
      </c>
      <c r="F33" s="22">
        <f t="shared" si="14"/>
        <v>1140</v>
      </c>
      <c r="H33" s="27"/>
      <c r="I33" s="15"/>
      <c r="K33" s="7" t="str">
        <v>Finance Director</v>
      </c>
      <c r="L33" s="14">
        <f t="shared" si="10"/>
        <v>25872739.050000001</v>
      </c>
      <c r="M33" s="24">
        <f t="shared" si="11"/>
        <v>0.40690171001024189</v>
      </c>
      <c r="N33" s="32">
        <f t="shared" si="12"/>
        <v>937.48749999999995</v>
      </c>
    </row>
    <row r="34" spans="1:14" x14ac:dyDescent="0.45">
      <c r="A34" s="7" t="str">
        <v xml:space="preserve"> R</v>
      </c>
      <c r="B34" s="8">
        <f>COUNTIF($24:32,$A34)</f>
        <v>7</v>
      </c>
      <c r="D34" s="7" t="str">
        <v>Operations</v>
      </c>
      <c r="E34" s="28">
        <f t="shared" si="13"/>
        <v>3900</v>
      </c>
      <c r="F34" s="22">
        <f t="shared" si="14"/>
        <v>1209</v>
      </c>
      <c r="H34" s="27"/>
      <c r="I34" s="15"/>
      <c r="K34" s="7" t="str">
        <v>VP of Sales</v>
      </c>
      <c r="L34" s="14">
        <f t="shared" si="10"/>
        <v>9800</v>
      </c>
      <c r="M34" s="24">
        <f t="shared" si="11"/>
        <v>1.541250329311527E-4</v>
      </c>
      <c r="N34" s="32">
        <f t="shared" si="12"/>
        <v>0</v>
      </c>
    </row>
    <row r="35" spans="1:14" x14ac:dyDescent="0.45">
      <c r="A35" s="7" t="str">
        <v>Azure</v>
      </c>
      <c r="B35" s="8">
        <f>COUNTIF($24:33,$A35)</f>
        <v>3</v>
      </c>
      <c r="D35" s="7" t="str">
        <v>Engineering</v>
      </c>
      <c r="E35" s="28">
        <f t="shared" si="13"/>
        <v>9700</v>
      </c>
      <c r="F35" s="22">
        <f t="shared" si="14"/>
        <v>678.33333333333337</v>
      </c>
      <c r="H35" s="27"/>
      <c r="I35" s="15"/>
      <c r="K35" s="7" t="str">
        <v>Operations Supervisor</v>
      </c>
      <c r="L35" s="14">
        <f t="shared" si="10"/>
        <v>4719000</v>
      </c>
      <c r="M35" s="24">
        <f t="shared" si="11"/>
        <v>7.4215921469603013E-2</v>
      </c>
      <c r="N35" s="32">
        <f t="shared" si="12"/>
        <v>1209</v>
      </c>
    </row>
    <row r="36" spans="1:14" ht="17" thickBot="1" x14ac:dyDescent="0.5">
      <c r="A36" s="7" t="str">
        <v xml:space="preserve"> Java</v>
      </c>
      <c r="B36" s="8">
        <f>COUNTIF($24:34,$A36)</f>
        <v>6</v>
      </c>
      <c r="D36" s="9" t="str">
        <v>People</v>
      </c>
      <c r="E36" s="37">
        <f t="shared" si="13"/>
        <v>6000</v>
      </c>
      <c r="F36" s="23">
        <f t="shared" si="14"/>
        <v>540</v>
      </c>
      <c r="H36" s="27"/>
      <c r="I36" s="15"/>
      <c r="K36" s="7" t="str">
        <v>Software Engineer</v>
      </c>
      <c r="L36" s="14">
        <f t="shared" si="10"/>
        <v>3870400</v>
      </c>
      <c r="M36" s="24">
        <f t="shared" si="11"/>
        <v>6.0869951781299322E-2</v>
      </c>
      <c r="N36" s="32">
        <f t="shared" si="12"/>
        <v>943</v>
      </c>
    </row>
    <row r="37" spans="1:14" x14ac:dyDescent="0.45">
      <c r="A37" s="7" t="str">
        <v xml:space="preserve"> SQL</v>
      </c>
      <c r="B37" s="8">
        <f>COUNTIF($24:35,$A37)</f>
        <v>6</v>
      </c>
      <c r="K37" s="7" t="str">
        <v>People &amp; Culture Manager</v>
      </c>
      <c r="L37" s="14">
        <f t="shared" si="10"/>
        <v>3246000</v>
      </c>
      <c r="M37" s="24">
        <f t="shared" si="11"/>
        <v>5.1049985397400167E-2</v>
      </c>
      <c r="N37" s="32">
        <f t="shared" si="12"/>
        <v>540</v>
      </c>
    </row>
    <row r="38" spans="1:14" ht="17" thickBot="1" x14ac:dyDescent="0.5">
      <c r="A38" s="7" t="str">
        <v>DataBricks</v>
      </c>
      <c r="B38" s="8">
        <f>COUNTIF($24:36,$A38)</f>
        <v>3</v>
      </c>
      <c r="K38" s="9" t="str">
        <v>Data Science Intern</v>
      </c>
      <c r="L38" s="33">
        <f t="shared" si="10"/>
        <v>226500</v>
      </c>
      <c r="M38" s="25">
        <f t="shared" si="11"/>
        <v>3.5621755060108251E-3</v>
      </c>
      <c r="N38" s="34">
        <f t="shared" si="12"/>
        <v>150</v>
      </c>
    </row>
    <row r="39" spans="1:14" x14ac:dyDescent="0.45">
      <c r="A39" s="7" t="str">
        <v>Snowflake</v>
      </c>
      <c r="B39" s="8">
        <f>COUNTIF($24:37,$A39)</f>
        <v>4</v>
      </c>
      <c r="K39" s="29" t="str">
        <v>Growth Marketing Specialist</v>
      </c>
      <c r="L39" s="30">
        <f t="shared" si="10"/>
        <v>4441900</v>
      </c>
      <c r="M39" s="24">
        <f t="shared" si="11"/>
        <v>6.9857957528253786E-2</v>
      </c>
      <c r="N39" s="31">
        <f t="shared" si="12"/>
        <v>1032</v>
      </c>
    </row>
    <row r="40" spans="1:14" x14ac:dyDescent="0.45">
      <c r="A40" s="7" t="str">
        <v>Scala</v>
      </c>
      <c r="B40" s="8">
        <f>COUNTIF($24:38,$A40)</f>
        <v>4</v>
      </c>
      <c r="K40" s="4" t="str">
        <v>Junior Software Developer</v>
      </c>
      <c r="L40" s="14">
        <f t="shared" si="10"/>
        <v>5653200</v>
      </c>
      <c r="M40" s="13">
        <f t="shared" si="11"/>
        <v>8.8908126139427793E-2</v>
      </c>
      <c r="N40" s="20">
        <f t="shared" si="12"/>
        <v>672</v>
      </c>
    </row>
    <row r="41" spans="1:14" x14ac:dyDescent="0.45">
      <c r="A41" s="7" t="str">
        <v xml:space="preserve"> Azure</v>
      </c>
      <c r="B41" s="8">
        <f>COUNTIF($24:39,$A41)</f>
        <v>1</v>
      </c>
    </row>
    <row r="42" spans="1:14" x14ac:dyDescent="0.45">
      <c r="A42" s="7" t="str">
        <v xml:space="preserve"> Kafka</v>
      </c>
      <c r="B42" s="8">
        <f>COUNTIF($24:40,$A42)</f>
        <v>1</v>
      </c>
    </row>
    <row r="43" spans="1:14" x14ac:dyDescent="0.45">
      <c r="A43" s="7" t="str">
        <v xml:space="preserve"> Excel</v>
      </c>
      <c r="B43" s="8">
        <f>COUNTIF($24:41,$A43)</f>
        <v>1</v>
      </c>
    </row>
    <row r="44" spans="1:14" x14ac:dyDescent="0.45">
      <c r="A44" s="7" t="str">
        <v xml:space="preserve"> Scala</v>
      </c>
      <c r="B44" s="8">
        <f>COUNTIF($24:42,$A44)</f>
        <v>1</v>
      </c>
    </row>
    <row r="45" spans="1:14" x14ac:dyDescent="0.45">
      <c r="A45" s="7" t="str">
        <v>Excel</v>
      </c>
      <c r="B45" s="8">
        <f>COUNTIF($24:43,$A45)</f>
        <v>1</v>
      </c>
    </row>
    <row r="46" spans="1:14" ht="17" thickBot="1" x14ac:dyDescent="0.5">
      <c r="A46" s="9" t="str">
        <v xml:space="preserve"> Power BI</v>
      </c>
      <c r="B46" s="10">
        <f>COUNTIF($24:44,$A46)</f>
        <v>4</v>
      </c>
    </row>
  </sheetData>
  <phoneticPr fontId="3" type="noConversion"/>
  <conditionalFormatting sqref="F27:F36">
    <cfRule type="dataBar" priority="1">
      <dataBar>
        <cfvo type="min"/>
        <cfvo type="max"/>
        <color rgb="FFFFB628"/>
      </dataBar>
      <extLst>
        <ext xmlns:x14="http://schemas.microsoft.com/office/spreadsheetml/2009/9/main" uri="{B025F937-C7B1-47D3-B67F-A62EFF666E3E}">
          <x14:id>{28954E82-A57B-4730-B47E-E913913D9712}</x14:id>
        </ext>
      </extLst>
    </cfRule>
  </conditionalFormatting>
  <conditionalFormatting sqref="G2:G21">
    <cfRule type="expression" dxfId="2" priority="12">
      <formula>$K2&lt;9/27/2016</formula>
    </cfRule>
  </conditionalFormatting>
  <conditionalFormatting sqref="I27:I36">
    <cfRule type="iconSet" priority="3">
      <iconSet iconSet="4TrafficLights">
        <cfvo type="percent" val="0"/>
        <cfvo type="percent" val="25"/>
        <cfvo type="percent" val="50"/>
        <cfvo type="percent" val="75"/>
      </iconSet>
    </cfRule>
    <cfRule type="colorScale" priority="4">
      <colorScale>
        <cfvo type="min"/>
        <cfvo type="max"/>
        <color rgb="FFFFEF9C"/>
        <color rgb="FF63BE7B"/>
      </colorScale>
    </cfRule>
    <cfRule type="iconSet" priority="8">
      <iconSet iconSet="3Arrows">
        <cfvo type="percent" val="0"/>
        <cfvo type="percent" val="33"/>
        <cfvo type="percent" val="67"/>
      </iconSet>
    </cfRule>
  </conditionalFormatting>
  <conditionalFormatting sqref="M27:M40">
    <cfRule type="iconSet" priority="5">
      <iconSet iconSet="3Symbols">
        <cfvo type="percent" val="0"/>
        <cfvo type="percent" val="33"/>
        <cfvo type="percent" val="67"/>
      </iconSet>
    </cfRule>
    <cfRule type="colorScale" priority="6">
      <colorScale>
        <cfvo type="min"/>
        <cfvo type="percentile" val="50"/>
        <cfvo type="max"/>
        <color rgb="FF5A8AC6"/>
        <color rgb="FFFCFCFF"/>
        <color rgb="FFF8696B"/>
      </colorScale>
    </cfRule>
  </conditionalFormatting>
  <conditionalFormatting sqref="P2:P21">
    <cfRule type="expression" dxfId="1" priority="14">
      <formula>$P2="No Bonus"</formula>
    </cfRule>
  </conditionalFormatting>
  <conditionalFormatting sqref="Q2:Q21">
    <cfRule type="expression" dxfId="0" priority="11">
      <formula>$Q2="Standard"</formula>
    </cfRule>
  </conditionalFormatting>
  <hyperlinks>
    <hyperlink ref="C2" r:id="rId1" xr:uid="{06236F1E-90C3-45CC-B79E-DF6554918487}"/>
    <hyperlink ref="C3" r:id="rId2" xr:uid="{5592B6C9-FB37-4716-B305-27748BD98E29}"/>
    <hyperlink ref="C4" r:id="rId3" xr:uid="{01D1494D-39BB-4432-8A03-8A91B46D8508}"/>
    <hyperlink ref="C5" r:id="rId4" xr:uid="{94344BE2-40AD-468C-B996-9189A7D93622}"/>
    <hyperlink ref="C6" r:id="rId5" xr:uid="{D07F7EF2-7DC3-471E-9B8B-42C798315ED1}"/>
    <hyperlink ref="C7" r:id="rId6" xr:uid="{5CBB78EA-0D77-454C-B542-E792EDD77B1F}"/>
    <hyperlink ref="C8" r:id="rId7" xr:uid="{24FABD57-B34D-4A41-A86C-6CB5428F938E}"/>
    <hyperlink ref="C9" r:id="rId8" xr:uid="{D6B8D86C-F379-4B2F-9108-4AC0681D337C}"/>
    <hyperlink ref="C10" r:id="rId9" xr:uid="{AD80D0B4-7B5F-4853-BF79-F262F97F14BC}"/>
    <hyperlink ref="C11" r:id="rId10" xr:uid="{AF6C9ED5-7F9E-49AC-B1AA-33BE61D9A00F}"/>
    <hyperlink ref="C12" r:id="rId11" xr:uid="{A669F661-4E31-4F90-963A-277FEEFF26DF}"/>
    <hyperlink ref="C13" r:id="rId12" xr:uid="{EF00710A-F5A7-452B-A226-8E8B37A84C43}"/>
    <hyperlink ref="C14" r:id="rId13" xr:uid="{4B6D161B-090E-4405-9C70-C8652A7D5B0B}"/>
    <hyperlink ref="C15" r:id="rId14" xr:uid="{1B9DEF79-BB2E-4A98-9E5B-FAA2CB843F2D}"/>
    <hyperlink ref="C16" r:id="rId15" xr:uid="{21878E76-8FCC-475A-97BB-E0CE7173B350}"/>
    <hyperlink ref="C17" r:id="rId16" xr:uid="{6D3684A4-E38A-4A69-AB36-1EBFCE21C7B1}"/>
    <hyperlink ref="C18:C21" r:id="rId17" display="InnocentOga@gmail.com" xr:uid="{2BC2EDC1-43EB-4483-B7FB-1DD258A8D30F}"/>
    <hyperlink ref="C18" r:id="rId18" xr:uid="{6367EC55-938B-4A95-BEAF-A8F0B54A9E96}"/>
    <hyperlink ref="C19" r:id="rId19" xr:uid="{D71781D2-17AE-4AA0-BB16-F8EF6A774428}"/>
    <hyperlink ref="C20" r:id="rId20" xr:uid="{14B2CBC4-0CFE-408D-BE53-1603E37244BE}"/>
    <hyperlink ref="C21" r:id="rId21" xr:uid="{040B159F-F22C-4623-B9DA-1B65B8E05113}"/>
  </hyperlinks>
  <pageMargins left="0.7" right="0.7" top="0.75" bottom="0.75" header="0.3" footer="0.3"/>
  <drawing r:id="rId22"/>
  <extLst>
    <ext xmlns:x14="http://schemas.microsoft.com/office/spreadsheetml/2009/9/main" uri="{78C0D931-6437-407d-A8EE-F0AAD7539E65}">
      <x14:conditionalFormattings>
        <x14:conditionalFormatting xmlns:xm="http://schemas.microsoft.com/office/excel/2006/main">
          <x14:cfRule type="dataBar" id="{28954E82-A57B-4730-B47E-E913913D9712}">
            <x14:dataBar minLength="0" maxLength="100" border="1" negativeBarBorderColorSameAsPositive="0">
              <x14:cfvo type="autoMin"/>
              <x14:cfvo type="autoMax"/>
              <x14:borderColor rgb="FFFFB628"/>
              <x14:negativeFillColor rgb="FFFF0000"/>
              <x14:negativeBorderColor rgb="FFFF0000"/>
              <x14:axisColor rgb="FF000000"/>
            </x14:dataBar>
          </x14:cfRule>
          <x14:cfRule type="iconSet" priority="2" id="{E6EDAC4D-05C9-433F-939C-2B1018061548}">
            <x14:iconSet iconSet="3Triangles">
              <x14:cfvo type="percent">
                <xm:f>0</xm:f>
              </x14:cfvo>
              <x14:cfvo type="percent">
                <xm:f>33</xm:f>
              </x14:cfvo>
              <x14:cfvo type="percent">
                <xm:f>67</xm:f>
              </x14:cfvo>
            </x14:iconSet>
          </x14:cfRule>
          <xm:sqref>F27:F36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D7CEC-3EEE-4343-A1DA-918A684EF231}">
  <dimension ref="A4:N34"/>
  <sheetViews>
    <sheetView showGridLines="0" workbookViewId="0">
      <selection activeCell="J4" sqref="J4"/>
    </sheetView>
  </sheetViews>
  <sheetFormatPr defaultRowHeight="20.5" x14ac:dyDescent="0.8"/>
  <cols>
    <col min="1" max="1" width="31" bestFit="1" customWidth="1"/>
    <col min="2" max="2" width="11.83203125" bestFit="1" customWidth="1"/>
    <col min="3" max="13" width="8.9140625" bestFit="1" customWidth="1"/>
    <col min="14" max="14" width="10.4140625" bestFit="1" customWidth="1"/>
    <col min="15" max="16" width="8.5" bestFit="1" customWidth="1"/>
    <col min="17" max="17" width="10.08203125" bestFit="1" customWidth="1"/>
  </cols>
  <sheetData>
    <row r="4" spans="1:14" x14ac:dyDescent="0.8">
      <c r="A4" s="39" t="s">
        <v>128</v>
      </c>
      <c r="D4" s="2"/>
      <c r="E4" s="2"/>
      <c r="F4" s="2"/>
      <c r="G4" s="2"/>
      <c r="H4" s="2"/>
      <c r="I4" s="2"/>
      <c r="J4" s="2"/>
      <c r="K4" s="2"/>
      <c r="L4" s="2"/>
      <c r="M4" s="2"/>
      <c r="N4" s="2"/>
    </row>
    <row r="5" spans="1:14" x14ac:dyDescent="0.8">
      <c r="C5" s="2" t="s">
        <v>45</v>
      </c>
      <c r="D5" s="2" t="s">
        <v>10</v>
      </c>
      <c r="E5" s="2" t="s">
        <v>53</v>
      </c>
      <c r="F5" s="2" t="s">
        <v>0</v>
      </c>
      <c r="G5" s="2" t="s">
        <v>20</v>
      </c>
      <c r="H5" s="2" t="s">
        <v>15</v>
      </c>
      <c r="I5" s="2" t="s">
        <v>31</v>
      </c>
      <c r="J5" s="2" t="s">
        <v>118</v>
      </c>
      <c r="K5" s="2" t="s">
        <v>5</v>
      </c>
      <c r="L5" s="2" t="s">
        <v>36</v>
      </c>
      <c r="M5" s="2" t="s">
        <v>40</v>
      </c>
      <c r="N5" s="2" t="s">
        <v>129</v>
      </c>
    </row>
    <row r="6" spans="1:14" x14ac:dyDescent="0.8">
      <c r="A6" t="s">
        <v>102</v>
      </c>
      <c r="C6" s="1"/>
      <c r="D6" s="1"/>
      <c r="E6" s="1">
        <v>2200</v>
      </c>
      <c r="F6" s="1"/>
      <c r="G6" s="1"/>
      <c r="H6" s="1"/>
      <c r="I6" s="1"/>
      <c r="J6" s="1">
        <v>6000</v>
      </c>
      <c r="K6" s="1"/>
      <c r="L6" s="1">
        <v>7500</v>
      </c>
      <c r="M6" s="1"/>
      <c r="N6" s="1">
        <v>15700</v>
      </c>
    </row>
    <row r="7" spans="1:14" x14ac:dyDescent="0.8">
      <c r="B7" t="s">
        <v>56</v>
      </c>
      <c r="C7" s="1"/>
      <c r="D7" s="1"/>
      <c r="E7" s="1">
        <v>2200</v>
      </c>
      <c r="F7" s="1"/>
      <c r="G7" s="1"/>
      <c r="H7" s="1"/>
      <c r="I7" s="1"/>
      <c r="J7" s="1"/>
      <c r="K7" s="1"/>
      <c r="L7" s="1"/>
      <c r="M7" s="1"/>
      <c r="N7" s="1">
        <v>2200</v>
      </c>
    </row>
    <row r="8" spans="1:14" x14ac:dyDescent="0.8">
      <c r="B8" t="s">
        <v>112</v>
      </c>
      <c r="C8" s="1"/>
      <c r="D8" s="1"/>
      <c r="E8" s="1"/>
      <c r="F8" s="1"/>
      <c r="G8" s="1"/>
      <c r="H8" s="1"/>
      <c r="I8" s="1"/>
      <c r="J8" s="1">
        <v>6000</v>
      </c>
      <c r="K8" s="1"/>
      <c r="L8" s="1"/>
      <c r="M8" s="1"/>
      <c r="N8" s="1">
        <v>6000</v>
      </c>
    </row>
    <row r="9" spans="1:14" x14ac:dyDescent="0.8">
      <c r="B9" t="s">
        <v>38</v>
      </c>
      <c r="C9" s="1"/>
      <c r="D9" s="1"/>
      <c r="E9" s="1"/>
      <c r="F9" s="1"/>
      <c r="G9" s="1"/>
      <c r="H9" s="1"/>
      <c r="I9" s="1"/>
      <c r="J9" s="1"/>
      <c r="K9" s="1"/>
      <c r="L9" s="1">
        <v>7500</v>
      </c>
      <c r="M9" s="1"/>
      <c r="N9" s="1">
        <v>7500</v>
      </c>
    </row>
    <row r="10" spans="1:14" x14ac:dyDescent="0.8">
      <c r="A10" t="s">
        <v>103</v>
      </c>
      <c r="C10" s="1">
        <v>4800</v>
      </c>
      <c r="D10" s="1"/>
      <c r="E10" s="1"/>
      <c r="F10" s="1">
        <v>6599</v>
      </c>
      <c r="G10" s="1"/>
      <c r="H10" s="1"/>
      <c r="I10" s="1"/>
      <c r="J10" s="1"/>
      <c r="K10" s="1">
        <v>4300</v>
      </c>
      <c r="L10" s="1"/>
      <c r="M10" s="1"/>
      <c r="N10" s="1">
        <v>15699</v>
      </c>
    </row>
    <row r="11" spans="1:14" x14ac:dyDescent="0.8">
      <c r="B11" t="s">
        <v>48</v>
      </c>
      <c r="C11" s="1">
        <v>4800</v>
      </c>
      <c r="D11" s="1"/>
      <c r="E11" s="1"/>
      <c r="F11" s="1"/>
      <c r="G11" s="1"/>
      <c r="H11" s="1"/>
      <c r="I11" s="1"/>
      <c r="J11" s="1"/>
      <c r="K11" s="1"/>
      <c r="L11" s="1"/>
      <c r="M11" s="1"/>
      <c r="N11" s="1">
        <v>4800</v>
      </c>
    </row>
    <row r="12" spans="1:14" x14ac:dyDescent="0.8">
      <c r="B12" t="s">
        <v>8</v>
      </c>
      <c r="C12" s="1"/>
      <c r="D12" s="1"/>
      <c r="E12" s="1"/>
      <c r="F12" s="1"/>
      <c r="G12" s="1"/>
      <c r="H12" s="1"/>
      <c r="I12" s="1"/>
      <c r="J12" s="1"/>
      <c r="K12" s="1">
        <v>4300</v>
      </c>
      <c r="L12" s="1"/>
      <c r="M12" s="1"/>
      <c r="N12" s="1">
        <v>4300</v>
      </c>
    </row>
    <row r="13" spans="1:14" x14ac:dyDescent="0.8">
      <c r="B13" t="s">
        <v>110</v>
      </c>
      <c r="C13" s="1"/>
      <c r="D13" s="1"/>
      <c r="E13" s="1"/>
      <c r="F13" s="1">
        <v>6599</v>
      </c>
      <c r="G13" s="1"/>
      <c r="H13" s="1"/>
      <c r="I13" s="1"/>
      <c r="J13" s="1"/>
      <c r="K13" s="1"/>
      <c r="L13" s="1"/>
      <c r="M13" s="1"/>
      <c r="N13" s="1">
        <v>6599</v>
      </c>
    </row>
    <row r="14" spans="1:14" x14ac:dyDescent="0.8">
      <c r="A14" t="s">
        <v>107</v>
      </c>
      <c r="C14" s="1"/>
      <c r="D14" s="1"/>
      <c r="E14" s="1"/>
      <c r="F14" s="1"/>
      <c r="G14" s="1">
        <v>5300</v>
      </c>
      <c r="H14" s="1"/>
      <c r="I14" s="1"/>
      <c r="J14" s="1"/>
      <c r="K14" s="1"/>
      <c r="L14" s="1"/>
      <c r="M14" s="1"/>
      <c r="N14" s="1">
        <v>5300</v>
      </c>
    </row>
    <row r="15" spans="1:14" x14ac:dyDescent="0.8">
      <c r="B15" t="s">
        <v>22</v>
      </c>
      <c r="C15" s="1"/>
      <c r="D15" s="1"/>
      <c r="E15" s="1"/>
      <c r="F15" s="1"/>
      <c r="G15" s="1">
        <v>5300</v>
      </c>
      <c r="H15" s="1"/>
      <c r="I15" s="1"/>
      <c r="J15" s="1"/>
      <c r="K15" s="1"/>
      <c r="L15" s="1"/>
      <c r="M15" s="1"/>
      <c r="N15" s="1">
        <v>5300</v>
      </c>
    </row>
    <row r="16" spans="1:14" x14ac:dyDescent="0.8">
      <c r="A16" t="s">
        <v>100</v>
      </c>
      <c r="C16" s="1"/>
      <c r="D16" s="1"/>
      <c r="E16" s="1"/>
      <c r="F16" s="1">
        <v>4200</v>
      </c>
      <c r="G16" s="1">
        <v>4600</v>
      </c>
      <c r="H16" s="1"/>
      <c r="I16" s="1"/>
      <c r="J16" s="1">
        <v>2800</v>
      </c>
      <c r="K16" s="1"/>
      <c r="L16" s="1"/>
      <c r="M16" s="1"/>
      <c r="N16" s="1">
        <v>11600</v>
      </c>
    </row>
    <row r="17" spans="1:14" x14ac:dyDescent="0.8">
      <c r="B17" t="s">
        <v>51</v>
      </c>
      <c r="C17" s="1"/>
      <c r="D17" s="1"/>
      <c r="E17" s="1"/>
      <c r="F17" s="1"/>
      <c r="G17" s="1">
        <v>4600</v>
      </c>
      <c r="H17" s="1"/>
      <c r="I17" s="1"/>
      <c r="J17" s="1"/>
      <c r="K17" s="1"/>
      <c r="L17" s="1"/>
      <c r="M17" s="1"/>
      <c r="N17" s="1">
        <v>4600</v>
      </c>
    </row>
    <row r="18" spans="1:14" x14ac:dyDescent="0.8">
      <c r="B18" t="s">
        <v>109</v>
      </c>
      <c r="C18" s="1"/>
      <c r="D18" s="1"/>
      <c r="E18" s="1"/>
      <c r="F18" s="1"/>
      <c r="G18" s="1"/>
      <c r="H18" s="1"/>
      <c r="I18" s="1"/>
      <c r="J18" s="1">
        <v>2800</v>
      </c>
      <c r="K18" s="1"/>
      <c r="L18" s="1"/>
      <c r="M18" s="1"/>
      <c r="N18" s="1">
        <v>2800</v>
      </c>
    </row>
    <row r="19" spans="1:14" x14ac:dyDescent="0.8">
      <c r="B19" t="s">
        <v>62</v>
      </c>
      <c r="C19" s="1"/>
      <c r="D19" s="1"/>
      <c r="E19" s="1"/>
      <c r="F19" s="1">
        <v>4200</v>
      </c>
      <c r="G19" s="1"/>
      <c r="H19" s="1"/>
      <c r="I19" s="1"/>
      <c r="J19" s="1"/>
      <c r="K19" s="1"/>
      <c r="L19" s="1"/>
      <c r="M19" s="1"/>
      <c r="N19" s="1">
        <v>4200</v>
      </c>
    </row>
    <row r="20" spans="1:14" x14ac:dyDescent="0.8">
      <c r="A20" t="s">
        <v>101</v>
      </c>
      <c r="C20" s="1"/>
      <c r="D20" s="1">
        <v>1500</v>
      </c>
      <c r="E20" s="1"/>
      <c r="F20" s="1"/>
      <c r="G20" s="1"/>
      <c r="H20" s="1"/>
      <c r="I20" s="1">
        <v>5000</v>
      </c>
      <c r="J20" s="1"/>
      <c r="K20" s="1"/>
      <c r="L20" s="1"/>
      <c r="M20" s="1"/>
      <c r="N20" s="1">
        <v>6500</v>
      </c>
    </row>
    <row r="21" spans="1:14" x14ac:dyDescent="0.8">
      <c r="B21" t="s">
        <v>13</v>
      </c>
      <c r="C21" s="1"/>
      <c r="D21" s="1">
        <v>1500</v>
      </c>
      <c r="E21" s="1"/>
      <c r="F21" s="1"/>
      <c r="G21" s="1"/>
      <c r="H21" s="1"/>
      <c r="I21" s="1"/>
      <c r="J21" s="1"/>
      <c r="K21" s="1"/>
      <c r="L21" s="1"/>
      <c r="M21" s="1"/>
      <c r="N21" s="1">
        <v>1500</v>
      </c>
    </row>
    <row r="22" spans="1:14" x14ac:dyDescent="0.8">
      <c r="B22" t="s">
        <v>59</v>
      </c>
      <c r="C22" s="1"/>
      <c r="D22" s="1"/>
      <c r="E22" s="1"/>
      <c r="F22" s="1"/>
      <c r="G22" s="1"/>
      <c r="H22" s="1"/>
      <c r="I22" s="1">
        <v>5000</v>
      </c>
      <c r="J22" s="1"/>
      <c r="K22" s="1"/>
      <c r="L22" s="1"/>
      <c r="M22" s="1"/>
      <c r="N22" s="1">
        <v>5000</v>
      </c>
    </row>
    <row r="23" spans="1:14" x14ac:dyDescent="0.8">
      <c r="A23" t="s">
        <v>105</v>
      </c>
      <c r="C23" s="1"/>
      <c r="D23" s="1"/>
      <c r="E23" s="1"/>
      <c r="F23" s="1">
        <v>3900</v>
      </c>
      <c r="G23" s="1"/>
      <c r="H23" s="1"/>
      <c r="I23" s="1"/>
      <c r="J23" s="1"/>
      <c r="K23" s="1"/>
      <c r="L23" s="1"/>
      <c r="M23" s="1"/>
      <c r="N23" s="1">
        <v>3900</v>
      </c>
    </row>
    <row r="24" spans="1:14" x14ac:dyDescent="0.8">
      <c r="B24" t="s">
        <v>29</v>
      </c>
      <c r="C24" s="1"/>
      <c r="D24" s="1"/>
      <c r="E24" s="1"/>
      <c r="F24" s="1">
        <v>3900</v>
      </c>
      <c r="G24" s="1"/>
      <c r="H24" s="1"/>
      <c r="I24" s="1"/>
      <c r="J24" s="1"/>
      <c r="K24" s="1"/>
      <c r="L24" s="1"/>
      <c r="M24" s="1"/>
      <c r="N24" s="1">
        <v>3900</v>
      </c>
    </row>
    <row r="25" spans="1:14" x14ac:dyDescent="0.8">
      <c r="A25" t="s">
        <v>108</v>
      </c>
      <c r="C25" s="1"/>
      <c r="D25" s="1"/>
      <c r="E25" s="1"/>
      <c r="F25" s="1">
        <v>5600</v>
      </c>
      <c r="G25" s="1"/>
      <c r="H25" s="1">
        <v>6000</v>
      </c>
      <c r="I25" s="1"/>
      <c r="J25" s="1"/>
      <c r="K25" s="1"/>
      <c r="L25" s="1"/>
      <c r="M25" s="1"/>
      <c r="N25" s="1">
        <v>11600</v>
      </c>
    </row>
    <row r="26" spans="1:14" x14ac:dyDescent="0.8">
      <c r="B26" t="s">
        <v>3</v>
      </c>
      <c r="C26" s="1"/>
      <c r="D26" s="1"/>
      <c r="E26" s="1"/>
      <c r="F26" s="1">
        <v>2800</v>
      </c>
      <c r="G26" s="1"/>
      <c r="H26" s="1"/>
      <c r="I26" s="1"/>
      <c r="J26" s="1"/>
      <c r="K26" s="1"/>
      <c r="L26" s="1"/>
      <c r="M26" s="1"/>
      <c r="N26" s="1">
        <v>2800</v>
      </c>
    </row>
    <row r="27" spans="1:14" x14ac:dyDescent="0.8">
      <c r="B27" t="s">
        <v>98</v>
      </c>
      <c r="C27" s="1"/>
      <c r="D27" s="1"/>
      <c r="E27" s="1"/>
      <c r="F27" s="1">
        <v>2800</v>
      </c>
      <c r="G27" s="1"/>
      <c r="H27" s="1"/>
      <c r="I27" s="1"/>
      <c r="J27" s="1"/>
      <c r="K27" s="1"/>
      <c r="L27" s="1"/>
      <c r="M27" s="1"/>
      <c r="N27" s="1">
        <v>2800</v>
      </c>
    </row>
    <row r="28" spans="1:14" x14ac:dyDescent="0.8">
      <c r="B28" t="s">
        <v>18</v>
      </c>
      <c r="C28" s="1"/>
      <c r="D28" s="1"/>
      <c r="E28" s="1"/>
      <c r="F28" s="1"/>
      <c r="G28" s="1"/>
      <c r="H28" s="1">
        <v>6000</v>
      </c>
      <c r="I28" s="1"/>
      <c r="J28" s="1"/>
      <c r="K28" s="1"/>
      <c r="L28" s="1"/>
      <c r="M28" s="1"/>
      <c r="N28" s="1">
        <v>6000</v>
      </c>
    </row>
    <row r="29" spans="1:14" x14ac:dyDescent="0.8">
      <c r="A29" t="s">
        <v>104</v>
      </c>
      <c r="C29" s="1"/>
      <c r="D29" s="1"/>
      <c r="E29" s="1"/>
      <c r="F29" s="1"/>
      <c r="G29" s="1"/>
      <c r="H29" s="1"/>
      <c r="I29" s="1">
        <v>9800</v>
      </c>
      <c r="J29" s="1">
        <v>2800</v>
      </c>
      <c r="K29" s="1"/>
      <c r="L29" s="1"/>
      <c r="M29" s="1">
        <v>2000</v>
      </c>
      <c r="N29" s="1">
        <v>14600</v>
      </c>
    </row>
    <row r="30" spans="1:14" x14ac:dyDescent="0.8">
      <c r="B30" t="s">
        <v>34</v>
      </c>
      <c r="C30" s="1"/>
      <c r="D30" s="1"/>
      <c r="E30" s="1"/>
      <c r="F30" s="1"/>
      <c r="G30" s="1"/>
      <c r="H30" s="1"/>
      <c r="I30" s="1">
        <v>9800</v>
      </c>
      <c r="J30" s="1"/>
      <c r="K30" s="1"/>
      <c r="L30" s="1"/>
      <c r="M30" s="1"/>
      <c r="N30" s="1">
        <v>9800</v>
      </c>
    </row>
    <row r="31" spans="1:14" x14ac:dyDescent="0.8">
      <c r="B31" t="s">
        <v>111</v>
      </c>
      <c r="C31" s="1"/>
      <c r="D31" s="1"/>
      <c r="E31" s="1"/>
      <c r="F31" s="1"/>
      <c r="G31" s="1"/>
      <c r="H31" s="1"/>
      <c r="I31" s="1"/>
      <c r="J31" s="1">
        <v>2800</v>
      </c>
      <c r="K31" s="1"/>
      <c r="L31" s="1"/>
      <c r="M31" s="1"/>
      <c r="N31" s="1">
        <v>2800</v>
      </c>
    </row>
    <row r="32" spans="1:14" x14ac:dyDescent="0.8">
      <c r="B32" t="s">
        <v>43</v>
      </c>
      <c r="C32" s="1"/>
      <c r="D32" s="1"/>
      <c r="E32" s="1"/>
      <c r="F32" s="1"/>
      <c r="G32" s="1"/>
      <c r="H32" s="1"/>
      <c r="I32" s="1"/>
      <c r="J32" s="1"/>
      <c r="K32" s="1"/>
      <c r="L32" s="1"/>
      <c r="M32" s="1">
        <v>2000</v>
      </c>
      <c r="N32" s="1">
        <v>2000</v>
      </c>
    </row>
    <row r="33" spans="1:14" x14ac:dyDescent="0.8">
      <c r="A33" t="s">
        <v>106</v>
      </c>
      <c r="C33" s="1"/>
      <c r="D33" s="1"/>
      <c r="E33" s="1"/>
      <c r="F33" s="1">
        <v>4100</v>
      </c>
      <c r="G33" s="1"/>
      <c r="H33" s="1"/>
      <c r="I33" s="1"/>
      <c r="J33" s="1"/>
      <c r="K33" s="1"/>
      <c r="L33" s="1"/>
      <c r="M33" s="1"/>
      <c r="N33" s="1">
        <v>4100</v>
      </c>
    </row>
    <row r="34" spans="1:14" x14ac:dyDescent="0.8">
      <c r="B34" t="s">
        <v>25</v>
      </c>
      <c r="C34" s="1"/>
      <c r="D34" s="1"/>
      <c r="E34" s="1"/>
      <c r="F34" s="1">
        <v>4100</v>
      </c>
      <c r="G34" s="1"/>
      <c r="H34" s="1"/>
      <c r="I34" s="1"/>
      <c r="J34" s="1"/>
      <c r="K34" s="1"/>
      <c r="L34" s="1"/>
      <c r="M34" s="1"/>
      <c r="N34" s="1">
        <v>4100</v>
      </c>
    </row>
  </sheetData>
  <conditionalFormatting pivot="1" sqref="N6:N34">
    <cfRule type="dataBar" priority="2">
      <dataBar>
        <cfvo type="min"/>
        <cfvo type="max"/>
        <color rgb="FFFFB628"/>
      </dataBar>
      <extLst>
        <ext xmlns:x14="http://schemas.microsoft.com/office/spreadsheetml/2009/9/main" uri="{B025F937-C7B1-47D3-B67F-A62EFF666E3E}">
          <x14:id>{0A4358D1-0704-4B69-B2B9-8F7A86C769A8}</x14:id>
        </ext>
      </extLst>
    </cfRule>
  </conditionalFormatting>
  <conditionalFormatting pivot="1" sqref="N6:N34">
    <cfRule type="iconSet" priority="1">
      <iconSet iconSet="3Symbols">
        <cfvo type="percent" val="0"/>
        <cfvo type="percent" val="33"/>
        <cfvo type="percent" val="67"/>
      </iconSe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A4358D1-0704-4B69-B2B9-8F7A86C769A8}">
            <x14:dataBar minLength="0" maxLength="100" gradient="0">
              <x14:cfvo type="autoMin"/>
              <x14:cfvo type="autoMax"/>
              <x14:negativeFillColor rgb="FFFF0000"/>
              <x14:axisColor rgb="FF000000"/>
            </x14:dataBar>
          </x14:cfRule>
          <xm:sqref>N6:N34</xm:sqref>
        </x14:conditionalFormatting>
        <x14:conditionalFormatting xmlns:xm="http://schemas.microsoft.com/office/excel/2006/main" pivot="1">
          <x14:cfRule type="iconSet" priority="3" id="{741E29CF-97AE-43D0-B00D-B30E640F6736}">
            <x14:iconSet iconSet="3Triangles">
              <x14:cfvo type="percent">
                <xm:f>0</xm:f>
              </x14:cfvo>
              <x14:cfvo type="percent">
                <xm:f>33</xm:f>
              </x14:cfvo>
              <x14:cfvo type="percent">
                <xm:f>67</xm:f>
              </x14:cfvo>
            </x14:iconSet>
          </x14:cfRule>
          <xm:sqref>N7:N9 N10 N11:N13 N14 N15 N16 N17:N19 N20 N21:N22 N23 N24 N25 N26:N28 N29 N30:N32 N33 N34</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Table</vt:lpstr>
      <vt:lpstr>Skills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watsala innocent</dc:creator>
  <cp:lastModifiedBy>watsala innocent</cp:lastModifiedBy>
  <dcterms:created xsi:type="dcterms:W3CDTF">2026-01-15T17:38:10Z</dcterms:created>
  <dcterms:modified xsi:type="dcterms:W3CDTF">2026-01-25T09:38:15Z</dcterms:modified>
</cp:coreProperties>
</file>