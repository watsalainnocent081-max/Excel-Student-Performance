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4.xml" ContentType="application/vnd.ms-excel.slicer+xml"/>
  <Override PartName="/xl/slicers/slicer5.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slicers/slicer6.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slicers/slicer8.xml" ContentType="application/vnd.ms-excel.slicer+xml"/>
  <Override PartName="/xl/slicers/slicer9.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tables/table9.xml" ContentType="application/vnd.openxmlformats-officedocument.spreadsheetml.table+xml"/>
  <Override PartName="/xl/slicers/slicer10.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tables/table10.xml" ContentType="application/vnd.openxmlformats-officedocument.spreadsheetml.tab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Ex1.xml" ContentType="application/vnd.ms-office.chartex+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0.xml" ContentType="application/vnd.openxmlformats-officedocument.drawing+xml"/>
  <Override PartName="/xl/ink/ink1.xml" ContentType="application/inkml+xml"/>
  <Override PartName="/xl/drawings/drawing11.xml" ContentType="application/vnd.openxmlformats-officedocument.drawing+xml"/>
  <Override PartName="/xl/ink/ink2.xml" ContentType="application/inkml+xml"/>
  <Override PartName="/xl/ink/ink3.xml" ContentType="application/inkml+xml"/>
  <Override PartName="/xl/ink/ink4.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DELL\OneDrive\Documents\"/>
    </mc:Choice>
  </mc:AlternateContent>
  <xr:revisionPtr revIDLastSave="0" documentId="13_ncr:1_{E514D2CE-1A61-4D9C-A58F-5394F5E25467}" xr6:coauthVersionLast="47" xr6:coauthVersionMax="47" xr10:uidLastSave="{00000000-0000-0000-0000-000000000000}"/>
  <workbookProtection workbookAlgorithmName="SHA-512" workbookHashValue="HeBD6n9XrLQAMtOjGstuPfTNqu44xKws4cVi4xNSOaIOvkmRZloCS0C+MvuGikhoMuMS030B6U2stXw0ySVVyA==" workbookSaltValue="KoLdN/oO88othVR+7z09RA==" workbookSpinCount="100000" lockStructure="1"/>
  <bookViews>
    <workbookView xWindow="-110" yWindow="-110" windowWidth="19420" windowHeight="11020" firstSheet="1" activeTab="3" xr2:uid="{9671D3F7-5EF4-4BDA-A88E-2F47B01642F3}"/>
  </bookViews>
  <sheets>
    <sheet name="StudentsPerformance CSV" sheetId="1" r:id="rId1"/>
    <sheet name="Some High School Level" sheetId="12" r:id="rId2"/>
    <sheet name="Some Collage" sheetId="14" r:id="rId3"/>
    <sheet name="Associate's Degree" sheetId="15" r:id="rId4"/>
    <sheet name="Bacholer's Degree" sheetId="16" r:id="rId5"/>
    <sheet name="High School Level" sheetId="13" r:id="rId6"/>
    <sheet name="Master's Degree" sheetId="17" r:id="rId7"/>
    <sheet name="Score Distribution Stats" sheetId="29" r:id="rId8"/>
    <sheet name="PassGrading" sheetId="33" r:id="rId9"/>
    <sheet name="Students in that Level" sheetId="35" r:id="rId10"/>
    <sheet name="University Readiness KPSI" sheetId="39" r:id="rId11"/>
    <sheet name="Education leve %" sheetId="19" r:id="rId12"/>
  </sheets>
  <definedNames>
    <definedName name="_xlnm._FilterDatabase" localSheetId="0" hidden="1">'StudentsPerformance CSV'!$A$5:$H$1005</definedName>
    <definedName name="_xlchart.v1.0" hidden="1">'Students in that Level'!$A$2:$A$7</definedName>
    <definedName name="_xlchart.v1.1" hidden="1">'Students in that Level'!$B$1</definedName>
    <definedName name="_xlchart.v1.2" hidden="1">'Students in that Level'!$B$2:$B$7</definedName>
    <definedName name="_xlchart.v1.3" hidden="1">'Students in that Level'!$C$1</definedName>
    <definedName name="_xlchart.v1.4" hidden="1">'Students in that Level'!$C$2:$C$7</definedName>
    <definedName name="Slicer_gender">#N/A</definedName>
    <definedName name="Slicer_Gender1">#N/A</definedName>
    <definedName name="Slicer_Gender2">#N/A</definedName>
    <definedName name="Slicer_Gender3">#N/A</definedName>
    <definedName name="Slicer_Gender4">#N/A</definedName>
    <definedName name="Slicer_Gender5">#N/A</definedName>
    <definedName name="Slicer_Gender6">#N/A</definedName>
    <definedName name="Slicer_Gender7">#N/A</definedName>
    <definedName name="Slicer_Gender8">#N/A</definedName>
    <definedName name="Slicer_Gender9">#N/A</definedName>
    <definedName name="Slicer_Grade">#N/A</definedName>
    <definedName name="Slicer_Lunch">#N/A</definedName>
    <definedName name="Slicer_parental_level_of_education">#N/A</definedName>
    <definedName name="Slicer_race_ethnicity">#N/A</definedName>
    <definedName name="Slicer_Race_ethnicity1">#N/A</definedName>
    <definedName name="Slicer_Race_ethnicity2">#N/A</definedName>
    <definedName name="Slicer_Race_ethnicity3">#N/A</definedName>
    <definedName name="Slicer_Race_ethnicity4">#N/A</definedName>
    <definedName name="Slicer_Race_ethnicity5">#N/A</definedName>
    <definedName name="Slicer_Race_ethnicity6">#N/A</definedName>
    <definedName name="Slicer_Race_ethnicity7">#N/A</definedName>
    <definedName name="Slicer_Race_ethnicity8">#N/A</definedName>
    <definedName name="Slicer_Test_prep">#N/A</definedName>
    <definedName name="Slicer_Test_prep1">#N/A</definedName>
    <definedName name="Slicer_Test_prep2">#N/A</definedName>
    <definedName name="Slicer_test_preparation_course">#N/A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3"/>
        <x14:slicerCache r:id="rId34"/>
        <x14:slicerCache r:id="rId35"/>
        <x14:slicerCache r:id="rId36"/>
        <x14:slicerCache r:id="rId37"/>
        <x14:slicerCache r:id="rId38"/>
        <x14:slicerCache r:id="rId39"/>
        <x14:slicerCache r:id="rId40"/>
        <x14:slicerCache r:id="rId41"/>
        <x14:slicerCache r:id="rId42"/>
        <x14:slicerCache r:id="rId43"/>
        <x14:slicerCache r:id="rId4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6" i="12" l="1"/>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E224" i="15"/>
  <c r="G224" i="15"/>
  <c r="F233" i="14"/>
  <c r="G2" i="15"/>
  <c r="G3"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G7" i="14"/>
  <c r="G8" i="14"/>
  <c r="G9" i="14"/>
  <c r="G10" i="14"/>
  <c r="G11" i="14"/>
  <c r="G12" i="14"/>
  <c r="G13" i="14"/>
  <c r="G14" i="14"/>
  <c r="G15" i="14"/>
  <c r="G16" i="14"/>
  <c r="G17" i="14"/>
  <c r="G18" i="14"/>
  <c r="G19" i="14"/>
  <c r="G20" i="14"/>
  <c r="G21" i="14"/>
  <c r="G22" i="14"/>
  <c r="G23" i="14"/>
  <c r="G24" i="14"/>
  <c r="G25" i="14"/>
  <c r="G26" i="14"/>
  <c r="G27" i="14"/>
  <c r="G28" i="14"/>
  <c r="G29" i="14"/>
  <c r="G30" i="14"/>
  <c r="G31" i="14"/>
  <c r="G32" i="14"/>
  <c r="G33" i="14"/>
  <c r="G34" i="14"/>
  <c r="G35" i="14"/>
  <c r="G36" i="14"/>
  <c r="G37" i="14"/>
  <c r="G38" i="14"/>
  <c r="G39" i="14"/>
  <c r="G40" i="14"/>
  <c r="G41" i="14"/>
  <c r="G42" i="14"/>
  <c r="G43" i="14"/>
  <c r="G44" i="14"/>
  <c r="G45" i="14"/>
  <c r="G46" i="14"/>
  <c r="G47" i="14"/>
  <c r="G48" i="14"/>
  <c r="G49" i="14"/>
  <c r="G50" i="14"/>
  <c r="G51" i="14"/>
  <c r="G52" i="14"/>
  <c r="G53" i="14"/>
  <c r="G54" i="14"/>
  <c r="G55" i="14"/>
  <c r="G56" i="14"/>
  <c r="G57" i="14"/>
  <c r="G58" i="14"/>
  <c r="G59" i="14"/>
  <c r="G60" i="14"/>
  <c r="G61" i="14"/>
  <c r="G62" i="14"/>
  <c r="G63" i="14"/>
  <c r="G64" i="14"/>
  <c r="G65" i="14"/>
  <c r="G66" i="14"/>
  <c r="G67" i="14"/>
  <c r="G68" i="14"/>
  <c r="G69" i="14"/>
  <c r="G70" i="14"/>
  <c r="G71" i="14"/>
  <c r="G72" i="14"/>
  <c r="G73" i="14"/>
  <c r="G74" i="14"/>
  <c r="G75" i="14"/>
  <c r="G76" i="14"/>
  <c r="G77" i="14"/>
  <c r="G78" i="14"/>
  <c r="G79" i="14"/>
  <c r="G80" i="14"/>
  <c r="G81" i="14"/>
  <c r="G82" i="14"/>
  <c r="G83" i="14"/>
  <c r="G84" i="14"/>
  <c r="G85" i="14"/>
  <c r="G86" i="14"/>
  <c r="G87" i="14"/>
  <c r="G88" i="14"/>
  <c r="G89" i="14"/>
  <c r="G90" i="14"/>
  <c r="G91" i="14"/>
  <c r="G92" i="14"/>
  <c r="G93" i="14"/>
  <c r="G94" i="14"/>
  <c r="G95" i="14"/>
  <c r="G96" i="14"/>
  <c r="G97" i="14"/>
  <c r="G98" i="14"/>
  <c r="G99" i="14"/>
  <c r="G100" i="14"/>
  <c r="G101" i="14"/>
  <c r="G102" i="14"/>
  <c r="G103" i="14"/>
  <c r="G104" i="14"/>
  <c r="G105" i="14"/>
  <c r="G106" i="14"/>
  <c r="G107" i="14"/>
  <c r="G108" i="14"/>
  <c r="G109" i="14"/>
  <c r="G110" i="14"/>
  <c r="G111" i="14"/>
  <c r="G112" i="14"/>
  <c r="G113" i="14"/>
  <c r="G114" i="14"/>
  <c r="G115" i="14"/>
  <c r="G116" i="14"/>
  <c r="G117" i="14"/>
  <c r="G118" i="14"/>
  <c r="G119" i="14"/>
  <c r="G120" i="14"/>
  <c r="G121" i="14"/>
  <c r="G122" i="14"/>
  <c r="G123" i="14"/>
  <c r="G124" i="14"/>
  <c r="G125" i="14"/>
  <c r="G126" i="14"/>
  <c r="G127" i="14"/>
  <c r="G128" i="14"/>
  <c r="G129" i="14"/>
  <c r="G130" i="14"/>
  <c r="G131" i="14"/>
  <c r="G132" i="14"/>
  <c r="G133" i="14"/>
  <c r="G134" i="14"/>
  <c r="G135" i="14"/>
  <c r="G136" i="14"/>
  <c r="G137" i="14"/>
  <c r="G138" i="14"/>
  <c r="G139" i="14"/>
  <c r="G140" i="14"/>
  <c r="G141" i="14"/>
  <c r="G142" i="14"/>
  <c r="G143" i="14"/>
  <c r="G144" i="14"/>
  <c r="G145" i="14"/>
  <c r="G146" i="14"/>
  <c r="G147" i="14"/>
  <c r="G148" i="14"/>
  <c r="G149" i="14"/>
  <c r="G150" i="14"/>
  <c r="G151" i="14"/>
  <c r="G152" i="14"/>
  <c r="G153" i="14"/>
  <c r="G154" i="14"/>
  <c r="G155" i="14"/>
  <c r="G156" i="14"/>
  <c r="G157" i="14"/>
  <c r="G158" i="14"/>
  <c r="G159" i="14"/>
  <c r="G160" i="14"/>
  <c r="G161" i="14"/>
  <c r="G162" i="14"/>
  <c r="G163" i="14"/>
  <c r="G164" i="14"/>
  <c r="G165" i="14"/>
  <c r="G166" i="14"/>
  <c r="G167" i="14"/>
  <c r="G168" i="14"/>
  <c r="G169" i="14"/>
  <c r="G170" i="14"/>
  <c r="G171" i="14"/>
  <c r="G172" i="14"/>
  <c r="G173" i="14"/>
  <c r="G174" i="14"/>
  <c r="G175" i="14"/>
  <c r="G176" i="14"/>
  <c r="G177" i="14"/>
  <c r="G178" i="14"/>
  <c r="G179" i="14"/>
  <c r="G180" i="14"/>
  <c r="G181" i="14"/>
  <c r="G182" i="14"/>
  <c r="G183" i="14"/>
  <c r="G184" i="14"/>
  <c r="G185" i="14"/>
  <c r="G186" i="14"/>
  <c r="G187" i="14"/>
  <c r="G188" i="14"/>
  <c r="G189" i="14"/>
  <c r="G190" i="14"/>
  <c r="G191" i="14"/>
  <c r="G192" i="14"/>
  <c r="G193" i="14"/>
  <c r="G194" i="14"/>
  <c r="G195" i="14"/>
  <c r="G196" i="14"/>
  <c r="G197" i="14"/>
  <c r="G198" i="14"/>
  <c r="G199" i="14"/>
  <c r="G200" i="14"/>
  <c r="G201" i="14"/>
  <c r="G202" i="14"/>
  <c r="G203" i="14"/>
  <c r="G204" i="14"/>
  <c r="G205" i="14"/>
  <c r="G206" i="14"/>
  <c r="G207" i="14"/>
  <c r="G208" i="14"/>
  <c r="G209" i="14"/>
  <c r="G210" i="14"/>
  <c r="G211" i="14"/>
  <c r="G212" i="14"/>
  <c r="G213" i="14"/>
  <c r="G214" i="14"/>
  <c r="G215" i="14"/>
  <c r="G216" i="14"/>
  <c r="G217" i="14"/>
  <c r="G218" i="14"/>
  <c r="G219" i="14"/>
  <c r="G220" i="14"/>
  <c r="G221" i="14"/>
  <c r="G222" i="14"/>
  <c r="G223" i="14"/>
  <c r="G224" i="14"/>
  <c r="G225" i="14"/>
  <c r="G226" i="14"/>
  <c r="G227" i="14"/>
  <c r="G228" i="14"/>
  <c r="G229" i="14"/>
  <c r="G230" i="14"/>
  <c r="G231" i="14"/>
  <c r="G232" i="14"/>
  <c r="F2"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G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F202"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6" i="13"/>
  <c r="I11" i="19"/>
  <c r="H11" i="19"/>
  <c r="G11" i="19"/>
  <c r="F11" i="19"/>
  <c r="E11" i="19"/>
  <c r="D11" i="19"/>
  <c r="C11" i="19"/>
  <c r="F120" i="16"/>
  <c r="G3" i="16"/>
  <c r="G4" i="16"/>
  <c r="G5" i="16"/>
  <c r="G6" i="16"/>
  <c r="G7" i="16"/>
  <c r="G8" i="16"/>
  <c r="G9" i="16"/>
  <c r="G10" i="16"/>
  <c r="G11" i="16"/>
  <c r="G12" i="16"/>
  <c r="G13" i="16"/>
  <c r="G14" i="16"/>
  <c r="G15" i="16"/>
  <c r="G16" i="16"/>
  <c r="G17" i="16"/>
  <c r="G18" i="16"/>
  <c r="G19" i="16"/>
  <c r="G20" i="16"/>
  <c r="G21" i="16"/>
  <c r="G22" i="16"/>
  <c r="G23" i="16"/>
  <c r="G24" i="16"/>
  <c r="G25" i="16"/>
  <c r="G26" i="16"/>
  <c r="G27" i="16"/>
  <c r="G28" i="16"/>
  <c r="G29" i="16"/>
  <c r="G30" i="16"/>
  <c r="G31" i="16"/>
  <c r="G32" i="16"/>
  <c r="G33" i="16"/>
  <c r="G34" i="16"/>
  <c r="G35" i="16"/>
  <c r="G36" i="16"/>
  <c r="G37" i="16"/>
  <c r="G38" i="16"/>
  <c r="G39" i="16"/>
  <c r="G40" i="16"/>
  <c r="G41" i="16"/>
  <c r="G42" i="16"/>
  <c r="G43" i="16"/>
  <c r="G44" i="16"/>
  <c r="G45" i="16"/>
  <c r="G46" i="16"/>
  <c r="G47" i="16"/>
  <c r="G48" i="16"/>
  <c r="G49" i="16"/>
  <c r="G50" i="16"/>
  <c r="G51" i="16"/>
  <c r="G52" i="16"/>
  <c r="G53" i="16"/>
  <c r="G54" i="16"/>
  <c r="G55" i="16"/>
  <c r="G56" i="16"/>
  <c r="G57" i="16"/>
  <c r="G58" i="16"/>
  <c r="G59" i="16"/>
  <c r="G60" i="16"/>
  <c r="G61" i="16"/>
  <c r="G62" i="16"/>
  <c r="G63" i="16"/>
  <c r="G64" i="16"/>
  <c r="G65" i="16"/>
  <c r="G66" i="16"/>
  <c r="G67" i="16"/>
  <c r="G68" i="16"/>
  <c r="G69" i="16"/>
  <c r="G70" i="16"/>
  <c r="G71" i="16"/>
  <c r="G72" i="16"/>
  <c r="G73" i="16"/>
  <c r="G74" i="16"/>
  <c r="G75" i="16"/>
  <c r="G76" i="16"/>
  <c r="G77" i="16"/>
  <c r="G78" i="16"/>
  <c r="G79" i="16"/>
  <c r="G80" i="16"/>
  <c r="G81" i="16"/>
  <c r="G82" i="16"/>
  <c r="G83" i="16"/>
  <c r="G84" i="16"/>
  <c r="G85" i="16"/>
  <c r="G86" i="16"/>
  <c r="G87" i="16"/>
  <c r="G88" i="16"/>
  <c r="G89" i="16"/>
  <c r="G90" i="16"/>
  <c r="G91" i="16"/>
  <c r="G92" i="16"/>
  <c r="G93" i="16"/>
  <c r="G94" i="16"/>
  <c r="G95" i="16"/>
  <c r="G96" i="16"/>
  <c r="G97" i="16"/>
  <c r="G98" i="16"/>
  <c r="G99" i="16"/>
  <c r="G100" i="16"/>
  <c r="G101" i="16"/>
  <c r="G102" i="16"/>
  <c r="G103" i="16"/>
  <c r="G104" i="16"/>
  <c r="G105" i="16"/>
  <c r="G106" i="16"/>
  <c r="G107" i="16"/>
  <c r="G108" i="16"/>
  <c r="G109" i="16"/>
  <c r="G110" i="16"/>
  <c r="G111" i="16"/>
  <c r="G112" i="16"/>
  <c r="G113" i="16"/>
  <c r="G114" i="16"/>
  <c r="G115" i="16"/>
  <c r="G116" i="16"/>
  <c r="G117" i="16"/>
  <c r="G118" i="16"/>
  <c r="G119" i="16"/>
  <c r="G2" i="16"/>
  <c r="F61" i="17"/>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6" i="13"/>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6" i="1"/>
  <c r="I186" i="12" l="1"/>
  <c r="G233" i="14"/>
  <c r="H233" i="14"/>
  <c r="L694" i="1"/>
  <c r="M694" i="1" s="1"/>
  <c r="L6" i="1"/>
  <c r="M6" i="1" s="1"/>
  <c r="L998" i="1"/>
  <c r="M998" i="1" s="1"/>
  <c r="L990" i="1"/>
  <c r="M990" i="1" s="1"/>
  <c r="L982" i="1"/>
  <c r="M982" i="1" s="1"/>
  <c r="L974" i="1"/>
  <c r="M974" i="1" s="1"/>
  <c r="L966" i="1"/>
  <c r="M966" i="1" s="1"/>
  <c r="L958" i="1"/>
  <c r="M958" i="1" s="1"/>
  <c r="L950" i="1"/>
  <c r="M950" i="1" s="1"/>
  <c r="L942" i="1"/>
  <c r="M942" i="1" s="1"/>
  <c r="L934" i="1"/>
  <c r="M934" i="1" s="1"/>
  <c r="L926" i="1"/>
  <c r="M926" i="1" s="1"/>
  <c r="L918" i="1"/>
  <c r="M918" i="1" s="1"/>
  <c r="L910" i="1"/>
  <c r="M910" i="1" s="1"/>
  <c r="L902" i="1"/>
  <c r="M902" i="1" s="1"/>
  <c r="L894" i="1"/>
  <c r="M894" i="1" s="1"/>
  <c r="L886" i="1"/>
  <c r="M886" i="1" s="1"/>
  <c r="L878" i="1"/>
  <c r="M878" i="1" s="1"/>
  <c r="L866" i="1"/>
  <c r="M866" i="1" s="1"/>
  <c r="L858" i="1"/>
  <c r="M858" i="1" s="1"/>
  <c r="L850" i="1"/>
  <c r="M850" i="1" s="1"/>
  <c r="L842" i="1"/>
  <c r="M842" i="1" s="1"/>
  <c r="L834" i="1"/>
  <c r="M834" i="1" s="1"/>
  <c r="L826" i="1"/>
  <c r="M826" i="1" s="1"/>
  <c r="L818" i="1"/>
  <c r="M818" i="1" s="1"/>
  <c r="L810" i="1"/>
  <c r="M810" i="1" s="1"/>
  <c r="L802" i="1"/>
  <c r="M802" i="1" s="1"/>
  <c r="L790" i="1"/>
  <c r="M790" i="1" s="1"/>
  <c r="L782" i="1"/>
  <c r="M782" i="1" s="1"/>
  <c r="L774" i="1"/>
  <c r="M774" i="1" s="1"/>
  <c r="L770" i="1"/>
  <c r="M770" i="1" s="1"/>
  <c r="L762" i="1"/>
  <c r="M762" i="1" s="1"/>
  <c r="L754" i="1"/>
  <c r="M754" i="1" s="1"/>
  <c r="L742" i="1"/>
  <c r="M742" i="1" s="1"/>
  <c r="L734" i="1"/>
  <c r="M734" i="1" s="1"/>
  <c r="L726" i="1"/>
  <c r="M726" i="1" s="1"/>
  <c r="L718" i="1"/>
  <c r="M718" i="1" s="1"/>
  <c r="L710" i="1"/>
  <c r="M710" i="1" s="1"/>
  <c r="L702" i="1"/>
  <c r="M702" i="1" s="1"/>
  <c r="L686" i="1"/>
  <c r="M686" i="1" s="1"/>
  <c r="L1002" i="1"/>
  <c r="M1002" i="1" s="1"/>
  <c r="L994" i="1"/>
  <c r="M994" i="1" s="1"/>
  <c r="L986" i="1"/>
  <c r="M986" i="1" s="1"/>
  <c r="L978" i="1"/>
  <c r="M978" i="1" s="1"/>
  <c r="L970" i="1"/>
  <c r="M970" i="1" s="1"/>
  <c r="L962" i="1"/>
  <c r="M962" i="1" s="1"/>
  <c r="L954" i="1"/>
  <c r="M954" i="1" s="1"/>
  <c r="L946" i="1"/>
  <c r="M946" i="1" s="1"/>
  <c r="L938" i="1"/>
  <c r="M938" i="1" s="1"/>
  <c r="L930" i="1"/>
  <c r="M930" i="1" s="1"/>
  <c r="L922" i="1"/>
  <c r="M922" i="1" s="1"/>
  <c r="L914" i="1"/>
  <c r="M914" i="1" s="1"/>
  <c r="L906" i="1"/>
  <c r="M906" i="1" s="1"/>
  <c r="L898" i="1"/>
  <c r="M898" i="1" s="1"/>
  <c r="L890" i="1"/>
  <c r="M890" i="1" s="1"/>
  <c r="L882" i="1"/>
  <c r="M882" i="1" s="1"/>
  <c r="L874" i="1"/>
  <c r="M874" i="1" s="1"/>
  <c r="L870" i="1"/>
  <c r="M870" i="1" s="1"/>
  <c r="L862" i="1"/>
  <c r="M862" i="1" s="1"/>
  <c r="L854" i="1"/>
  <c r="M854" i="1" s="1"/>
  <c r="L846" i="1"/>
  <c r="M846" i="1" s="1"/>
  <c r="L838" i="1"/>
  <c r="M838" i="1" s="1"/>
  <c r="L830" i="1"/>
  <c r="M830" i="1" s="1"/>
  <c r="L822" i="1"/>
  <c r="M822" i="1" s="1"/>
  <c r="L814" i="1"/>
  <c r="M814" i="1" s="1"/>
  <c r="L806" i="1"/>
  <c r="M806" i="1" s="1"/>
  <c r="L798" i="1"/>
  <c r="M798" i="1" s="1"/>
  <c r="L794" i="1"/>
  <c r="M794" i="1" s="1"/>
  <c r="L786" i="1"/>
  <c r="M786" i="1" s="1"/>
  <c r="L778" i="1"/>
  <c r="M778" i="1" s="1"/>
  <c r="L766" i="1"/>
  <c r="M766" i="1" s="1"/>
  <c r="L758" i="1"/>
  <c r="M758" i="1" s="1"/>
  <c r="L750" i="1"/>
  <c r="M750" i="1" s="1"/>
  <c r="L746" i="1"/>
  <c r="M746" i="1" s="1"/>
  <c r="L738" i="1"/>
  <c r="M738" i="1" s="1"/>
  <c r="L730" i="1"/>
  <c r="M730" i="1" s="1"/>
  <c r="L722" i="1"/>
  <c r="M722" i="1" s="1"/>
  <c r="L714" i="1"/>
  <c r="M714" i="1" s="1"/>
  <c r="L706" i="1"/>
  <c r="M706" i="1" s="1"/>
  <c r="L698" i="1"/>
  <c r="M698" i="1" s="1"/>
  <c r="L690" i="1"/>
  <c r="M690" i="1" s="1"/>
  <c r="L678" i="1"/>
  <c r="M678" i="1" s="1"/>
  <c r="L670" i="1"/>
  <c r="M670" i="1" s="1"/>
  <c r="L662" i="1"/>
  <c r="M662" i="1" s="1"/>
  <c r="L654" i="1"/>
  <c r="M654" i="1" s="1"/>
  <c r="L646" i="1"/>
  <c r="M646" i="1" s="1"/>
  <c r="L638" i="1"/>
  <c r="M638" i="1" s="1"/>
  <c r="L634" i="1"/>
  <c r="M634" i="1" s="1"/>
  <c r="L626" i="1"/>
  <c r="M626" i="1" s="1"/>
  <c r="L614" i="1"/>
  <c r="M614" i="1" s="1"/>
  <c r="L606" i="1"/>
  <c r="M606" i="1" s="1"/>
  <c r="L598" i="1"/>
  <c r="M598" i="1" s="1"/>
  <c r="L594" i="1"/>
  <c r="M594" i="1" s="1"/>
  <c r="L586" i="1"/>
  <c r="M586" i="1" s="1"/>
  <c r="L578" i="1"/>
  <c r="M578" i="1" s="1"/>
  <c r="L570" i="1"/>
  <c r="M570" i="1" s="1"/>
  <c r="L562" i="1"/>
  <c r="M562" i="1" s="1"/>
  <c r="L554" i="1"/>
  <c r="M554" i="1" s="1"/>
  <c r="L542" i="1"/>
  <c r="M542" i="1" s="1"/>
  <c r="L534" i="1"/>
  <c r="M534" i="1" s="1"/>
  <c r="L522" i="1"/>
  <c r="M522" i="1" s="1"/>
  <c r="L514" i="1"/>
  <c r="M514" i="1" s="1"/>
  <c r="L506" i="1"/>
  <c r="M506" i="1" s="1"/>
  <c r="L502" i="1"/>
  <c r="M502" i="1" s="1"/>
  <c r="L494" i="1"/>
  <c r="M494" i="1" s="1"/>
  <c r="L486" i="1"/>
  <c r="M486" i="1" s="1"/>
  <c r="L478" i="1"/>
  <c r="M478" i="1" s="1"/>
  <c r="L470" i="1"/>
  <c r="M470" i="1" s="1"/>
  <c r="L466" i="1"/>
  <c r="M466" i="1" s="1"/>
  <c r="L458" i="1"/>
  <c r="M458" i="1" s="1"/>
  <c r="L450" i="1"/>
  <c r="M450" i="1" s="1"/>
  <c r="L442" i="1"/>
  <c r="M442" i="1" s="1"/>
  <c r="L434" i="1"/>
  <c r="M434" i="1" s="1"/>
  <c r="L426" i="1"/>
  <c r="M426" i="1" s="1"/>
  <c r="L418" i="1"/>
  <c r="M418" i="1" s="1"/>
  <c r="L410" i="1"/>
  <c r="M410" i="1" s="1"/>
  <c r="L402" i="1"/>
  <c r="M402" i="1" s="1"/>
  <c r="L394" i="1"/>
  <c r="M394" i="1" s="1"/>
  <c r="L386" i="1"/>
  <c r="M386" i="1" s="1"/>
  <c r="L374" i="1"/>
  <c r="M374" i="1" s="1"/>
  <c r="L366" i="1"/>
  <c r="M366" i="1" s="1"/>
  <c r="L358" i="1"/>
  <c r="M358" i="1" s="1"/>
  <c r="L350" i="1"/>
  <c r="M350" i="1" s="1"/>
  <c r="L342" i="1"/>
  <c r="M342" i="1" s="1"/>
  <c r="L338" i="1"/>
  <c r="M338" i="1" s="1"/>
  <c r="L330" i="1"/>
  <c r="M330" i="1" s="1"/>
  <c r="L322" i="1"/>
  <c r="M322" i="1" s="1"/>
  <c r="L314" i="1"/>
  <c r="M314" i="1" s="1"/>
  <c r="L306" i="1"/>
  <c r="M306" i="1" s="1"/>
  <c r="L298" i="1"/>
  <c r="M298" i="1" s="1"/>
  <c r="L290" i="1"/>
  <c r="M290" i="1" s="1"/>
  <c r="L282" i="1"/>
  <c r="M282" i="1" s="1"/>
  <c r="L274" i="1"/>
  <c r="M274" i="1" s="1"/>
  <c r="L266" i="1"/>
  <c r="M266" i="1" s="1"/>
  <c r="L258" i="1"/>
  <c r="M258" i="1" s="1"/>
  <c r="L250" i="1"/>
  <c r="M250" i="1" s="1"/>
  <c r="L242" i="1"/>
  <c r="M242" i="1" s="1"/>
  <c r="L234" i="1"/>
  <c r="M234" i="1" s="1"/>
  <c r="L226" i="1"/>
  <c r="M226" i="1" s="1"/>
  <c r="L222" i="1"/>
  <c r="M222" i="1" s="1"/>
  <c r="L214" i="1"/>
  <c r="M214" i="1" s="1"/>
  <c r="L206" i="1"/>
  <c r="M206" i="1" s="1"/>
  <c r="L198" i="1"/>
  <c r="M198" i="1" s="1"/>
  <c r="L190" i="1"/>
  <c r="M190" i="1" s="1"/>
  <c r="L182" i="1"/>
  <c r="M182" i="1" s="1"/>
  <c r="L174" i="1"/>
  <c r="M174" i="1" s="1"/>
  <c r="L166" i="1"/>
  <c r="M166" i="1" s="1"/>
  <c r="L158" i="1"/>
  <c r="M158" i="1" s="1"/>
  <c r="L154" i="1"/>
  <c r="M154" i="1" s="1"/>
  <c r="L146" i="1"/>
  <c r="M146" i="1" s="1"/>
  <c r="L138" i="1"/>
  <c r="M138" i="1" s="1"/>
  <c r="L130" i="1"/>
  <c r="M130" i="1" s="1"/>
  <c r="L122" i="1"/>
  <c r="M122" i="1" s="1"/>
  <c r="L114" i="1"/>
  <c r="M114" i="1" s="1"/>
  <c r="L106" i="1"/>
  <c r="M106" i="1" s="1"/>
  <c r="L102" i="1"/>
  <c r="M102" i="1" s="1"/>
  <c r="L94" i="1"/>
  <c r="M94" i="1" s="1"/>
  <c r="L86" i="1"/>
  <c r="M86" i="1" s="1"/>
  <c r="L78" i="1"/>
  <c r="M78" i="1" s="1"/>
  <c r="L70" i="1"/>
  <c r="M70" i="1" s="1"/>
  <c r="L66" i="1"/>
  <c r="M66" i="1" s="1"/>
  <c r="L58" i="1"/>
  <c r="M58" i="1" s="1"/>
  <c r="L50" i="1"/>
  <c r="M50" i="1" s="1"/>
  <c r="L42" i="1"/>
  <c r="M42" i="1" s="1"/>
  <c r="L34" i="1"/>
  <c r="M34" i="1" s="1"/>
  <c r="L22" i="1"/>
  <c r="M22" i="1" s="1"/>
  <c r="L682" i="1"/>
  <c r="M682" i="1" s="1"/>
  <c r="L674" i="1"/>
  <c r="M674" i="1" s="1"/>
  <c r="L666" i="1"/>
  <c r="M666" i="1" s="1"/>
  <c r="L658" i="1"/>
  <c r="M658" i="1" s="1"/>
  <c r="L650" i="1"/>
  <c r="M650" i="1" s="1"/>
  <c r="L642" i="1"/>
  <c r="M642" i="1" s="1"/>
  <c r="L630" i="1"/>
  <c r="M630" i="1" s="1"/>
  <c r="L622" i="1"/>
  <c r="M622" i="1" s="1"/>
  <c r="L618" i="1"/>
  <c r="M618" i="1" s="1"/>
  <c r="L610" i="1"/>
  <c r="M610" i="1" s="1"/>
  <c r="L602" i="1"/>
  <c r="M602" i="1" s="1"/>
  <c r="L590" i="1"/>
  <c r="M590" i="1" s="1"/>
  <c r="L582" i="1"/>
  <c r="M582" i="1" s="1"/>
  <c r="L574" i="1"/>
  <c r="M574" i="1" s="1"/>
  <c r="L566" i="1"/>
  <c r="M566" i="1" s="1"/>
  <c r="L558" i="1"/>
  <c r="M558" i="1" s="1"/>
  <c r="L550" i="1"/>
  <c r="M550" i="1" s="1"/>
  <c r="L546" i="1"/>
  <c r="M546" i="1" s="1"/>
  <c r="L538" i="1"/>
  <c r="M538" i="1" s="1"/>
  <c r="L530" i="1"/>
  <c r="M530" i="1" s="1"/>
  <c r="L526" i="1"/>
  <c r="M526" i="1" s="1"/>
  <c r="L518" i="1"/>
  <c r="M518" i="1" s="1"/>
  <c r="L510" i="1"/>
  <c r="M510" i="1" s="1"/>
  <c r="L498" i="1"/>
  <c r="M498" i="1" s="1"/>
  <c r="L490" i="1"/>
  <c r="M490" i="1" s="1"/>
  <c r="L482" i="1"/>
  <c r="M482" i="1" s="1"/>
  <c r="L474" i="1"/>
  <c r="M474" i="1" s="1"/>
  <c r="L462" i="1"/>
  <c r="M462" i="1" s="1"/>
  <c r="L454" i="1"/>
  <c r="M454" i="1" s="1"/>
  <c r="L446" i="1"/>
  <c r="M446" i="1" s="1"/>
  <c r="L438" i="1"/>
  <c r="M438" i="1" s="1"/>
  <c r="L430" i="1"/>
  <c r="M430" i="1" s="1"/>
  <c r="L422" i="1"/>
  <c r="M422" i="1" s="1"/>
  <c r="L414" i="1"/>
  <c r="M414" i="1" s="1"/>
  <c r="L406" i="1"/>
  <c r="M406" i="1" s="1"/>
  <c r="L398" i="1"/>
  <c r="M398" i="1" s="1"/>
  <c r="L390" i="1"/>
  <c r="M390" i="1" s="1"/>
  <c r="L382" i="1"/>
  <c r="M382" i="1" s="1"/>
  <c r="L378" i="1"/>
  <c r="M378" i="1" s="1"/>
  <c r="L370" i="1"/>
  <c r="M370" i="1" s="1"/>
  <c r="L362" i="1"/>
  <c r="M362" i="1" s="1"/>
  <c r="L354" i="1"/>
  <c r="M354" i="1" s="1"/>
  <c r="L346" i="1"/>
  <c r="M346" i="1" s="1"/>
  <c r="L334" i="1"/>
  <c r="M334" i="1" s="1"/>
  <c r="L326" i="1"/>
  <c r="M326" i="1" s="1"/>
  <c r="L318" i="1"/>
  <c r="M318" i="1" s="1"/>
  <c r="L310" i="1"/>
  <c r="M310" i="1" s="1"/>
  <c r="L302" i="1"/>
  <c r="M302" i="1" s="1"/>
  <c r="L294" i="1"/>
  <c r="M294" i="1" s="1"/>
  <c r="L286" i="1"/>
  <c r="M286" i="1" s="1"/>
  <c r="L278" i="1"/>
  <c r="M278" i="1" s="1"/>
  <c r="L270" i="1"/>
  <c r="M270" i="1" s="1"/>
  <c r="L262" i="1"/>
  <c r="M262" i="1" s="1"/>
  <c r="L254" i="1"/>
  <c r="M254" i="1" s="1"/>
  <c r="L246" i="1"/>
  <c r="M246" i="1" s="1"/>
  <c r="L238" i="1"/>
  <c r="M238" i="1" s="1"/>
  <c r="L230" i="1"/>
  <c r="M230" i="1" s="1"/>
  <c r="L218" i="1"/>
  <c r="M218" i="1" s="1"/>
  <c r="L210" i="1"/>
  <c r="M210" i="1" s="1"/>
  <c r="L202" i="1"/>
  <c r="M202" i="1" s="1"/>
  <c r="L194" i="1"/>
  <c r="M194" i="1" s="1"/>
  <c r="L186" i="1"/>
  <c r="M186" i="1" s="1"/>
  <c r="L178" i="1"/>
  <c r="M178" i="1" s="1"/>
  <c r="L170" i="1"/>
  <c r="M170" i="1" s="1"/>
  <c r="L162" i="1"/>
  <c r="M162" i="1" s="1"/>
  <c r="L150" i="1"/>
  <c r="M150" i="1" s="1"/>
  <c r="L142" i="1"/>
  <c r="M142" i="1" s="1"/>
  <c r="L134" i="1"/>
  <c r="M134" i="1" s="1"/>
  <c r="L126" i="1"/>
  <c r="M126" i="1" s="1"/>
  <c r="L118" i="1"/>
  <c r="M118" i="1" s="1"/>
  <c r="L110" i="1"/>
  <c r="M110" i="1" s="1"/>
  <c r="L98" i="1"/>
  <c r="M98" i="1" s="1"/>
  <c r="L90" i="1"/>
  <c r="M90" i="1" s="1"/>
  <c r="L82" i="1"/>
  <c r="M82" i="1" s="1"/>
  <c r="L74" i="1"/>
  <c r="M74" i="1" s="1"/>
  <c r="L62" i="1"/>
  <c r="M62" i="1" s="1"/>
  <c r="L54" i="1"/>
  <c r="M54" i="1" s="1"/>
  <c r="L46" i="1"/>
  <c r="M46" i="1" s="1"/>
  <c r="L38" i="1"/>
  <c r="M38" i="1" s="1"/>
  <c r="L30" i="1"/>
  <c r="M30" i="1" s="1"/>
  <c r="L26" i="1"/>
  <c r="M26" i="1" s="1"/>
  <c r="G120" i="16"/>
  <c r="F224" i="15"/>
  <c r="G202" i="13"/>
  <c r="H61" i="17"/>
  <c r="I1006" i="1"/>
  <c r="L1003" i="1"/>
  <c r="M1003" i="1" s="1"/>
  <c r="L999" i="1"/>
  <c r="M999" i="1" s="1"/>
  <c r="L995" i="1"/>
  <c r="M995" i="1" s="1"/>
  <c r="L991" i="1"/>
  <c r="M991" i="1" s="1"/>
  <c r="L987" i="1"/>
  <c r="M987" i="1" s="1"/>
  <c r="L983" i="1"/>
  <c r="M983" i="1" s="1"/>
  <c r="L979" i="1"/>
  <c r="M979" i="1" s="1"/>
  <c r="L975" i="1"/>
  <c r="M975" i="1" s="1"/>
  <c r="L971" i="1"/>
  <c r="M971" i="1" s="1"/>
  <c r="L967" i="1"/>
  <c r="M967" i="1" s="1"/>
  <c r="L963" i="1"/>
  <c r="M963" i="1" s="1"/>
  <c r="L959" i="1"/>
  <c r="M959" i="1" s="1"/>
  <c r="L955" i="1"/>
  <c r="M955" i="1" s="1"/>
  <c r="L951" i="1"/>
  <c r="M951" i="1" s="1"/>
  <c r="L947" i="1"/>
  <c r="M947" i="1" s="1"/>
  <c r="L943" i="1"/>
  <c r="M943" i="1" s="1"/>
  <c r="L939" i="1"/>
  <c r="M939" i="1" s="1"/>
  <c r="L935" i="1"/>
  <c r="M935" i="1" s="1"/>
  <c r="L931" i="1"/>
  <c r="M931" i="1" s="1"/>
  <c r="L927" i="1"/>
  <c r="M927" i="1" s="1"/>
  <c r="L923" i="1"/>
  <c r="M923" i="1" s="1"/>
  <c r="L919" i="1"/>
  <c r="M919" i="1" s="1"/>
  <c r="L915" i="1"/>
  <c r="M915" i="1" s="1"/>
  <c r="L911" i="1"/>
  <c r="M911" i="1" s="1"/>
  <c r="L907" i="1"/>
  <c r="M907" i="1" s="1"/>
  <c r="L903" i="1"/>
  <c r="M903" i="1" s="1"/>
  <c r="L899" i="1"/>
  <c r="M899" i="1" s="1"/>
  <c r="L895" i="1"/>
  <c r="M895" i="1" s="1"/>
  <c r="L891" i="1"/>
  <c r="M891" i="1" s="1"/>
  <c r="L887" i="1"/>
  <c r="M887" i="1" s="1"/>
  <c r="L883" i="1"/>
  <c r="M883" i="1" s="1"/>
  <c r="L879" i="1"/>
  <c r="M879" i="1" s="1"/>
  <c r="L875" i="1"/>
  <c r="M875" i="1" s="1"/>
  <c r="L871" i="1"/>
  <c r="M871" i="1" s="1"/>
  <c r="L867" i="1"/>
  <c r="M867" i="1" s="1"/>
  <c r="L863" i="1"/>
  <c r="M863" i="1" s="1"/>
  <c r="L859" i="1"/>
  <c r="M859" i="1" s="1"/>
  <c r="L855" i="1"/>
  <c r="M855" i="1" s="1"/>
  <c r="L851" i="1"/>
  <c r="M851" i="1" s="1"/>
  <c r="L847" i="1"/>
  <c r="M847" i="1" s="1"/>
  <c r="L843" i="1"/>
  <c r="M843" i="1" s="1"/>
  <c r="L839" i="1"/>
  <c r="M839" i="1" s="1"/>
  <c r="L835" i="1"/>
  <c r="M835" i="1" s="1"/>
  <c r="L831" i="1"/>
  <c r="M831" i="1" s="1"/>
  <c r="L827" i="1"/>
  <c r="M827" i="1" s="1"/>
  <c r="L823" i="1"/>
  <c r="M823" i="1" s="1"/>
  <c r="L819" i="1"/>
  <c r="M819" i="1" s="1"/>
  <c r="L815" i="1"/>
  <c r="M815" i="1" s="1"/>
  <c r="L811" i="1"/>
  <c r="M811" i="1" s="1"/>
  <c r="L807" i="1"/>
  <c r="M807" i="1" s="1"/>
  <c r="L803" i="1"/>
  <c r="M803" i="1" s="1"/>
  <c r="L799" i="1"/>
  <c r="M799" i="1" s="1"/>
  <c r="L795" i="1"/>
  <c r="M795" i="1" s="1"/>
  <c r="L791" i="1"/>
  <c r="M791" i="1" s="1"/>
  <c r="L787" i="1"/>
  <c r="M787" i="1" s="1"/>
  <c r="L783" i="1"/>
  <c r="M783" i="1" s="1"/>
  <c r="L779" i="1"/>
  <c r="M779" i="1" s="1"/>
  <c r="L775" i="1"/>
  <c r="M775" i="1" s="1"/>
  <c r="L771" i="1"/>
  <c r="M771" i="1" s="1"/>
  <c r="L767" i="1"/>
  <c r="M767" i="1" s="1"/>
  <c r="L763" i="1"/>
  <c r="M763" i="1" s="1"/>
  <c r="L759" i="1"/>
  <c r="M759" i="1" s="1"/>
  <c r="L755" i="1"/>
  <c r="M755" i="1" s="1"/>
  <c r="L751" i="1"/>
  <c r="M751" i="1" s="1"/>
  <c r="L747" i="1"/>
  <c r="M747" i="1" s="1"/>
  <c r="L743" i="1"/>
  <c r="M743" i="1" s="1"/>
  <c r="L739" i="1"/>
  <c r="M739" i="1" s="1"/>
  <c r="L735" i="1"/>
  <c r="M735" i="1" s="1"/>
  <c r="L731" i="1"/>
  <c r="M731" i="1" s="1"/>
  <c r="L727" i="1"/>
  <c r="M727" i="1" s="1"/>
  <c r="L723" i="1"/>
  <c r="M723" i="1" s="1"/>
  <c r="L719" i="1"/>
  <c r="M719" i="1" s="1"/>
  <c r="L715" i="1"/>
  <c r="M715" i="1" s="1"/>
  <c r="L711" i="1"/>
  <c r="M711" i="1" s="1"/>
  <c r="L707" i="1"/>
  <c r="M707" i="1" s="1"/>
  <c r="L703" i="1"/>
  <c r="M703" i="1" s="1"/>
  <c r="L699" i="1"/>
  <c r="M699" i="1" s="1"/>
  <c r="L695" i="1"/>
  <c r="M695" i="1" s="1"/>
  <c r="L691" i="1"/>
  <c r="M691" i="1" s="1"/>
  <c r="L687" i="1"/>
  <c r="M687" i="1" s="1"/>
  <c r="L683" i="1"/>
  <c r="M683" i="1" s="1"/>
  <c r="L679" i="1"/>
  <c r="M679" i="1" s="1"/>
  <c r="L675" i="1"/>
  <c r="M675" i="1" s="1"/>
  <c r="L671" i="1"/>
  <c r="M671" i="1" s="1"/>
  <c r="L667" i="1"/>
  <c r="M667" i="1" s="1"/>
  <c r="L663" i="1"/>
  <c r="M663" i="1" s="1"/>
  <c r="L659" i="1"/>
  <c r="M659" i="1" s="1"/>
  <c r="L655" i="1"/>
  <c r="M655" i="1" s="1"/>
  <c r="L651" i="1"/>
  <c r="M651" i="1" s="1"/>
  <c r="L647" i="1"/>
  <c r="M647" i="1" s="1"/>
  <c r="L643" i="1"/>
  <c r="M643" i="1" s="1"/>
  <c r="L639" i="1"/>
  <c r="M639" i="1" s="1"/>
  <c r="L635" i="1"/>
  <c r="M635" i="1" s="1"/>
  <c r="L631" i="1"/>
  <c r="M631" i="1" s="1"/>
  <c r="L627" i="1"/>
  <c r="M627" i="1" s="1"/>
  <c r="L623" i="1"/>
  <c r="M623" i="1" s="1"/>
  <c r="L619" i="1"/>
  <c r="M619" i="1" s="1"/>
  <c r="L615" i="1"/>
  <c r="M615" i="1" s="1"/>
  <c r="L611" i="1"/>
  <c r="M611" i="1" s="1"/>
  <c r="L607" i="1"/>
  <c r="M607" i="1" s="1"/>
  <c r="L603" i="1"/>
  <c r="M603" i="1" s="1"/>
  <c r="L599" i="1"/>
  <c r="M599" i="1" s="1"/>
  <c r="L595" i="1"/>
  <c r="M595" i="1" s="1"/>
  <c r="L591" i="1"/>
  <c r="M591" i="1" s="1"/>
  <c r="L587" i="1"/>
  <c r="M587" i="1" s="1"/>
  <c r="L583" i="1"/>
  <c r="M583" i="1" s="1"/>
  <c r="L579" i="1"/>
  <c r="M579" i="1" s="1"/>
  <c r="L575" i="1"/>
  <c r="M575" i="1" s="1"/>
  <c r="L571" i="1"/>
  <c r="M571" i="1" s="1"/>
  <c r="L567" i="1"/>
  <c r="M567" i="1" s="1"/>
  <c r="L563" i="1"/>
  <c r="M563" i="1" s="1"/>
  <c r="L559" i="1"/>
  <c r="M559" i="1" s="1"/>
  <c r="L555" i="1"/>
  <c r="M555" i="1" s="1"/>
  <c r="L551" i="1"/>
  <c r="M551" i="1" s="1"/>
  <c r="L547" i="1"/>
  <c r="M547" i="1" s="1"/>
  <c r="L543" i="1"/>
  <c r="M543" i="1" s="1"/>
  <c r="L539" i="1"/>
  <c r="M539" i="1" s="1"/>
  <c r="L535" i="1"/>
  <c r="M535" i="1" s="1"/>
  <c r="L531" i="1"/>
  <c r="M531" i="1" s="1"/>
  <c r="L527" i="1"/>
  <c r="M527" i="1" s="1"/>
  <c r="L523" i="1"/>
  <c r="M523" i="1" s="1"/>
  <c r="L519" i="1"/>
  <c r="M519" i="1" s="1"/>
  <c r="L515" i="1"/>
  <c r="M515" i="1" s="1"/>
  <c r="L511" i="1"/>
  <c r="M511" i="1" s="1"/>
  <c r="L507" i="1"/>
  <c r="M507" i="1" s="1"/>
  <c r="L503" i="1"/>
  <c r="M503" i="1" s="1"/>
  <c r="L499" i="1"/>
  <c r="M499" i="1" s="1"/>
  <c r="L495" i="1"/>
  <c r="M495" i="1" s="1"/>
  <c r="L491" i="1"/>
  <c r="M491" i="1" s="1"/>
  <c r="L487" i="1"/>
  <c r="M487" i="1" s="1"/>
  <c r="L483" i="1"/>
  <c r="M483" i="1" s="1"/>
  <c r="L479" i="1"/>
  <c r="M479" i="1" s="1"/>
  <c r="L475" i="1"/>
  <c r="M475" i="1" s="1"/>
  <c r="L471" i="1"/>
  <c r="M471" i="1" s="1"/>
  <c r="L467" i="1"/>
  <c r="M467" i="1" s="1"/>
  <c r="L463" i="1"/>
  <c r="M463" i="1" s="1"/>
  <c r="L459" i="1"/>
  <c r="M459" i="1" s="1"/>
  <c r="L455" i="1"/>
  <c r="M455" i="1" s="1"/>
  <c r="L451" i="1"/>
  <c r="M451" i="1" s="1"/>
  <c r="L447" i="1"/>
  <c r="M447" i="1" s="1"/>
  <c r="L443" i="1"/>
  <c r="M443" i="1" s="1"/>
  <c r="L439" i="1"/>
  <c r="M439" i="1" s="1"/>
  <c r="L435" i="1"/>
  <c r="M435" i="1" s="1"/>
  <c r="L431" i="1"/>
  <c r="M431" i="1" s="1"/>
  <c r="L427" i="1"/>
  <c r="M427" i="1" s="1"/>
  <c r="L423" i="1"/>
  <c r="M423" i="1" s="1"/>
  <c r="L419" i="1"/>
  <c r="M419" i="1" s="1"/>
  <c r="L415" i="1"/>
  <c r="M415" i="1" s="1"/>
  <c r="L411" i="1"/>
  <c r="M411" i="1" s="1"/>
  <c r="L407" i="1"/>
  <c r="M407" i="1" s="1"/>
  <c r="L403" i="1"/>
  <c r="M403" i="1" s="1"/>
  <c r="L399" i="1"/>
  <c r="M399" i="1" s="1"/>
  <c r="L395" i="1"/>
  <c r="M395" i="1" s="1"/>
  <c r="L391" i="1"/>
  <c r="M391" i="1" s="1"/>
  <c r="L387" i="1"/>
  <c r="M387" i="1" s="1"/>
  <c r="L383" i="1"/>
  <c r="M383" i="1" s="1"/>
  <c r="L379" i="1"/>
  <c r="M379" i="1" s="1"/>
  <c r="L375" i="1"/>
  <c r="M375" i="1" s="1"/>
  <c r="L371" i="1"/>
  <c r="M371" i="1" s="1"/>
  <c r="L367" i="1"/>
  <c r="M367" i="1" s="1"/>
  <c r="L363" i="1"/>
  <c r="M363" i="1" s="1"/>
  <c r="L359" i="1"/>
  <c r="M359" i="1" s="1"/>
  <c r="L355" i="1"/>
  <c r="M355" i="1" s="1"/>
  <c r="L351" i="1"/>
  <c r="M351" i="1" s="1"/>
  <c r="L347" i="1"/>
  <c r="M347" i="1" s="1"/>
  <c r="L343" i="1"/>
  <c r="M343" i="1" s="1"/>
  <c r="L339" i="1"/>
  <c r="M339" i="1" s="1"/>
  <c r="L335" i="1"/>
  <c r="M335" i="1" s="1"/>
  <c r="L331" i="1"/>
  <c r="M331" i="1" s="1"/>
  <c r="L327" i="1"/>
  <c r="M327" i="1" s="1"/>
  <c r="L323" i="1"/>
  <c r="M323" i="1" s="1"/>
  <c r="L319" i="1"/>
  <c r="M319" i="1" s="1"/>
  <c r="L315" i="1"/>
  <c r="M315" i="1" s="1"/>
  <c r="L311" i="1"/>
  <c r="M311" i="1" s="1"/>
  <c r="L307" i="1"/>
  <c r="M307" i="1" s="1"/>
  <c r="L303" i="1"/>
  <c r="M303" i="1" s="1"/>
  <c r="L299" i="1"/>
  <c r="M299" i="1" s="1"/>
  <c r="L295" i="1"/>
  <c r="M295" i="1" s="1"/>
  <c r="L291" i="1"/>
  <c r="M291" i="1" s="1"/>
  <c r="L287" i="1"/>
  <c r="M287" i="1" s="1"/>
  <c r="L283" i="1"/>
  <c r="M283" i="1" s="1"/>
  <c r="L279" i="1"/>
  <c r="M279" i="1" s="1"/>
  <c r="L275" i="1"/>
  <c r="M275" i="1" s="1"/>
  <c r="L271" i="1"/>
  <c r="M271" i="1" s="1"/>
  <c r="L267" i="1"/>
  <c r="M267" i="1" s="1"/>
  <c r="L263" i="1"/>
  <c r="M263" i="1" s="1"/>
  <c r="L259" i="1"/>
  <c r="M259" i="1" s="1"/>
  <c r="L255" i="1"/>
  <c r="M255" i="1" s="1"/>
  <c r="L251" i="1"/>
  <c r="M251" i="1" s="1"/>
  <c r="L247" i="1"/>
  <c r="M247" i="1" s="1"/>
  <c r="L243" i="1"/>
  <c r="M243" i="1" s="1"/>
  <c r="L239" i="1"/>
  <c r="M239" i="1" s="1"/>
  <c r="L235" i="1"/>
  <c r="M235" i="1" s="1"/>
  <c r="L231" i="1"/>
  <c r="M231" i="1" s="1"/>
  <c r="L227" i="1"/>
  <c r="M227" i="1" s="1"/>
  <c r="L223" i="1"/>
  <c r="M223" i="1" s="1"/>
  <c r="L219" i="1"/>
  <c r="M219" i="1" s="1"/>
  <c r="L215" i="1"/>
  <c r="M215" i="1" s="1"/>
  <c r="L211" i="1"/>
  <c r="M211" i="1" s="1"/>
  <c r="L207" i="1"/>
  <c r="M207" i="1" s="1"/>
  <c r="L203" i="1"/>
  <c r="M203" i="1" s="1"/>
  <c r="L199" i="1"/>
  <c r="M199" i="1" s="1"/>
  <c r="L195" i="1"/>
  <c r="M195" i="1" s="1"/>
  <c r="L191" i="1"/>
  <c r="M191" i="1" s="1"/>
  <c r="L187" i="1"/>
  <c r="M187" i="1" s="1"/>
  <c r="L183" i="1"/>
  <c r="M183" i="1" s="1"/>
  <c r="L179" i="1"/>
  <c r="M179" i="1" s="1"/>
  <c r="L175" i="1"/>
  <c r="M175" i="1" s="1"/>
  <c r="L171" i="1"/>
  <c r="M171" i="1" s="1"/>
  <c r="L167" i="1"/>
  <c r="M167" i="1" s="1"/>
  <c r="L163" i="1"/>
  <c r="M163" i="1" s="1"/>
  <c r="L159" i="1"/>
  <c r="M159" i="1" s="1"/>
  <c r="L155" i="1"/>
  <c r="M155" i="1" s="1"/>
  <c r="L151" i="1"/>
  <c r="M151" i="1" s="1"/>
  <c r="L147" i="1"/>
  <c r="M147" i="1" s="1"/>
  <c r="L143" i="1"/>
  <c r="M143" i="1" s="1"/>
  <c r="L139" i="1"/>
  <c r="M139" i="1" s="1"/>
  <c r="L135" i="1"/>
  <c r="M135" i="1" s="1"/>
  <c r="L131" i="1"/>
  <c r="M131" i="1" s="1"/>
  <c r="L127" i="1"/>
  <c r="M127" i="1" s="1"/>
  <c r="L123" i="1"/>
  <c r="M123" i="1" s="1"/>
  <c r="L119" i="1"/>
  <c r="M119" i="1" s="1"/>
  <c r="L115" i="1"/>
  <c r="M115" i="1" s="1"/>
  <c r="L111" i="1"/>
  <c r="M111" i="1" s="1"/>
  <c r="L107" i="1"/>
  <c r="M107" i="1" s="1"/>
  <c r="L103" i="1"/>
  <c r="M103" i="1" s="1"/>
  <c r="L99" i="1"/>
  <c r="M99" i="1" s="1"/>
  <c r="L95" i="1"/>
  <c r="M95" i="1" s="1"/>
  <c r="L91" i="1"/>
  <c r="M91" i="1" s="1"/>
  <c r="L87" i="1"/>
  <c r="M87" i="1" s="1"/>
  <c r="L83" i="1"/>
  <c r="M83" i="1" s="1"/>
  <c r="L79" i="1"/>
  <c r="M79" i="1" s="1"/>
  <c r="L75" i="1"/>
  <c r="M75" i="1" s="1"/>
  <c r="L71" i="1"/>
  <c r="M71" i="1" s="1"/>
  <c r="L67" i="1"/>
  <c r="M67" i="1" s="1"/>
  <c r="L63" i="1"/>
  <c r="M63" i="1" s="1"/>
  <c r="L59" i="1"/>
  <c r="M59" i="1" s="1"/>
  <c r="L55" i="1"/>
  <c r="M55" i="1" s="1"/>
  <c r="L51" i="1"/>
  <c r="M51" i="1" s="1"/>
  <c r="L47" i="1"/>
  <c r="M47" i="1" s="1"/>
  <c r="L43" i="1"/>
  <c r="M43" i="1" s="1"/>
  <c r="L39" i="1"/>
  <c r="M39" i="1" s="1"/>
  <c r="L35" i="1"/>
  <c r="M35" i="1" s="1"/>
  <c r="L31" i="1"/>
  <c r="M31" i="1" s="1"/>
  <c r="L27" i="1"/>
  <c r="M27" i="1" s="1"/>
  <c r="L23" i="1"/>
  <c r="M23" i="1" s="1"/>
  <c r="L19" i="1"/>
  <c r="M19" i="1" s="1"/>
  <c r="L15" i="1"/>
  <c r="M15" i="1" s="1"/>
  <c r="L11" i="1"/>
  <c r="M11" i="1" s="1"/>
  <c r="L7" i="1"/>
  <c r="M7" i="1" s="1"/>
  <c r="L57" i="1"/>
  <c r="M57" i="1" s="1"/>
  <c r="L1001" i="1"/>
  <c r="M1001" i="1" s="1"/>
  <c r="L989" i="1"/>
  <c r="M989" i="1" s="1"/>
  <c r="L981" i="1"/>
  <c r="M981" i="1" s="1"/>
  <c r="L973" i="1"/>
  <c r="M973" i="1" s="1"/>
  <c r="L965" i="1"/>
  <c r="M965" i="1" s="1"/>
  <c r="L961" i="1"/>
  <c r="M961" i="1" s="1"/>
  <c r="L953" i="1"/>
  <c r="M953" i="1" s="1"/>
  <c r="L945" i="1"/>
  <c r="M945" i="1" s="1"/>
  <c r="L937" i="1"/>
  <c r="M937" i="1" s="1"/>
  <c r="L929" i="1"/>
  <c r="M929" i="1" s="1"/>
  <c r="L925" i="1"/>
  <c r="M925" i="1" s="1"/>
  <c r="L917" i="1"/>
  <c r="M917" i="1" s="1"/>
  <c r="L909" i="1"/>
  <c r="M909" i="1" s="1"/>
  <c r="L901" i="1"/>
  <c r="M901" i="1" s="1"/>
  <c r="L893" i="1"/>
  <c r="M893" i="1" s="1"/>
  <c r="L885" i="1"/>
  <c r="M885" i="1" s="1"/>
  <c r="L877" i="1"/>
  <c r="M877" i="1" s="1"/>
  <c r="L873" i="1"/>
  <c r="M873" i="1" s="1"/>
  <c r="L865" i="1"/>
  <c r="M865" i="1" s="1"/>
  <c r="L857" i="1"/>
  <c r="M857" i="1" s="1"/>
  <c r="L849" i="1"/>
  <c r="M849" i="1" s="1"/>
  <c r="L841" i="1"/>
  <c r="M841" i="1" s="1"/>
  <c r="L833" i="1"/>
  <c r="M833" i="1" s="1"/>
  <c r="L825" i="1"/>
  <c r="M825" i="1" s="1"/>
  <c r="L817" i="1"/>
  <c r="M817" i="1" s="1"/>
  <c r="L813" i="1"/>
  <c r="M813" i="1" s="1"/>
  <c r="L805" i="1"/>
  <c r="M805" i="1" s="1"/>
  <c r="L797" i="1"/>
  <c r="M797" i="1" s="1"/>
  <c r="L789" i="1"/>
  <c r="M789" i="1" s="1"/>
  <c r="L781" i="1"/>
  <c r="M781" i="1" s="1"/>
  <c r="L773" i="1"/>
  <c r="M773" i="1" s="1"/>
  <c r="L769" i="1"/>
  <c r="M769" i="1" s="1"/>
  <c r="L761" i="1"/>
  <c r="M761" i="1" s="1"/>
  <c r="L753" i="1"/>
  <c r="M753" i="1" s="1"/>
  <c r="L745" i="1"/>
  <c r="M745" i="1" s="1"/>
  <c r="L737" i="1"/>
  <c r="M737" i="1" s="1"/>
  <c r="L733" i="1"/>
  <c r="M733" i="1" s="1"/>
  <c r="L725" i="1"/>
  <c r="M725" i="1" s="1"/>
  <c r="L717" i="1"/>
  <c r="M717" i="1" s="1"/>
  <c r="L705" i="1"/>
  <c r="M705" i="1" s="1"/>
  <c r="L1005" i="1"/>
  <c r="M1005" i="1" s="1"/>
  <c r="L997" i="1"/>
  <c r="M997" i="1" s="1"/>
  <c r="L993" i="1"/>
  <c r="M993" i="1" s="1"/>
  <c r="L985" i="1"/>
  <c r="M985" i="1" s="1"/>
  <c r="L977" i="1"/>
  <c r="M977" i="1" s="1"/>
  <c r="L969" i="1"/>
  <c r="M969" i="1" s="1"/>
  <c r="L957" i="1"/>
  <c r="M957" i="1" s="1"/>
  <c r="L949" i="1"/>
  <c r="M949" i="1" s="1"/>
  <c r="L941" i="1"/>
  <c r="M941" i="1" s="1"/>
  <c r="L933" i="1"/>
  <c r="M933" i="1" s="1"/>
  <c r="L921" i="1"/>
  <c r="M921" i="1" s="1"/>
  <c r="L913" i="1"/>
  <c r="M913" i="1" s="1"/>
  <c r="L905" i="1"/>
  <c r="M905" i="1" s="1"/>
  <c r="L897" i="1"/>
  <c r="M897" i="1" s="1"/>
  <c r="L889" i="1"/>
  <c r="M889" i="1" s="1"/>
  <c r="L881" i="1"/>
  <c r="M881" i="1" s="1"/>
  <c r="L869" i="1"/>
  <c r="M869" i="1" s="1"/>
  <c r="L861" i="1"/>
  <c r="M861" i="1" s="1"/>
  <c r="L853" i="1"/>
  <c r="M853" i="1" s="1"/>
  <c r="L845" i="1"/>
  <c r="M845" i="1" s="1"/>
  <c r="L837" i="1"/>
  <c r="M837" i="1" s="1"/>
  <c r="L829" i="1"/>
  <c r="M829" i="1" s="1"/>
  <c r="L821" i="1"/>
  <c r="M821" i="1" s="1"/>
  <c r="L809" i="1"/>
  <c r="M809" i="1" s="1"/>
  <c r="L801" i="1"/>
  <c r="M801" i="1" s="1"/>
  <c r="L793" i="1"/>
  <c r="M793" i="1" s="1"/>
  <c r="L785" i="1"/>
  <c r="M785" i="1" s="1"/>
  <c r="L777" i="1"/>
  <c r="M777" i="1" s="1"/>
  <c r="L765" i="1"/>
  <c r="M765" i="1" s="1"/>
  <c r="L757" i="1"/>
  <c r="M757" i="1" s="1"/>
  <c r="L749" i="1"/>
  <c r="M749" i="1" s="1"/>
  <c r="L741" i="1"/>
  <c r="M741" i="1" s="1"/>
  <c r="L729" i="1"/>
  <c r="M729" i="1" s="1"/>
  <c r="L721" i="1"/>
  <c r="M721" i="1" s="1"/>
  <c r="L713" i="1"/>
  <c r="M713" i="1" s="1"/>
  <c r="L709" i="1"/>
  <c r="M709" i="1" s="1"/>
  <c r="L701" i="1"/>
  <c r="M701" i="1" s="1"/>
  <c r="L681" i="1"/>
  <c r="M681" i="1" s="1"/>
  <c r="L673" i="1"/>
  <c r="M673" i="1" s="1"/>
  <c r="L665" i="1"/>
  <c r="M665" i="1" s="1"/>
  <c r="L657" i="1"/>
  <c r="M657" i="1" s="1"/>
  <c r="L649" i="1"/>
  <c r="M649" i="1" s="1"/>
  <c r="L641" i="1"/>
  <c r="M641" i="1" s="1"/>
  <c r="L633" i="1"/>
  <c r="M633" i="1" s="1"/>
  <c r="L625" i="1"/>
  <c r="M625" i="1" s="1"/>
  <c r="L617" i="1"/>
  <c r="M617" i="1" s="1"/>
  <c r="L609" i="1"/>
  <c r="M609" i="1" s="1"/>
  <c r="L601" i="1"/>
  <c r="M601" i="1" s="1"/>
  <c r="L593" i="1"/>
  <c r="M593" i="1" s="1"/>
  <c r="L585" i="1"/>
  <c r="M585" i="1" s="1"/>
  <c r="L577" i="1"/>
  <c r="M577" i="1" s="1"/>
  <c r="L569" i="1"/>
  <c r="M569" i="1" s="1"/>
  <c r="L561" i="1"/>
  <c r="M561" i="1" s="1"/>
  <c r="L553" i="1"/>
  <c r="M553" i="1" s="1"/>
  <c r="L545" i="1"/>
  <c r="M545" i="1" s="1"/>
  <c r="L537" i="1"/>
  <c r="M537" i="1" s="1"/>
  <c r="L525" i="1"/>
  <c r="M525" i="1" s="1"/>
  <c r="L517" i="1"/>
  <c r="M517" i="1" s="1"/>
  <c r="L509" i="1"/>
  <c r="M509" i="1" s="1"/>
  <c r="L501" i="1"/>
  <c r="M501" i="1" s="1"/>
  <c r="L493" i="1"/>
  <c r="M493" i="1" s="1"/>
  <c r="L485" i="1"/>
  <c r="M485" i="1" s="1"/>
  <c r="L477" i="1"/>
  <c r="M477" i="1" s="1"/>
  <c r="L469" i="1"/>
  <c r="M469" i="1" s="1"/>
  <c r="L461" i="1"/>
  <c r="M461" i="1" s="1"/>
  <c r="L453" i="1"/>
  <c r="M453" i="1" s="1"/>
  <c r="L445" i="1"/>
  <c r="M445" i="1" s="1"/>
  <c r="L437" i="1"/>
  <c r="M437" i="1" s="1"/>
  <c r="L429" i="1"/>
  <c r="M429" i="1" s="1"/>
  <c r="L421" i="1"/>
  <c r="M421" i="1" s="1"/>
  <c r="L413" i="1"/>
  <c r="M413" i="1" s="1"/>
  <c r="L401" i="1"/>
  <c r="M401" i="1" s="1"/>
  <c r="L393" i="1"/>
  <c r="M393" i="1" s="1"/>
  <c r="L385" i="1"/>
  <c r="M385" i="1" s="1"/>
  <c r="L377" i="1"/>
  <c r="M377" i="1" s="1"/>
  <c r="L369" i="1"/>
  <c r="M369" i="1" s="1"/>
  <c r="L365" i="1"/>
  <c r="M365" i="1" s="1"/>
  <c r="L357" i="1"/>
  <c r="M357" i="1" s="1"/>
  <c r="L349" i="1"/>
  <c r="M349" i="1" s="1"/>
  <c r="L341" i="1"/>
  <c r="M341" i="1" s="1"/>
  <c r="L333" i="1"/>
  <c r="M333" i="1" s="1"/>
  <c r="L325" i="1"/>
  <c r="M325" i="1" s="1"/>
  <c r="L321" i="1"/>
  <c r="M321" i="1" s="1"/>
  <c r="L313" i="1"/>
  <c r="M313" i="1" s="1"/>
  <c r="L305" i="1"/>
  <c r="M305" i="1" s="1"/>
  <c r="L297" i="1"/>
  <c r="M297" i="1" s="1"/>
  <c r="L289" i="1"/>
  <c r="M289" i="1" s="1"/>
  <c r="L281" i="1"/>
  <c r="M281" i="1" s="1"/>
  <c r="L273" i="1"/>
  <c r="M273" i="1" s="1"/>
  <c r="L265" i="1"/>
  <c r="M265" i="1" s="1"/>
  <c r="L257" i="1"/>
  <c r="M257" i="1" s="1"/>
  <c r="L249" i="1"/>
  <c r="M249" i="1" s="1"/>
  <c r="L241" i="1"/>
  <c r="M241" i="1" s="1"/>
  <c r="L233" i="1"/>
  <c r="M233" i="1" s="1"/>
  <c r="L225" i="1"/>
  <c r="M225" i="1" s="1"/>
  <c r="L217" i="1"/>
  <c r="M217" i="1" s="1"/>
  <c r="L209" i="1"/>
  <c r="M209" i="1" s="1"/>
  <c r="L201" i="1"/>
  <c r="M201" i="1" s="1"/>
  <c r="L193" i="1"/>
  <c r="M193" i="1" s="1"/>
  <c r="L181" i="1"/>
  <c r="M181" i="1" s="1"/>
  <c r="L173" i="1"/>
  <c r="M173" i="1" s="1"/>
  <c r="L165" i="1"/>
  <c r="M165" i="1" s="1"/>
  <c r="L157" i="1"/>
  <c r="M157" i="1" s="1"/>
  <c r="L149" i="1"/>
  <c r="M149" i="1" s="1"/>
  <c r="L141" i="1"/>
  <c r="M141" i="1" s="1"/>
  <c r="L133" i="1"/>
  <c r="M133" i="1" s="1"/>
  <c r="L125" i="1"/>
  <c r="M125" i="1" s="1"/>
  <c r="L117" i="1"/>
  <c r="M117" i="1" s="1"/>
  <c r="L109" i="1"/>
  <c r="M109" i="1" s="1"/>
  <c r="L101" i="1"/>
  <c r="M101" i="1" s="1"/>
  <c r="L93" i="1"/>
  <c r="M93" i="1" s="1"/>
  <c r="L85" i="1"/>
  <c r="M85" i="1" s="1"/>
  <c r="L77" i="1"/>
  <c r="M77" i="1" s="1"/>
  <c r="L49" i="1"/>
  <c r="M49" i="1" s="1"/>
  <c r="L697" i="1"/>
  <c r="M697" i="1" s="1"/>
  <c r="L693" i="1"/>
  <c r="M693" i="1" s="1"/>
  <c r="L689" i="1"/>
  <c r="M689" i="1" s="1"/>
  <c r="L685" i="1"/>
  <c r="M685" i="1" s="1"/>
  <c r="L677" i="1"/>
  <c r="M677" i="1" s="1"/>
  <c r="L669" i="1"/>
  <c r="M669" i="1" s="1"/>
  <c r="L661" i="1"/>
  <c r="M661" i="1" s="1"/>
  <c r="L653" i="1"/>
  <c r="M653" i="1" s="1"/>
  <c r="L645" i="1"/>
  <c r="M645" i="1" s="1"/>
  <c r="L637" i="1"/>
  <c r="M637" i="1" s="1"/>
  <c r="L629" i="1"/>
  <c r="M629" i="1" s="1"/>
  <c r="L621" i="1"/>
  <c r="M621" i="1" s="1"/>
  <c r="L613" i="1"/>
  <c r="M613" i="1" s="1"/>
  <c r="L605" i="1"/>
  <c r="M605" i="1" s="1"/>
  <c r="L597" i="1"/>
  <c r="M597" i="1" s="1"/>
  <c r="L589" i="1"/>
  <c r="M589" i="1" s="1"/>
  <c r="L581" i="1"/>
  <c r="M581" i="1" s="1"/>
  <c r="L573" i="1"/>
  <c r="M573" i="1" s="1"/>
  <c r="L565" i="1"/>
  <c r="M565" i="1" s="1"/>
  <c r="L557" i="1"/>
  <c r="M557" i="1" s="1"/>
  <c r="L549" i="1"/>
  <c r="M549" i="1" s="1"/>
  <c r="L541" i="1"/>
  <c r="M541" i="1" s="1"/>
  <c r="L533" i="1"/>
  <c r="M533" i="1" s="1"/>
  <c r="L529" i="1"/>
  <c r="M529" i="1" s="1"/>
  <c r="L521" i="1"/>
  <c r="M521" i="1" s="1"/>
  <c r="L513" i="1"/>
  <c r="M513" i="1" s="1"/>
  <c r="L505" i="1"/>
  <c r="M505" i="1" s="1"/>
  <c r="L497" i="1"/>
  <c r="M497" i="1" s="1"/>
  <c r="L489" i="1"/>
  <c r="M489" i="1" s="1"/>
  <c r="L481" i="1"/>
  <c r="M481" i="1" s="1"/>
  <c r="L473" i="1"/>
  <c r="M473" i="1" s="1"/>
  <c r="L465" i="1"/>
  <c r="M465" i="1" s="1"/>
  <c r="L457" i="1"/>
  <c r="M457" i="1" s="1"/>
  <c r="L449" i="1"/>
  <c r="M449" i="1" s="1"/>
  <c r="L441" i="1"/>
  <c r="M441" i="1" s="1"/>
  <c r="L433" i="1"/>
  <c r="M433" i="1" s="1"/>
  <c r="L425" i="1"/>
  <c r="M425" i="1" s="1"/>
  <c r="L417" i="1"/>
  <c r="M417" i="1" s="1"/>
  <c r="L409" i="1"/>
  <c r="M409" i="1" s="1"/>
  <c r="L405" i="1"/>
  <c r="M405" i="1" s="1"/>
  <c r="L397" i="1"/>
  <c r="M397" i="1" s="1"/>
  <c r="L389" i="1"/>
  <c r="M389" i="1" s="1"/>
  <c r="L381" i="1"/>
  <c r="M381" i="1" s="1"/>
  <c r="L373" i="1"/>
  <c r="M373" i="1" s="1"/>
  <c r="L361" i="1"/>
  <c r="M361" i="1" s="1"/>
  <c r="L353" i="1"/>
  <c r="M353" i="1" s="1"/>
  <c r="L345" i="1"/>
  <c r="M345" i="1" s="1"/>
  <c r="L337" i="1"/>
  <c r="M337" i="1" s="1"/>
  <c r="L329" i="1"/>
  <c r="M329" i="1" s="1"/>
  <c r="L317" i="1"/>
  <c r="M317" i="1" s="1"/>
  <c r="L309" i="1"/>
  <c r="M309" i="1" s="1"/>
  <c r="L301" i="1"/>
  <c r="M301" i="1" s="1"/>
  <c r="L293" i="1"/>
  <c r="M293" i="1" s="1"/>
  <c r="L285" i="1"/>
  <c r="M285" i="1" s="1"/>
  <c r="L277" i="1"/>
  <c r="M277" i="1" s="1"/>
  <c r="L269" i="1"/>
  <c r="M269" i="1" s="1"/>
  <c r="L261" i="1"/>
  <c r="M261" i="1" s="1"/>
  <c r="L253" i="1"/>
  <c r="M253" i="1" s="1"/>
  <c r="L245" i="1"/>
  <c r="M245" i="1" s="1"/>
  <c r="L237" i="1"/>
  <c r="M237" i="1" s="1"/>
  <c r="L229" i="1"/>
  <c r="M229" i="1" s="1"/>
  <c r="L221" i="1"/>
  <c r="M221" i="1" s="1"/>
  <c r="L213" i="1"/>
  <c r="M213" i="1" s="1"/>
  <c r="L205" i="1"/>
  <c r="M205" i="1" s="1"/>
  <c r="L197" i="1"/>
  <c r="M197" i="1" s="1"/>
  <c r="L189" i="1"/>
  <c r="M189" i="1" s="1"/>
  <c r="L185" i="1"/>
  <c r="M185" i="1" s="1"/>
  <c r="L177" i="1"/>
  <c r="M177" i="1" s="1"/>
  <c r="L169" i="1"/>
  <c r="M169" i="1" s="1"/>
  <c r="L161" i="1"/>
  <c r="M161" i="1" s="1"/>
  <c r="L153" i="1"/>
  <c r="M153" i="1" s="1"/>
  <c r="L145" i="1"/>
  <c r="M145" i="1" s="1"/>
  <c r="L137" i="1"/>
  <c r="M137" i="1" s="1"/>
  <c r="L129" i="1"/>
  <c r="M129" i="1" s="1"/>
  <c r="L121" i="1"/>
  <c r="M121" i="1" s="1"/>
  <c r="L113" i="1"/>
  <c r="M113" i="1" s="1"/>
  <c r="L105" i="1"/>
  <c r="M105" i="1" s="1"/>
  <c r="L97" i="1"/>
  <c r="M97" i="1" s="1"/>
  <c r="L89" i="1"/>
  <c r="M89" i="1" s="1"/>
  <c r="L81" i="1"/>
  <c r="M81" i="1" s="1"/>
  <c r="L73" i="1"/>
  <c r="M73" i="1" s="1"/>
  <c r="L69" i="1"/>
  <c r="M69" i="1" s="1"/>
  <c r="L65" i="1"/>
  <c r="M65" i="1" s="1"/>
  <c r="L61" i="1"/>
  <c r="M61" i="1" s="1"/>
  <c r="L53" i="1"/>
  <c r="M53" i="1" s="1"/>
  <c r="L41" i="1"/>
  <c r="M41" i="1" s="1"/>
  <c r="L33" i="1"/>
  <c r="M33" i="1" s="1"/>
  <c r="L25" i="1"/>
  <c r="M25" i="1" s="1"/>
  <c r="L17" i="1"/>
  <c r="M17" i="1" s="1"/>
  <c r="L9" i="1"/>
  <c r="M9" i="1" s="1"/>
  <c r="L1004" i="1"/>
  <c r="M1004" i="1" s="1"/>
  <c r="L1000" i="1"/>
  <c r="M1000" i="1" s="1"/>
  <c r="L996" i="1"/>
  <c r="M996" i="1" s="1"/>
  <c r="L992" i="1"/>
  <c r="M992" i="1" s="1"/>
  <c r="L988" i="1"/>
  <c r="M988" i="1" s="1"/>
  <c r="L984" i="1"/>
  <c r="M984" i="1" s="1"/>
  <c r="L980" i="1"/>
  <c r="M980" i="1" s="1"/>
  <c r="L976" i="1"/>
  <c r="M976" i="1" s="1"/>
  <c r="L972" i="1"/>
  <c r="M972" i="1" s="1"/>
  <c r="L968" i="1"/>
  <c r="M968" i="1" s="1"/>
  <c r="L964" i="1"/>
  <c r="M964" i="1" s="1"/>
  <c r="L960" i="1"/>
  <c r="M960" i="1" s="1"/>
  <c r="L956" i="1"/>
  <c r="M956" i="1" s="1"/>
  <c r="L952" i="1"/>
  <c r="M952" i="1" s="1"/>
  <c r="L948" i="1"/>
  <c r="M948" i="1" s="1"/>
  <c r="L944" i="1"/>
  <c r="M944" i="1" s="1"/>
  <c r="L940" i="1"/>
  <c r="M940" i="1" s="1"/>
  <c r="L936" i="1"/>
  <c r="M936" i="1" s="1"/>
  <c r="L932" i="1"/>
  <c r="M932" i="1" s="1"/>
  <c r="L928" i="1"/>
  <c r="M928" i="1" s="1"/>
  <c r="L924" i="1"/>
  <c r="M924" i="1" s="1"/>
  <c r="L920" i="1"/>
  <c r="M920" i="1" s="1"/>
  <c r="L916" i="1"/>
  <c r="M916" i="1" s="1"/>
  <c r="L912" i="1"/>
  <c r="M912" i="1" s="1"/>
  <c r="L908" i="1"/>
  <c r="M908" i="1" s="1"/>
  <c r="L904" i="1"/>
  <c r="M904" i="1" s="1"/>
  <c r="L900" i="1"/>
  <c r="M900" i="1" s="1"/>
  <c r="L896" i="1"/>
  <c r="M896" i="1" s="1"/>
  <c r="L892" i="1"/>
  <c r="M892" i="1" s="1"/>
  <c r="L888" i="1"/>
  <c r="M888" i="1" s="1"/>
  <c r="L884" i="1"/>
  <c r="M884" i="1" s="1"/>
  <c r="L880" i="1"/>
  <c r="M880" i="1" s="1"/>
  <c r="L876" i="1"/>
  <c r="M876" i="1" s="1"/>
  <c r="L872" i="1"/>
  <c r="M872" i="1" s="1"/>
  <c r="L868" i="1"/>
  <c r="M868" i="1" s="1"/>
  <c r="L864" i="1"/>
  <c r="M864" i="1" s="1"/>
  <c r="L860" i="1"/>
  <c r="M860" i="1" s="1"/>
  <c r="L856" i="1"/>
  <c r="M856" i="1" s="1"/>
  <c r="L852" i="1"/>
  <c r="M852" i="1" s="1"/>
  <c r="L848" i="1"/>
  <c r="M848" i="1" s="1"/>
  <c r="L844" i="1"/>
  <c r="M844" i="1" s="1"/>
  <c r="L840" i="1"/>
  <c r="M840" i="1" s="1"/>
  <c r="L836" i="1"/>
  <c r="M836" i="1" s="1"/>
  <c r="L832" i="1"/>
  <c r="M832" i="1" s="1"/>
  <c r="L828" i="1"/>
  <c r="M828" i="1" s="1"/>
  <c r="L824" i="1"/>
  <c r="M824" i="1" s="1"/>
  <c r="L820" i="1"/>
  <c r="M820" i="1" s="1"/>
  <c r="L816" i="1"/>
  <c r="M816" i="1" s="1"/>
  <c r="L812" i="1"/>
  <c r="M812" i="1" s="1"/>
  <c r="L808" i="1"/>
  <c r="M808" i="1" s="1"/>
  <c r="L804" i="1"/>
  <c r="M804" i="1" s="1"/>
  <c r="L800" i="1"/>
  <c r="M800" i="1" s="1"/>
  <c r="L796" i="1"/>
  <c r="M796" i="1" s="1"/>
  <c r="L792" i="1"/>
  <c r="M792" i="1" s="1"/>
  <c r="L788" i="1"/>
  <c r="M788" i="1" s="1"/>
  <c r="L784" i="1"/>
  <c r="M784" i="1" s="1"/>
  <c r="L780" i="1"/>
  <c r="M780" i="1" s="1"/>
  <c r="L776" i="1"/>
  <c r="M776" i="1" s="1"/>
  <c r="L772" i="1"/>
  <c r="M772" i="1" s="1"/>
  <c r="L768" i="1"/>
  <c r="M768" i="1" s="1"/>
  <c r="L764" i="1"/>
  <c r="M764" i="1" s="1"/>
  <c r="L760" i="1"/>
  <c r="M760" i="1" s="1"/>
  <c r="L756" i="1"/>
  <c r="M756" i="1" s="1"/>
  <c r="L752" i="1"/>
  <c r="M752" i="1" s="1"/>
  <c r="L748" i="1"/>
  <c r="M748" i="1" s="1"/>
  <c r="L744" i="1"/>
  <c r="M744" i="1" s="1"/>
  <c r="L740" i="1"/>
  <c r="M740" i="1" s="1"/>
  <c r="L736" i="1"/>
  <c r="M736" i="1" s="1"/>
  <c r="L732" i="1"/>
  <c r="M732" i="1" s="1"/>
  <c r="L728" i="1"/>
  <c r="M728" i="1" s="1"/>
  <c r="L724" i="1"/>
  <c r="M724" i="1" s="1"/>
  <c r="L720" i="1"/>
  <c r="M720" i="1" s="1"/>
  <c r="L716" i="1"/>
  <c r="M716" i="1" s="1"/>
  <c r="L712" i="1"/>
  <c r="M712" i="1" s="1"/>
  <c r="L708" i="1"/>
  <c r="M708" i="1" s="1"/>
  <c r="L704" i="1"/>
  <c r="M704" i="1" s="1"/>
  <c r="L700" i="1"/>
  <c r="M700" i="1" s="1"/>
  <c r="L696" i="1"/>
  <c r="M696" i="1" s="1"/>
  <c r="L692" i="1"/>
  <c r="M692" i="1" s="1"/>
  <c r="L688" i="1"/>
  <c r="M688" i="1" s="1"/>
  <c r="L684" i="1"/>
  <c r="M684" i="1" s="1"/>
  <c r="L680" i="1"/>
  <c r="M680" i="1" s="1"/>
  <c r="L676" i="1"/>
  <c r="M676" i="1" s="1"/>
  <c r="L672" i="1"/>
  <c r="M672" i="1" s="1"/>
  <c r="L668" i="1"/>
  <c r="M668" i="1" s="1"/>
  <c r="L664" i="1"/>
  <c r="M664" i="1" s="1"/>
  <c r="L660" i="1"/>
  <c r="M660" i="1" s="1"/>
  <c r="L656" i="1"/>
  <c r="M656" i="1" s="1"/>
  <c r="L652" i="1"/>
  <c r="M652" i="1" s="1"/>
  <c r="L648" i="1"/>
  <c r="M648" i="1" s="1"/>
  <c r="L644" i="1"/>
  <c r="M644" i="1" s="1"/>
  <c r="L640" i="1"/>
  <c r="M640" i="1" s="1"/>
  <c r="L636" i="1"/>
  <c r="M636" i="1" s="1"/>
  <c r="L632" i="1"/>
  <c r="M632" i="1" s="1"/>
  <c r="L628" i="1"/>
  <c r="M628" i="1" s="1"/>
  <c r="L624" i="1"/>
  <c r="M624" i="1" s="1"/>
  <c r="L620" i="1"/>
  <c r="M620" i="1" s="1"/>
  <c r="L616" i="1"/>
  <c r="M616" i="1" s="1"/>
  <c r="L612" i="1"/>
  <c r="M612" i="1" s="1"/>
  <c r="L608" i="1"/>
  <c r="M608" i="1" s="1"/>
  <c r="L604" i="1"/>
  <c r="M604" i="1" s="1"/>
  <c r="L600" i="1"/>
  <c r="M600" i="1" s="1"/>
  <c r="L596" i="1"/>
  <c r="M596" i="1" s="1"/>
  <c r="L592" i="1"/>
  <c r="M592" i="1" s="1"/>
  <c r="L588" i="1"/>
  <c r="M588" i="1" s="1"/>
  <c r="L584" i="1"/>
  <c r="M584" i="1" s="1"/>
  <c r="L580" i="1"/>
  <c r="M580" i="1" s="1"/>
  <c r="L576" i="1"/>
  <c r="M576" i="1" s="1"/>
  <c r="L572" i="1"/>
  <c r="M572" i="1" s="1"/>
  <c r="L568" i="1"/>
  <c r="M568" i="1" s="1"/>
  <c r="L564" i="1"/>
  <c r="M564" i="1" s="1"/>
  <c r="L560" i="1"/>
  <c r="M560" i="1" s="1"/>
  <c r="L556" i="1"/>
  <c r="M556" i="1" s="1"/>
  <c r="L552" i="1"/>
  <c r="M552" i="1" s="1"/>
  <c r="L548" i="1"/>
  <c r="M548" i="1" s="1"/>
  <c r="L544" i="1"/>
  <c r="M544" i="1" s="1"/>
  <c r="L540" i="1"/>
  <c r="M540" i="1" s="1"/>
  <c r="L536" i="1"/>
  <c r="M536" i="1" s="1"/>
  <c r="L532" i="1"/>
  <c r="M532" i="1" s="1"/>
  <c r="L528" i="1"/>
  <c r="M528" i="1" s="1"/>
  <c r="L524" i="1"/>
  <c r="M524" i="1" s="1"/>
  <c r="L520" i="1"/>
  <c r="M520" i="1" s="1"/>
  <c r="L516" i="1"/>
  <c r="M516" i="1" s="1"/>
  <c r="L512" i="1"/>
  <c r="M512" i="1" s="1"/>
  <c r="L508" i="1"/>
  <c r="M508" i="1" s="1"/>
  <c r="L504" i="1"/>
  <c r="M504" i="1" s="1"/>
  <c r="L500" i="1"/>
  <c r="M500" i="1" s="1"/>
  <c r="L496" i="1"/>
  <c r="M496" i="1" s="1"/>
  <c r="L492" i="1"/>
  <c r="M492" i="1" s="1"/>
  <c r="L488" i="1"/>
  <c r="M488" i="1" s="1"/>
  <c r="L484" i="1"/>
  <c r="M484" i="1" s="1"/>
  <c r="L480" i="1"/>
  <c r="M480" i="1" s="1"/>
  <c r="L476" i="1"/>
  <c r="M476" i="1" s="1"/>
  <c r="L472" i="1"/>
  <c r="M472" i="1" s="1"/>
  <c r="L468" i="1"/>
  <c r="M468" i="1" s="1"/>
  <c r="L464" i="1"/>
  <c r="M464" i="1" s="1"/>
  <c r="L460" i="1"/>
  <c r="M460" i="1" s="1"/>
  <c r="L456" i="1"/>
  <c r="M456" i="1" s="1"/>
  <c r="L452" i="1"/>
  <c r="M452" i="1" s="1"/>
  <c r="L448" i="1"/>
  <c r="M448" i="1" s="1"/>
  <c r="L444" i="1"/>
  <c r="M444" i="1" s="1"/>
  <c r="L440" i="1"/>
  <c r="M440" i="1" s="1"/>
  <c r="L436" i="1"/>
  <c r="M436" i="1" s="1"/>
  <c r="L432" i="1"/>
  <c r="M432" i="1" s="1"/>
  <c r="L428" i="1"/>
  <c r="M428" i="1" s="1"/>
  <c r="L424" i="1"/>
  <c r="M424" i="1" s="1"/>
  <c r="L420" i="1"/>
  <c r="M420" i="1" s="1"/>
  <c r="L416" i="1"/>
  <c r="M416" i="1" s="1"/>
  <c r="L412" i="1"/>
  <c r="M412" i="1" s="1"/>
  <c r="L408" i="1"/>
  <c r="M408" i="1" s="1"/>
  <c r="L404" i="1"/>
  <c r="M404" i="1" s="1"/>
  <c r="L400" i="1"/>
  <c r="M400" i="1" s="1"/>
  <c r="L396" i="1"/>
  <c r="M396" i="1" s="1"/>
  <c r="L392" i="1"/>
  <c r="M392" i="1" s="1"/>
  <c r="L388" i="1"/>
  <c r="M388" i="1" s="1"/>
  <c r="L384" i="1"/>
  <c r="M384" i="1" s="1"/>
  <c r="L380" i="1"/>
  <c r="M380" i="1" s="1"/>
  <c r="L376" i="1"/>
  <c r="M376" i="1" s="1"/>
  <c r="L372" i="1"/>
  <c r="M372" i="1" s="1"/>
  <c r="L368" i="1"/>
  <c r="M368" i="1" s="1"/>
  <c r="L364" i="1"/>
  <c r="M364" i="1" s="1"/>
  <c r="L360" i="1"/>
  <c r="M360" i="1" s="1"/>
  <c r="L356" i="1"/>
  <c r="M356" i="1" s="1"/>
  <c r="L352" i="1"/>
  <c r="M352" i="1" s="1"/>
  <c r="L348" i="1"/>
  <c r="M348" i="1" s="1"/>
  <c r="L45" i="1"/>
  <c r="M45" i="1" s="1"/>
  <c r="L37" i="1"/>
  <c r="M37" i="1" s="1"/>
  <c r="L29" i="1"/>
  <c r="M29" i="1" s="1"/>
  <c r="L21" i="1"/>
  <c r="M21" i="1" s="1"/>
  <c r="L13" i="1"/>
  <c r="M13" i="1" s="1"/>
  <c r="L344" i="1"/>
  <c r="M344" i="1" s="1"/>
  <c r="L340" i="1"/>
  <c r="M340" i="1" s="1"/>
  <c r="L336" i="1"/>
  <c r="M336" i="1" s="1"/>
  <c r="L332" i="1"/>
  <c r="M332" i="1" s="1"/>
  <c r="L328" i="1"/>
  <c r="M328" i="1" s="1"/>
  <c r="L324" i="1"/>
  <c r="M324" i="1" s="1"/>
  <c r="L320" i="1"/>
  <c r="M320" i="1" s="1"/>
  <c r="L316" i="1"/>
  <c r="M316" i="1" s="1"/>
  <c r="L312" i="1"/>
  <c r="M312" i="1" s="1"/>
  <c r="L308" i="1"/>
  <c r="M308" i="1" s="1"/>
  <c r="L304" i="1"/>
  <c r="M304" i="1" s="1"/>
  <c r="L300" i="1"/>
  <c r="M300" i="1" s="1"/>
  <c r="L296" i="1"/>
  <c r="M296" i="1" s="1"/>
  <c r="L292" i="1"/>
  <c r="M292" i="1" s="1"/>
  <c r="L288" i="1"/>
  <c r="M288" i="1" s="1"/>
  <c r="L284" i="1"/>
  <c r="M284" i="1" s="1"/>
  <c r="L280" i="1"/>
  <c r="M280" i="1" s="1"/>
  <c r="L276" i="1"/>
  <c r="M276" i="1" s="1"/>
  <c r="L272" i="1"/>
  <c r="M272" i="1" s="1"/>
  <c r="L268" i="1"/>
  <c r="M268" i="1" s="1"/>
  <c r="L264" i="1"/>
  <c r="M264" i="1" s="1"/>
  <c r="L260" i="1"/>
  <c r="M260" i="1" s="1"/>
  <c r="L256" i="1"/>
  <c r="M256" i="1" s="1"/>
  <c r="L252" i="1"/>
  <c r="M252" i="1" s="1"/>
  <c r="L248" i="1"/>
  <c r="M248" i="1" s="1"/>
  <c r="L244" i="1"/>
  <c r="M244" i="1" s="1"/>
  <c r="L240" i="1"/>
  <c r="M240" i="1" s="1"/>
  <c r="L236" i="1"/>
  <c r="M236" i="1" s="1"/>
  <c r="L232" i="1"/>
  <c r="M232" i="1" s="1"/>
  <c r="L228" i="1"/>
  <c r="M228" i="1" s="1"/>
  <c r="L224" i="1"/>
  <c r="M224" i="1" s="1"/>
  <c r="L220" i="1"/>
  <c r="M220" i="1" s="1"/>
  <c r="L216" i="1"/>
  <c r="M216" i="1" s="1"/>
  <c r="L212" i="1"/>
  <c r="M212" i="1" s="1"/>
  <c r="L208" i="1"/>
  <c r="M208" i="1" s="1"/>
  <c r="L204" i="1"/>
  <c r="M204" i="1" s="1"/>
  <c r="L200" i="1"/>
  <c r="M200" i="1" s="1"/>
  <c r="L196" i="1"/>
  <c r="M196" i="1" s="1"/>
  <c r="L192" i="1"/>
  <c r="M192" i="1" s="1"/>
  <c r="L188" i="1"/>
  <c r="M188" i="1" s="1"/>
  <c r="L184" i="1"/>
  <c r="M184" i="1" s="1"/>
  <c r="L180" i="1"/>
  <c r="M180" i="1" s="1"/>
  <c r="L176" i="1"/>
  <c r="M176" i="1" s="1"/>
  <c r="L172" i="1"/>
  <c r="M172" i="1" s="1"/>
  <c r="L168" i="1"/>
  <c r="M168" i="1" s="1"/>
  <c r="L164" i="1"/>
  <c r="M164" i="1" s="1"/>
  <c r="L160" i="1"/>
  <c r="M160" i="1" s="1"/>
  <c r="L156" i="1"/>
  <c r="M156" i="1" s="1"/>
  <c r="L152" i="1"/>
  <c r="M152" i="1" s="1"/>
  <c r="L148" i="1"/>
  <c r="M148" i="1" s="1"/>
  <c r="L144" i="1"/>
  <c r="M144" i="1" s="1"/>
  <c r="L140" i="1"/>
  <c r="M140" i="1" s="1"/>
  <c r="L136" i="1"/>
  <c r="M136" i="1" s="1"/>
  <c r="L132" i="1"/>
  <c r="M132" i="1" s="1"/>
  <c r="L128" i="1"/>
  <c r="M128" i="1" s="1"/>
  <c r="L124" i="1"/>
  <c r="M124" i="1" s="1"/>
  <c r="L120" i="1"/>
  <c r="M120" i="1" s="1"/>
  <c r="L116" i="1"/>
  <c r="M116" i="1" s="1"/>
  <c r="L112" i="1"/>
  <c r="M112" i="1" s="1"/>
  <c r="L108" i="1"/>
  <c r="M108" i="1" s="1"/>
  <c r="L104" i="1"/>
  <c r="M104" i="1" s="1"/>
  <c r="L100" i="1"/>
  <c r="M100" i="1" s="1"/>
  <c r="L96" i="1"/>
  <c r="M96" i="1" s="1"/>
  <c r="L92" i="1"/>
  <c r="M92" i="1" s="1"/>
  <c r="L88" i="1"/>
  <c r="M88" i="1" s="1"/>
  <c r="L84" i="1"/>
  <c r="M84" i="1" s="1"/>
  <c r="L80" i="1"/>
  <c r="M80" i="1" s="1"/>
  <c r="L76" i="1"/>
  <c r="M76" i="1" s="1"/>
  <c r="L72" i="1"/>
  <c r="M72" i="1" s="1"/>
  <c r="L68" i="1"/>
  <c r="M68" i="1" s="1"/>
  <c r="L64" i="1"/>
  <c r="M64" i="1" s="1"/>
  <c r="L60" i="1"/>
  <c r="M60" i="1" s="1"/>
  <c r="L56" i="1"/>
  <c r="M56" i="1" s="1"/>
  <c r="L52" i="1"/>
  <c r="M52" i="1" s="1"/>
  <c r="L48" i="1"/>
  <c r="M48" i="1" s="1"/>
  <c r="L44" i="1"/>
  <c r="M44" i="1" s="1"/>
  <c r="L40" i="1"/>
  <c r="M40" i="1" s="1"/>
  <c r="L36" i="1"/>
  <c r="M36" i="1" s="1"/>
  <c r="L32" i="1"/>
  <c r="M32" i="1" s="1"/>
  <c r="L28" i="1"/>
  <c r="M28" i="1" s="1"/>
  <c r="L24" i="1"/>
  <c r="M24" i="1" s="1"/>
  <c r="L20" i="1"/>
  <c r="M20" i="1" s="1"/>
  <c r="L16" i="1"/>
  <c r="M16" i="1" s="1"/>
  <c r="L12" i="1"/>
  <c r="M12" i="1" s="1"/>
  <c r="L8" i="1"/>
  <c r="M8" i="1" s="1"/>
  <c r="L18" i="1"/>
  <c r="M18" i="1" s="1"/>
  <c r="L14" i="1"/>
  <c r="M14" i="1" s="1"/>
  <c r="L10" i="1"/>
  <c r="M10" i="1" s="1"/>
  <c r="L1006" i="1" l="1"/>
  <c r="M1006" i="1"/>
</calcChain>
</file>

<file path=xl/sharedStrings.xml><?xml version="1.0" encoding="utf-8"?>
<sst xmlns="http://schemas.openxmlformats.org/spreadsheetml/2006/main" count="9384" uniqueCount="124">
  <si>
    <t>gender</t>
  </si>
  <si>
    <t>race/ethnicity</t>
  </si>
  <si>
    <t>parental level of education</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</si>
  <si>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</si>
  <si>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</si>
  <si>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</si>
  <si>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</si>
  <si>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</si>
  <si>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</si>
  <si>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</si>
  <si>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</si>
  <si>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</si>
  <si>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</si>
  <si>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</si>
  <si>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</si>
  <si>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</si>
  <si>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</si>
  <si>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</si>
  <si>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</si>
  <si>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</si>
  <si>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</si>
  <si>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</si>
  <si>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</si>
  <si>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</si>
  <si>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</si>
  <si>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Gender</t>
  </si>
  <si>
    <t>Race/ethnicity</t>
  </si>
  <si>
    <t>Total Score</t>
  </si>
  <si>
    <t>Grade</t>
  </si>
  <si>
    <t>Grade(%)</t>
  </si>
  <si>
    <t>Grading Scale</t>
  </si>
  <si>
    <t>A+</t>
  </si>
  <si>
    <t>A-</t>
  </si>
  <si>
    <t>B+</t>
  </si>
  <si>
    <t>B-</t>
  </si>
  <si>
    <t>C</t>
  </si>
  <si>
    <t>C+</t>
  </si>
  <si>
    <t>A</t>
  </si>
  <si>
    <t>B</t>
  </si>
  <si>
    <t>Meaning</t>
  </si>
  <si>
    <t>Exceptional/Outstanding</t>
  </si>
  <si>
    <t>Excellent</t>
  </si>
  <si>
    <t>Very Good</t>
  </si>
  <si>
    <t>Good</t>
  </si>
  <si>
    <t>Fairly Good</t>
  </si>
  <si>
    <t>Satisfactory(Slightly Above Average</t>
  </si>
  <si>
    <t>C-</t>
  </si>
  <si>
    <t>D+</t>
  </si>
  <si>
    <t>Average</t>
  </si>
  <si>
    <t>Below Average</t>
  </si>
  <si>
    <t>Poor(Slightly Better than Fail)</t>
  </si>
  <si>
    <t>D</t>
  </si>
  <si>
    <t>D-</t>
  </si>
  <si>
    <t>F</t>
  </si>
  <si>
    <t>Fail</t>
  </si>
  <si>
    <t>Very Poor</t>
  </si>
  <si>
    <t>Poor</t>
  </si>
  <si>
    <t>Minimum Mark</t>
  </si>
  <si>
    <t>Total</t>
  </si>
  <si>
    <t>Lunch</t>
  </si>
  <si>
    <t>Test prep</t>
  </si>
  <si>
    <t>Average Score</t>
  </si>
  <si>
    <t>Pass(%)</t>
  </si>
  <si>
    <t>Sum of Total Score</t>
  </si>
  <si>
    <t>Fair</t>
  </si>
  <si>
    <t>Grading</t>
  </si>
  <si>
    <t>Education</t>
  </si>
  <si>
    <t>Female %</t>
  </si>
  <si>
    <t>Male %</t>
  </si>
  <si>
    <t>group A %</t>
  </si>
  <si>
    <t>group B %</t>
  </si>
  <si>
    <t>group C %</t>
  </si>
  <si>
    <t>group D %</t>
  </si>
  <si>
    <t>group E %</t>
  </si>
  <si>
    <t>Spark Line</t>
  </si>
  <si>
    <t>Avg Total Score</t>
  </si>
  <si>
    <t>Pass Rate (%)</t>
  </si>
  <si>
    <t>% Test Prep Completed</t>
  </si>
  <si>
    <t>% Free/Reduced Lunch</t>
  </si>
  <si>
    <t>Avg Total Score (Standard Lunch)</t>
  </si>
  <si>
    <t>Pass Rate (Standard Lunch) (%)</t>
  </si>
  <si>
    <t>Avg Total Score (Free/Reduced Lunch)</t>
  </si>
  <si>
    <t>Pass Rate (Free/Reduced Lunch) (%)</t>
  </si>
  <si>
    <t>Avg Total Score (Test Prep Completed)</t>
  </si>
  <si>
    <t>Pass Rate (Test Prep Completed) (%)</t>
  </si>
  <si>
    <t>Avg Total Score (Test Prep None)</t>
  </si>
  <si>
    <t>Pass Rate (Test Prep None) (%)</t>
  </si>
  <si>
    <t>Sparkline</t>
  </si>
  <si>
    <t>Grand Total</t>
  </si>
  <si>
    <t>Race</t>
  </si>
  <si>
    <t>Rank</t>
  </si>
  <si>
    <t>free/reduced Total</t>
  </si>
  <si>
    <t>standard Total</t>
  </si>
  <si>
    <t/>
  </si>
  <si>
    <t>Race/Ethnicity</t>
  </si>
  <si>
    <t>P</t>
  </si>
  <si>
    <t>POSITION</t>
  </si>
  <si>
    <t>RANK</t>
  </si>
  <si>
    <t>Parental Education Level</t>
  </si>
  <si>
    <t>Count</t>
  </si>
  <si>
    <t>Avg</t>
  </si>
  <si>
    <t>Median</t>
  </si>
  <si>
    <t>Std Dev</t>
  </si>
  <si>
    <t>Min</t>
  </si>
  <si>
    <t>Max</t>
  </si>
  <si>
    <t>Mode</t>
  </si>
  <si>
    <t>Q1 (Inc)</t>
  </si>
  <si>
    <t>Q2 (Inc)</t>
  </si>
  <si>
    <t>Q3 (Inc)</t>
  </si>
  <si>
    <t>Q1 (Exc)</t>
  </si>
  <si>
    <t>Q2 (Exc)</t>
  </si>
  <si>
    <t>Q3 (Exc)</t>
  </si>
  <si>
    <t>Test Prep</t>
  </si>
  <si>
    <t>Key performance indicators for university readiness, broken down by parental education level and other factors.</t>
  </si>
  <si>
    <t>Gender and race composition within each parental education level (row-wise percentages)</t>
  </si>
  <si>
    <t>The table Consits of Count, mean, median, std dev, min, max, mode and quartiles (Inc/Exc) of Total Score by parental education level</t>
  </si>
  <si>
    <t>Sector</t>
  </si>
  <si>
    <t>Pass rate</t>
  </si>
  <si>
    <t>Avg grade %</t>
  </si>
  <si>
    <t>Count of Test prep</t>
  </si>
  <si>
    <t>Race/ Lunch</t>
  </si>
  <si>
    <t>completed Total</t>
  </si>
  <si>
    <t>none Total</t>
  </si>
  <si>
    <t>Lunch and Test Prep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</si>
</sst>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Dubai"/>
      <family val="2"/>
    </font>
    <font>
      <sz val="11"/>
      <color theme="1"/>
      <name val="Dubai"/>
      <family val="2"/>
    </font>
    <font>
      <sz val="11"/>
      <color theme="3"/>
      <name val="Dubai"/>
      <family val="2"/>
    </font>
    <font>
      <b/>
      <sz val="12"/>
      <color theme="1"/>
      <name val="Dubai"/>
      <family val="2"/>
    </font>
    <font>
      <sz val="12"/>
      <color theme="1"/>
      <name val="Dubai"/>
      <family val="2"/>
    </font>
    <font>
      <b/>
      <sz val="14"/>
      <color theme="1"/>
      <name val="Dubai"/>
      <family val="2"/>
    </font>
    <font>
      <sz val="14"/>
      <color theme="1"/>
      <name val="Aptos Narrow"/>
      <family val="2"/>
      <scheme val="minor"/>
    </font>
    <font>
      <sz val="14"/>
      <color theme="1"/>
      <name val="Dubai"/>
      <family val="2"/>
    </font>
    <font>
      <b/>
      <sz val="14"/>
      <color rgb="FFFF0000"/>
      <name val="Dubai"/>
      <family val="2"/>
    </font>
    <font>
      <b/>
      <sz val="14"/>
      <color theme="5" tint="-0.249977111117893"/>
      <name val="Dubai"/>
      <family val="2"/>
    </font>
    <font>
      <b/>
      <sz val="16"/>
      <color theme="1"/>
      <name val="Aptos Narrow"/>
      <family val="2"/>
      <scheme val="minor"/>
    </font>
    <font>
      <b/>
      <sz val="12"/>
      <color rgb="FF1A1A1A"/>
      <name val="Arial"/>
      <family val="2"/>
    </font>
    <font>
      <b/>
      <sz val="16"/>
      <color theme="1"/>
      <name val="Dubai"/>
      <family val="2"/>
    </font>
    <font>
      <sz val="16"/>
      <color theme="1"/>
      <name val="Dubai"/>
      <family val="2"/>
    </font>
    <font>
      <sz val="16"/>
      <color theme="1"/>
      <name val="Aptos Narrow"/>
      <family val="2"/>
      <scheme val="minor"/>
    </font>
    <font>
      <b/>
      <sz val="14"/>
      <color rgb="FF7030A0"/>
      <name val="Dubai"/>
      <family val="2"/>
    </font>
    <font>
      <b/>
      <sz val="16"/>
      <color rgb="FF1A1A1A"/>
      <name val="Dubai"/>
      <family val="2"/>
    </font>
  </fonts>
  <fills count="5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1" tint="0.499984740745262"/>
        <bgColor indexed="64"/>
      </patternFill>
    </fill>
    <fill>
      <patternFill patternType="solid">
        <fgColor theme="3" tint="0.89999084444715716"/>
        <bgColor indexed="64"/>
      </patternFill>
    </fill>
    <fill>
      <patternFill patternType="solid">
        <fgColor rgb="FFFFC0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8" tint="0.79998168889431442"/>
        <bgColor indexed="64"/>
      </patternFill>
    </fill>
    <fill>
      <patternFill patternType="solid">
        <fgColor rgb="FF99FFCC"/>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00B050"/>
        <bgColor indexed="64"/>
      </patternFill>
    </fill>
  </fills>
  <borders count="6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theme="4" tint="0.39997558519241921"/>
      </bottom>
      <diagonal/>
    </border>
    <border>
      <left style="medium">
        <color indexed="64"/>
      </left>
      <right/>
      <top style="medium">
        <color indexed="64"/>
      </top>
      <bottom style="medium">
        <color indexed="64"/>
      </bottom>
      <diagonal/>
    </border>
    <border>
      <left/>
      <right/>
      <top style="medium">
        <color indexed="64"/>
      </top>
      <bottom style="medium">
        <color theme="4" tint="0.39997558519241921"/>
      </bottom>
      <diagonal/>
    </border>
    <border>
      <left style="medium">
        <color indexed="64"/>
      </left>
      <right style="medium">
        <color indexed="64"/>
      </right>
      <top style="medium">
        <color indexed="64"/>
      </top>
      <bottom style="medium">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double">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double">
        <color indexed="64"/>
      </bottom>
      <diagonal/>
    </border>
    <border>
      <left/>
      <right style="medium">
        <color indexed="64"/>
      </right>
      <top/>
      <bottom style="double">
        <color indexed="64"/>
      </bottom>
      <diagonal/>
    </border>
    <border>
      <left/>
      <right/>
      <top/>
      <bottom style="double">
        <color indexed="64"/>
      </bottom>
      <diagonal/>
    </border>
    <border>
      <left style="medium">
        <color indexed="64"/>
      </left>
      <right style="medium">
        <color indexed="64"/>
      </right>
      <top style="medium">
        <color indexed="64"/>
      </top>
      <bottom style="double">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double">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1">
    <xf numFmtId="0" fontId="0" fillId="0" borderId="0" xfId="0"/>
    <xf numFmtId="0" fontId="0" fillId="0" borderId="0" xfId="0" applyAlignment="1">
      <alignment horizontal="center"/>
    </xf>
    <xf numFmtId="0" fontId="16" fillId="0" borderId="0" xfId="0" applyFont="1" applyAlignment="1">
      <alignment horizontal="center"/>
    </xf>
    <xf numFmtId="0" fontId="18" fillId="0" borderId="0" xfId="0" applyFont="1" applyAlignment="1">
      <alignment horizontal="center"/>
    </xf>
    <xf numFmtId="9" fontId="16" fillId="0" borderId="0" xfId="1" applyFont="1" applyAlignment="1">
      <alignment horizontal="center"/>
    </xf>
    <xf numFmtId="9" fontId="18" fillId="0" borderId="0" xfId="1" applyFont="1" applyAlignment="1">
      <alignment horizontal="center"/>
    </xf>
    <xf numFmtId="0" fontId="16" fillId="0" borderId="0" xfId="0" applyFont="1"/>
    <xf numFmtId="0" fontId="18" fillId="0" borderId="0" xfId="0" applyFont="1"/>
    <xf numFmtId="2" fontId="16" fillId="0" borderId="0" xfId="1" applyNumberFormat="1" applyFont="1" applyAlignment="1">
      <alignment horizontal="center"/>
    </xf>
    <xf numFmtId="0" fontId="0" fillId="0" borderId="0" xfId="0" applyAlignment="1">
      <alignment vertical="center" wrapText="1"/>
    </xf>
    <xf numFmtId="0" fontId="16" fillId="0" borderId="0" xfId="0" applyFont="1" applyAlignment="1">
      <alignment vertical="center" wrapText="1"/>
    </xf>
    <xf numFmtId="0" fontId="16" fillId="0" borderId="0" xfId="0" applyFont="1" applyAlignment="1">
      <alignment horizontal="center" vertical="center" wrapText="1"/>
    </xf>
    <xf numFmtId="0" fontId="0" fillId="0" borderId="0" xfId="0" applyAlignment="1">
      <alignment horizontal="center" vertical="center" wrapText="1"/>
    </xf>
    <xf numFmtId="2" fontId="0" fillId="0" borderId="0" xfId="1" applyNumberFormat="1" applyFont="1" applyAlignment="1">
      <alignment horizontal="center"/>
    </xf>
    <xf numFmtId="2" fontId="18" fillId="0" borderId="0" xfId="1" applyNumberFormat="1" applyFont="1" applyAlignment="1">
      <alignment horizontal="center"/>
    </xf>
    <xf numFmtId="9" fontId="19" fillId="0" borderId="13" xfId="1" applyFont="1" applyBorder="1" applyAlignment="1">
      <alignment horizontal="center"/>
    </xf>
    <xf numFmtId="9" fontId="19" fillId="0" borderId="15" xfId="1" applyFont="1" applyBorder="1" applyAlignment="1">
      <alignment horizontal="center"/>
    </xf>
    <xf numFmtId="9" fontId="19" fillId="33" borderId="13" xfId="1" applyFont="1" applyFill="1" applyBorder="1" applyAlignment="1">
      <alignment horizontal="center"/>
    </xf>
    <xf numFmtId="9" fontId="19" fillId="0" borderId="10" xfId="1" applyFont="1" applyBorder="1" applyAlignment="1">
      <alignment horizontal="center"/>
    </xf>
    <xf numFmtId="9" fontId="19" fillId="0" borderId="13" xfId="0" applyNumberFormat="1" applyFont="1" applyBorder="1" applyAlignment="1">
      <alignment horizontal="center"/>
    </xf>
    <xf numFmtId="9" fontId="19" fillId="0" borderId="15" xfId="0" applyNumberFormat="1" applyFont="1" applyBorder="1" applyAlignment="1">
      <alignment horizontal="center"/>
    </xf>
    <xf numFmtId="0" fontId="18" fillId="0" borderId="25" xfId="0" applyFont="1" applyBorder="1" applyAlignment="1">
      <alignment horizontal="center"/>
    </xf>
    <xf numFmtId="9" fontId="0" fillId="0" borderId="0" xfId="1" applyFont="1"/>
    <xf numFmtId="0" fontId="5" fillId="0" borderId="3" xfId="5"/>
    <xf numFmtId="0" fontId="5" fillId="0" borderId="3" xfId="5" applyAlignment="1">
      <alignment horizontal="left" vertical="center" wrapText="1" indent="1"/>
    </xf>
    <xf numFmtId="0" fontId="20" fillId="0" borderId="3" xfId="5" applyFont="1"/>
    <xf numFmtId="0" fontId="0" fillId="0" borderId="0" xfId="0" pivotButton="1"/>
    <xf numFmtId="0" fontId="19" fillId="0" borderId="28" xfId="0" applyFont="1" applyBorder="1" applyAlignment="1">
      <alignment horizontal="center" vertical="center" wrapText="1"/>
    </xf>
    <xf numFmtId="9" fontId="22" fillId="0" borderId="28" xfId="1" applyFont="1" applyBorder="1" applyAlignment="1">
      <alignment horizontal="center" vertical="center" wrapText="1"/>
    </xf>
    <xf numFmtId="9" fontId="1" fillId="0" borderId="0" xfId="24" applyNumberFormat="1" applyFill="1" applyBorder="1" applyAlignment="1">
      <alignment horizontal="center" vertical="center" wrapText="1"/>
    </xf>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12" xfId="0" applyBorder="1"/>
    <xf numFmtId="0" fontId="0" fillId="0" borderId="14" xfId="0" applyBorder="1"/>
    <xf numFmtId="0" fontId="0" fillId="0" borderId="46" xfId="0" applyBorder="1"/>
    <xf numFmtId="0" fontId="0" fillId="0" borderId="48" xfId="0" applyBorder="1" applyAlignment="1">
      <alignment horizontal="left"/>
    </xf>
    <xf numFmtId="0" fontId="19" fillId="0" borderId="0" xfId="0" applyFont="1" applyAlignment="1">
      <alignment vertical="center" wrapText="1"/>
    </xf>
    <xf numFmtId="0" fontId="19" fillId="0" borderId="0" xfId="0" applyFont="1" applyAlignment="1">
      <alignment horizontal="center" vertical="center" wrapText="1"/>
    </xf>
    <xf numFmtId="0" fontId="19" fillId="0" borderId="0" xfId="0" applyFont="1" applyAlignment="1">
      <alignment horizontal="center"/>
    </xf>
    <xf numFmtId="0" fontId="18" fillId="0" borderId="22" xfId="0" applyFont="1" applyBorder="1" applyAlignment="1">
      <alignment horizontal="center" vertical="center" wrapText="1"/>
    </xf>
    <xf numFmtId="0" fontId="0" fillId="0" borderId="47" xfId="0" applyBorder="1" applyAlignment="1">
      <alignment horizontal="center"/>
    </xf>
    <xf numFmtId="0" fontId="0" fillId="0" borderId="28" xfId="0" applyBorder="1" applyAlignment="1">
      <alignment horizontal="center"/>
    </xf>
    <xf numFmtId="0" fontId="0" fillId="37" borderId="48" xfId="0" applyFill="1" applyBorder="1"/>
    <xf numFmtId="0" fontId="0" fillId="37" borderId="47" xfId="0" applyFill="1" applyBorder="1" applyAlignment="1">
      <alignment horizontal="center"/>
    </xf>
    <xf numFmtId="0" fontId="0" fillId="37" borderId="47" xfId="0" applyFill="1" applyBorder="1"/>
    <xf numFmtId="0" fontId="0" fillId="37" borderId="20" xfId="0" applyFill="1" applyBorder="1"/>
    <xf numFmtId="0" fontId="0" fillId="37" borderId="18" xfId="0" applyFill="1" applyBorder="1" applyAlignment="1">
      <alignment horizontal="center"/>
    </xf>
    <xf numFmtId="0" fontId="0" fillId="37" borderId="19" xfId="0" applyFill="1" applyBorder="1" applyAlignment="1">
      <alignment horizontal="center"/>
    </xf>
    <xf numFmtId="0" fontId="0" fillId="37" borderId="12" xfId="0" applyFill="1" applyBorder="1" applyAlignment="1">
      <alignment horizontal="center"/>
    </xf>
    <xf numFmtId="0" fontId="0" fillId="37" borderId="17" xfId="0" applyFill="1" applyBorder="1" applyAlignment="1">
      <alignment horizontal="center"/>
    </xf>
    <xf numFmtId="0" fontId="0" fillId="37" borderId="12" xfId="0" applyFill="1" applyBorder="1"/>
    <xf numFmtId="0" fontId="0" fillId="37" borderId="17" xfId="0" applyFill="1" applyBorder="1"/>
    <xf numFmtId="0" fontId="0" fillId="0" borderId="15" xfId="0" applyBorder="1" applyAlignment="1">
      <alignment horizontal="center"/>
    </xf>
    <xf numFmtId="0" fontId="16" fillId="0" borderId="21" xfId="0" applyFont="1" applyBorder="1" applyAlignment="1">
      <alignment horizontal="center" vertical="center" wrapText="1"/>
    </xf>
    <xf numFmtId="0" fontId="5" fillId="0" borderId="18" xfId="5" applyBorder="1" applyAlignment="1">
      <alignment horizontal="center"/>
    </xf>
    <xf numFmtId="0" fontId="5" fillId="0" borderId="3" xfId="5" applyAlignment="1">
      <alignment horizontal="center"/>
    </xf>
    <xf numFmtId="0" fontId="5" fillId="0" borderId="16" xfId="5" applyBorder="1" applyAlignment="1">
      <alignment horizontal="center"/>
    </xf>
    <xf numFmtId="0" fontId="5" fillId="0" borderId="20" xfId="5" applyBorder="1" applyAlignment="1">
      <alignment horizontal="center"/>
    </xf>
    <xf numFmtId="0" fontId="5" fillId="0" borderId="24" xfId="5" applyBorder="1" applyAlignment="1">
      <alignment horizontal="center"/>
    </xf>
    <xf numFmtId="0" fontId="5" fillId="0" borderId="23" xfId="5" applyBorder="1" applyAlignment="1">
      <alignment horizontal="center"/>
    </xf>
    <xf numFmtId="9" fontId="5" fillId="0" borderId="24" xfId="5" applyNumberFormat="1" applyBorder="1" applyAlignment="1">
      <alignment horizontal="center"/>
    </xf>
    <xf numFmtId="9" fontId="5" fillId="0" borderId="23" xfId="5" applyNumberFormat="1" applyBorder="1" applyAlignment="1">
      <alignment horizontal="center"/>
    </xf>
    <xf numFmtId="9" fontId="5" fillId="0" borderId="22" xfId="5" applyNumberFormat="1" applyBorder="1" applyAlignment="1">
      <alignment horizontal="center"/>
    </xf>
    <xf numFmtId="0" fontId="5" fillId="0" borderId="0" xfId="5" applyBorder="1" applyAlignment="1">
      <alignment horizontal="center"/>
    </xf>
    <xf numFmtId="0" fontId="5" fillId="0" borderId="22" xfId="5" applyBorder="1" applyAlignment="1">
      <alignment horizontal="center"/>
    </xf>
    <xf numFmtId="9" fontId="5" fillId="0" borderId="27" xfId="5" applyNumberFormat="1" applyBorder="1" applyAlignment="1">
      <alignment horizontal="center"/>
    </xf>
    <xf numFmtId="0" fontId="5" fillId="0" borderId="26" xfId="5" applyBorder="1" applyAlignment="1">
      <alignment horizontal="center"/>
    </xf>
    <xf numFmtId="0" fontId="5" fillId="0" borderId="27" xfId="5" applyBorder="1" applyAlignment="1">
      <alignment horizontal="center"/>
    </xf>
    <xf numFmtId="9" fontId="5" fillId="0" borderId="20" xfId="5" applyNumberFormat="1" applyBorder="1" applyAlignment="1">
      <alignment horizontal="center"/>
    </xf>
    <xf numFmtId="0" fontId="16" fillId="0" borderId="0" xfId="0" applyFont="1" applyAlignment="1">
      <alignment horizontal="center" vertical="top"/>
    </xf>
    <xf numFmtId="0" fontId="18" fillId="0" borderId="0" xfId="0" applyFont="1" applyAlignment="1">
      <alignment horizontal="center" vertical="top"/>
    </xf>
    <xf numFmtId="0" fontId="25" fillId="0" borderId="28" xfId="0" applyFont="1" applyBorder="1" applyAlignment="1">
      <alignment horizontal="center" vertical="center" wrapText="1"/>
    </xf>
    <xf numFmtId="0" fontId="25" fillId="0" borderId="50" xfId="0" applyFont="1" applyBorder="1" applyAlignment="1">
      <alignment horizontal="center" vertical="center" wrapText="1"/>
    </xf>
    <xf numFmtId="0" fontId="24" fillId="0" borderId="28" xfId="0" applyFont="1" applyBorder="1" applyAlignment="1">
      <alignment horizontal="center"/>
    </xf>
    <xf numFmtId="0" fontId="0" fillId="35" borderId="20" xfId="0" applyFill="1" applyBorder="1"/>
    <xf numFmtId="0" fontId="0" fillId="35" borderId="21" xfId="0" applyFill="1" applyBorder="1" applyAlignment="1">
      <alignment horizontal="center"/>
    </xf>
    <xf numFmtId="0" fontId="0" fillId="35" borderId="21" xfId="0" applyFill="1" applyBorder="1"/>
    <xf numFmtId="0" fontId="0" fillId="35" borderId="14" xfId="0" applyFill="1" applyBorder="1"/>
    <xf numFmtId="0" fontId="0" fillId="35" borderId="20" xfId="0" applyFill="1" applyBorder="1" applyAlignment="1">
      <alignment horizontal="center"/>
    </xf>
    <xf numFmtId="0" fontId="0" fillId="0" borderId="16" xfId="0" applyBorder="1" applyAlignment="1">
      <alignment horizontal="center"/>
    </xf>
    <xf numFmtId="0" fontId="0" fillId="35" borderId="25" xfId="0" applyFill="1" applyBorder="1" applyAlignment="1">
      <alignment horizontal="center"/>
    </xf>
    <xf numFmtId="0" fontId="0" fillId="35" borderId="18" xfId="0" applyFill="1" applyBorder="1" applyAlignment="1">
      <alignment horizontal="center"/>
    </xf>
    <xf numFmtId="0" fontId="0" fillId="35" borderId="23" xfId="0" applyFill="1" applyBorder="1"/>
    <xf numFmtId="0" fontId="0" fillId="35" borderId="19" xfId="0" applyFill="1" applyBorder="1" applyAlignment="1">
      <alignment horizontal="center"/>
    </xf>
    <xf numFmtId="0" fontId="0" fillId="35" borderId="25" xfId="0" applyFill="1" applyBorder="1"/>
    <xf numFmtId="0" fontId="0" fillId="35" borderId="23" xfId="0" applyFill="1" applyBorder="1" applyAlignment="1">
      <alignment horizontal="center"/>
    </xf>
    <xf numFmtId="0" fontId="19" fillId="0" borderId="28" xfId="0" applyFont="1" applyBorder="1" applyAlignment="1">
      <alignment vertical="center" wrapText="1"/>
    </xf>
    <xf numFmtId="0" fontId="19" fillId="0" borderId="28" xfId="0" applyFont="1" applyBorder="1" applyAlignment="1">
      <alignment horizontal="center"/>
    </xf>
    <xf numFmtId="0" fontId="18" fillId="0" borderId="28" xfId="0" applyFont="1" applyBorder="1" applyAlignment="1">
      <alignment horizontal="center" vertical="center" wrapText="1"/>
    </xf>
    <xf numFmtId="0" fontId="19" fillId="36" borderId="28" xfId="0" applyFont="1" applyFill="1" applyBorder="1" applyAlignment="1">
      <alignment horizontal="center" vertical="center" wrapText="1"/>
    </xf>
    <xf numFmtId="0" fontId="0" fillId="0" borderId="17" xfId="0" applyBorder="1" applyAlignment="1">
      <alignment horizontal="center"/>
    </xf>
    <xf numFmtId="0" fontId="16" fillId="0" borderId="53" xfId="0" applyFont="1" applyBorder="1" applyAlignment="1">
      <alignment vertical="center" wrapText="1"/>
    </xf>
    <xf numFmtId="0" fontId="16" fillId="0" borderId="50" xfId="0" applyFont="1" applyBorder="1" applyAlignment="1">
      <alignment horizontal="center" vertical="center" wrapText="1"/>
    </xf>
    <xf numFmtId="0" fontId="16" fillId="0" borderId="51" xfId="0" applyFont="1" applyBorder="1" applyAlignment="1">
      <alignment horizontal="center" vertical="center" wrapText="1"/>
    </xf>
    <xf numFmtId="0" fontId="0" fillId="0" borderId="35" xfId="0" applyBorder="1" applyAlignment="1">
      <alignment vertical="center" wrapText="1"/>
    </xf>
    <xf numFmtId="0" fontId="0" fillId="0" borderId="28" xfId="0" applyBorder="1" applyAlignment="1">
      <alignment horizontal="center" vertical="center" wrapText="1"/>
    </xf>
    <xf numFmtId="0" fontId="0" fillId="0" borderId="54" xfId="0" applyBorder="1" applyAlignment="1">
      <alignment horizontal="center" vertical="center" wrapText="1"/>
    </xf>
    <xf numFmtId="0" fontId="0" fillId="0" borderId="55" xfId="0" applyBorder="1" applyAlignment="1">
      <alignment vertical="center" wrapText="1"/>
    </xf>
    <xf numFmtId="0" fontId="0" fillId="0" borderId="56" xfId="0" applyBorder="1" applyAlignment="1">
      <alignment horizontal="center" vertical="center" wrapText="1"/>
    </xf>
    <xf numFmtId="0" fontId="0" fillId="0" borderId="49" xfId="0" applyBorder="1" applyAlignment="1">
      <alignment horizontal="center" vertical="center" wrapText="1"/>
    </xf>
    <xf numFmtId="0" fontId="0" fillId="35" borderId="13" xfId="0" applyFill="1" applyBorder="1" applyAlignment="1">
      <alignment horizontal="center"/>
    </xf>
    <xf numFmtId="0" fontId="0" fillId="35" borderId="28" xfId="0" applyFill="1" applyBorder="1" applyAlignment="1">
      <alignment horizontal="center"/>
    </xf>
    <xf numFmtId="0" fontId="0" fillId="39" borderId="28" xfId="0" applyFill="1" applyBorder="1" applyAlignment="1">
      <alignment horizontal="center"/>
    </xf>
    <xf numFmtId="0" fontId="0" fillId="39" borderId="13" xfId="0" applyFill="1" applyBorder="1" applyAlignment="1">
      <alignment horizontal="center"/>
    </xf>
    <xf numFmtId="0" fontId="0" fillId="39" borderId="0" xfId="0" applyFill="1" applyAlignment="1">
      <alignment horizontal="center"/>
    </xf>
    <xf numFmtId="0" fontId="0" fillId="39" borderId="14" xfId="0" applyFill="1" applyBorder="1" applyAlignment="1">
      <alignment horizontal="center"/>
    </xf>
    <xf numFmtId="0" fontId="0" fillId="35" borderId="17" xfId="0" applyFill="1" applyBorder="1" applyAlignment="1">
      <alignment horizontal="center"/>
    </xf>
    <xf numFmtId="0" fontId="16" fillId="50" borderId="0" xfId="0" applyFont="1" applyFill="1"/>
    <xf numFmtId="0" fontId="24" fillId="0" borderId="50" xfId="0" applyFont="1" applyBorder="1" applyAlignment="1">
      <alignment horizontal="center"/>
    </xf>
    <xf numFmtId="0" fontId="25" fillId="0" borderId="25"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19" xfId="0" applyFont="1" applyBorder="1" applyAlignment="1">
      <alignment horizontal="center" vertical="center" wrapText="1"/>
    </xf>
    <xf numFmtId="0" fontId="24" fillId="33" borderId="19" xfId="0" applyFont="1" applyFill="1" applyBorder="1"/>
    <xf numFmtId="0" fontId="23" fillId="47" borderId="50" xfId="0" applyFont="1" applyFill="1" applyBorder="1" applyAlignment="1">
      <alignment horizontal="center" vertical="center" wrapText="1"/>
    </xf>
    <xf numFmtId="0" fontId="23" fillId="47" borderId="28" xfId="0" applyFont="1" applyFill="1" applyBorder="1" applyAlignment="1">
      <alignment horizontal="center" vertical="center" wrapText="1"/>
    </xf>
    <xf numFmtId="0" fontId="26" fillId="0" borderId="28" xfId="0" applyFont="1" applyBorder="1" applyAlignment="1">
      <alignment horizontal="center" vertical="center" wrapText="1"/>
    </xf>
    <xf numFmtId="0" fontId="27" fillId="33" borderId="10" xfId="0" applyFont="1" applyFill="1" applyBorder="1" applyAlignment="1">
      <alignment horizontal="center" vertical="center" wrapText="1"/>
    </xf>
    <xf numFmtId="0" fontId="27" fillId="33" borderId="56" xfId="0" applyFont="1" applyFill="1" applyBorder="1" applyAlignment="1">
      <alignment horizontal="center" vertical="center" wrapText="1"/>
    </xf>
    <xf numFmtId="0" fontId="16" fillId="35" borderId="20" xfId="0" applyFont="1" applyFill="1" applyBorder="1"/>
    <xf numFmtId="0" fontId="16" fillId="35" borderId="23" xfId="0" applyFont="1" applyFill="1" applyBorder="1"/>
    <xf numFmtId="0" fontId="16" fillId="0" borderId="20" xfId="0" applyFont="1" applyBorder="1" applyAlignment="1">
      <alignment horizontal="left"/>
    </xf>
    <xf numFmtId="0" fontId="16" fillId="0" borderId="36" xfId="0" applyFont="1" applyBorder="1" applyAlignment="1">
      <alignment horizontal="left" indent="1"/>
    </xf>
    <xf numFmtId="0" fontId="16" fillId="0" borderId="37" xfId="0" applyFont="1" applyBorder="1" applyAlignment="1">
      <alignment horizontal="left" indent="1"/>
    </xf>
    <xf numFmtId="0" fontId="16" fillId="0" borderId="38" xfId="0" applyFont="1" applyBorder="1" applyAlignment="1">
      <alignment horizontal="left" indent="1"/>
    </xf>
    <xf numFmtId="0" fontId="16" fillId="35" borderId="20" xfId="0" applyFont="1" applyFill="1" applyBorder="1" applyAlignment="1">
      <alignment horizontal="left"/>
    </xf>
    <xf numFmtId="0" fontId="16" fillId="46" borderId="47" xfId="0" applyFont="1" applyFill="1" applyBorder="1" applyAlignment="1">
      <alignment horizontal="left"/>
    </xf>
    <xf numFmtId="0" fontId="16" fillId="51" borderId="36" xfId="0" applyFont="1" applyFill="1" applyBorder="1" applyAlignment="1">
      <alignment horizontal="left" indent="1"/>
    </xf>
    <xf numFmtId="0" fontId="16" fillId="51" borderId="37" xfId="0" applyFont="1" applyFill="1" applyBorder="1" applyAlignment="1">
      <alignment horizontal="left" indent="1"/>
    </xf>
    <xf numFmtId="0" fontId="16" fillId="51" borderId="38" xfId="0" applyFont="1" applyFill="1" applyBorder="1" applyAlignment="1">
      <alignment horizontal="left" indent="1"/>
    </xf>
    <xf numFmtId="0" fontId="16" fillId="51" borderId="20" xfId="0" applyFont="1" applyFill="1" applyBorder="1" applyAlignment="1">
      <alignment horizontal="left"/>
    </xf>
    <xf numFmtId="0" fontId="0" fillId="0" borderId="10" xfId="0" applyBorder="1" applyAlignment="1">
      <alignment horizontal="center"/>
    </xf>
    <xf numFmtId="0" fontId="0" fillId="0" borderId="11" xfId="0" applyBorder="1" applyAlignment="1">
      <alignment horizontal="center"/>
    </xf>
    <xf numFmtId="0" fontId="0" fillId="0" borderId="11" xfId="0" applyBorder="1"/>
    <xf numFmtId="0" fontId="0" fillId="0" borderId="13" xfId="0" applyBorder="1" applyAlignment="1">
      <alignment horizontal="center"/>
    </xf>
    <xf numFmtId="0" fontId="0" fillId="0" borderId="16" xfId="0" applyBorder="1"/>
    <xf numFmtId="0" fontId="0" fillId="38" borderId="11" xfId="0" applyFill="1" applyBorder="1" applyAlignment="1">
      <alignment horizontal="center"/>
    </xf>
    <xf numFmtId="0" fontId="0" fillId="38" borderId="0" xfId="0" applyFill="1" applyAlignment="1">
      <alignment horizontal="center"/>
    </xf>
    <xf numFmtId="0" fontId="0" fillId="38" borderId="16" xfId="0" applyFill="1" applyBorder="1" applyAlignment="1">
      <alignment horizontal="center"/>
    </xf>
    <xf numFmtId="0" fontId="0" fillId="38" borderId="28" xfId="0" applyFill="1" applyBorder="1"/>
    <xf numFmtId="0" fontId="0" fillId="35" borderId="18" xfId="0" applyFill="1" applyBorder="1"/>
    <xf numFmtId="0" fontId="0" fillId="38" borderId="40" xfId="0" applyFill="1" applyBorder="1"/>
    <xf numFmtId="0" fontId="0" fillId="38" borderId="32" xfId="0" applyFill="1" applyBorder="1"/>
    <xf numFmtId="0" fontId="0" fillId="0" borderId="41" xfId="0" applyBorder="1" applyAlignment="1">
      <alignment horizontal="center"/>
    </xf>
    <xf numFmtId="0" fontId="0" fillId="0" borderId="31" xfId="0" applyBorder="1" applyAlignment="1">
      <alignment horizontal="center"/>
    </xf>
    <xf numFmtId="0" fontId="0" fillId="0" borderId="33" xfId="0" applyBorder="1" applyAlignment="1">
      <alignment horizontal="center"/>
    </xf>
    <xf numFmtId="0" fontId="0" fillId="46" borderId="47" xfId="0" applyFill="1" applyBorder="1" applyAlignment="1">
      <alignment horizontal="center"/>
    </xf>
    <xf numFmtId="0" fontId="0" fillId="46" borderId="47" xfId="0" applyFill="1" applyBorder="1"/>
    <xf numFmtId="0" fontId="0" fillId="0" borderId="39" xfId="0" applyBorder="1" applyAlignment="1">
      <alignment horizontal="center"/>
    </xf>
    <xf numFmtId="0" fontId="0" fillId="0" borderId="40" xfId="0" applyBorder="1" applyAlignment="1">
      <alignment horizontal="center"/>
    </xf>
    <xf numFmtId="0" fontId="0" fillId="0" borderId="30" xfId="0" applyBorder="1" applyAlignment="1">
      <alignment horizontal="center"/>
    </xf>
    <xf numFmtId="0" fontId="0" fillId="0" borderId="36" xfId="0" applyBorder="1"/>
    <xf numFmtId="0" fontId="0" fillId="0" borderId="37" xfId="0" applyBorder="1"/>
    <xf numFmtId="0" fontId="0" fillId="38" borderId="40" xfId="0" applyFill="1" applyBorder="1" applyAlignment="1">
      <alignment horizontal="center"/>
    </xf>
    <xf numFmtId="0" fontId="0" fillId="38" borderId="28" xfId="0" applyFill="1" applyBorder="1" applyAlignment="1">
      <alignment horizontal="center"/>
    </xf>
    <xf numFmtId="0" fontId="0" fillId="0" borderId="25" xfId="0" applyBorder="1" applyAlignment="1">
      <alignment horizontal="center"/>
    </xf>
    <xf numFmtId="0" fontId="0" fillId="0" borderId="18" xfId="0" applyBorder="1" applyAlignment="1">
      <alignment horizontal="center"/>
    </xf>
    <xf numFmtId="0" fontId="0" fillId="38" borderId="18" xfId="0" applyFill="1" applyBorder="1" applyAlignment="1">
      <alignment horizontal="center"/>
    </xf>
    <xf numFmtId="0" fontId="0" fillId="0" borderId="20" xfId="0" applyBorder="1"/>
    <xf numFmtId="0" fontId="0" fillId="38" borderId="18" xfId="0" applyFill="1" applyBorder="1"/>
    <xf numFmtId="0" fontId="0" fillId="0" borderId="52" xfId="0" applyBorder="1" applyAlignment="1">
      <alignment horizontal="center"/>
    </xf>
    <xf numFmtId="0" fontId="0" fillId="0" borderId="32" xfId="0" applyBorder="1" applyAlignment="1">
      <alignment horizontal="center"/>
    </xf>
    <xf numFmtId="0" fontId="0" fillId="38" borderId="32" xfId="0" applyFill="1" applyBorder="1" applyAlignment="1">
      <alignment horizontal="center"/>
    </xf>
    <xf numFmtId="0" fontId="0" fillId="0" borderId="38" xfId="0" applyBorder="1"/>
    <xf numFmtId="0" fontId="0" fillId="0" borderId="19" xfId="0" applyBorder="1" applyAlignment="1">
      <alignment horizontal="center"/>
    </xf>
    <xf numFmtId="0" fontId="24" fillId="0" borderId="0" xfId="0" applyFont="1"/>
    <xf numFmtId="0" fontId="28" fillId="50" borderId="0" xfId="0" applyFont="1" applyFill="1"/>
    <xf numFmtId="0" fontId="29" fillId="50" borderId="0" xfId="0" applyFont="1" applyFill="1"/>
    <xf numFmtId="0" fontId="22" fillId="0" borderId="28" xfId="0" applyFont="1" applyBorder="1" applyAlignment="1">
      <alignment horizontal="center" vertical="center" wrapText="1"/>
    </xf>
    <xf numFmtId="0" fontId="22" fillId="0" borderId="14" xfId="0" applyFont="1" applyBorder="1" applyAlignment="1">
      <alignment vertical="center" wrapText="1"/>
    </xf>
    <xf numFmtId="0" fontId="22" fillId="0" borderId="17" xfId="0" applyFont="1" applyBorder="1" applyAlignment="1">
      <alignment vertical="center" wrapText="1"/>
    </xf>
    <xf numFmtId="0" fontId="21" fillId="0" borderId="22" xfId="0" applyFont="1" applyBorder="1" applyAlignment="1">
      <alignment horizontal="center" vertical="center" wrapText="1"/>
    </xf>
    <xf numFmtId="0" fontId="21" fillId="0" borderId="14" xfId="0" applyFont="1" applyBorder="1" applyAlignment="1">
      <alignment horizontal="center" vertical="center" wrapText="1"/>
    </xf>
    <xf numFmtId="2" fontId="0" fillId="0" borderId="0" xfId="0" applyNumberFormat="1"/>
    <xf numFmtId="9" fontId="19" fillId="0" borderId="31" xfId="1" applyFont="1" applyBorder="1" applyAlignment="1">
      <alignment horizontal="center" vertical="center" wrapText="1"/>
    </xf>
    <xf numFmtId="9" fontId="19" fillId="0" borderId="33" xfId="1" applyFont="1" applyBorder="1" applyAlignment="1">
      <alignment horizontal="center" vertical="center" wrapText="1"/>
    </xf>
    <xf numFmtId="0" fontId="18" fillId="33" borderId="41" xfId="0" applyFont="1" applyFill="1" applyBorder="1" applyAlignment="1">
      <alignment horizontal="center" vertical="center" wrapText="1"/>
    </xf>
    <xf numFmtId="0" fontId="18" fillId="33" borderId="42" xfId="0" applyFont="1" applyFill="1" applyBorder="1" applyAlignment="1">
      <alignment horizontal="center" vertical="center" wrapText="1"/>
    </xf>
    <xf numFmtId="9" fontId="19" fillId="0" borderId="35" xfId="1" applyFont="1" applyBorder="1" applyAlignment="1">
      <alignment horizontal="center" vertical="center" wrapText="1"/>
    </xf>
    <xf numFmtId="9" fontId="19" fillId="0" borderId="43" xfId="1" applyFont="1" applyBorder="1" applyAlignment="1">
      <alignment horizontal="center" vertical="center" wrapText="1"/>
    </xf>
    <xf numFmtId="0" fontId="18" fillId="33" borderId="36" xfId="0" applyFont="1" applyFill="1" applyBorder="1" applyAlignment="1">
      <alignment horizontal="center" vertical="center" wrapText="1"/>
    </xf>
    <xf numFmtId="0" fontId="18" fillId="0" borderId="37" xfId="0" applyFont="1" applyBorder="1" applyAlignment="1">
      <alignment horizontal="center" vertical="center" wrapText="1"/>
    </xf>
    <xf numFmtId="0" fontId="18" fillId="0" borderId="38" xfId="0" applyFont="1" applyBorder="1" applyAlignment="1">
      <alignment horizontal="center" vertical="center" wrapText="1"/>
    </xf>
    <xf numFmtId="0" fontId="0" fillId="0" borderId="28" xfId="0" applyBorder="1"/>
    <xf numFmtId="0" fontId="0" fillId="0" borderId="47" xfId="0" applyBorder="1"/>
    <xf numFmtId="1" fontId="16" fillId="0" borderId="0" xfId="1" applyNumberFormat="1" applyFont="1" applyAlignment="1">
      <alignment horizontal="center" vertical="center" wrapText="1"/>
    </xf>
    <xf numFmtId="1" fontId="0" fillId="0" borderId="0" xfId="1" applyNumberFormat="1" applyFont="1" applyAlignment="1">
      <alignment horizontal="center" vertical="center" wrapText="1"/>
    </xf>
    <xf numFmtId="1" fontId="0" fillId="0" borderId="0" xfId="1" applyNumberFormat="1" applyFont="1" applyAlignment="1">
      <alignment horizontal="center"/>
    </xf>
    <xf numFmtId="0" fontId="0" fillId="52" borderId="25" xfId="0" applyFill="1" applyBorder="1" applyAlignment="1">
      <alignment horizontal="center"/>
    </xf>
    <xf numFmtId="0" fontId="0" fillId="34" borderId="20" xfId="0" applyFill="1" applyBorder="1" applyAlignment="1">
      <alignment horizontal="center"/>
    </xf>
    <xf numFmtId="0" fontId="0" fillId="36" borderId="20" xfId="0" applyFill="1" applyBorder="1" applyAlignment="1">
      <alignment horizontal="center"/>
    </xf>
    <xf numFmtId="0" fontId="0" fillId="34" borderId="58" xfId="0" applyFill="1" applyBorder="1" applyAlignment="1">
      <alignment horizontal="center"/>
    </xf>
    <xf numFmtId="0" fontId="0" fillId="0" borderId="12" xfId="0" applyBorder="1" applyAlignment="1">
      <alignment horizontal="center"/>
    </xf>
    <xf numFmtId="0" fontId="0" fillId="0" borderId="21" xfId="0" applyBorder="1" applyAlignment="1">
      <alignment horizontal="left" indent="1"/>
    </xf>
    <xf numFmtId="0" fontId="0" fillId="0" borderId="23" xfId="0" applyBorder="1" applyAlignment="1">
      <alignment horizontal="left" indent="1"/>
    </xf>
    <xf numFmtId="0" fontId="32" fillId="0" borderId="0" xfId="0" applyFont="1"/>
    <xf numFmtId="0" fontId="30" fillId="0" borderId="0" xfId="0" applyFont="1" applyAlignment="1">
      <alignment vertical="center" wrapText="1"/>
    </xf>
    <xf numFmtId="0" fontId="25" fillId="0" borderId="0" xfId="0" applyFont="1"/>
    <xf numFmtId="0" fontId="33" fillId="47" borderId="0" xfId="0" applyFont="1" applyFill="1"/>
    <xf numFmtId="0" fontId="23" fillId="47" borderId="0" xfId="0" applyFont="1" applyFill="1"/>
    <xf numFmtId="0" fontId="25" fillId="47" borderId="0" xfId="0" applyFont="1" applyFill="1"/>
    <xf numFmtId="0" fontId="24" fillId="47" borderId="0" xfId="0" applyFont="1" applyFill="1"/>
    <xf numFmtId="0" fontId="23" fillId="0" borderId="0" xfId="0" applyFont="1" applyAlignment="1">
      <alignment vertical="center" wrapText="1"/>
    </xf>
    <xf numFmtId="0" fontId="23" fillId="34" borderId="21" xfId="0" applyFont="1" applyFill="1" applyBorder="1" applyAlignment="1">
      <alignment vertical="center" wrapText="1"/>
    </xf>
    <xf numFmtId="0" fontId="23" fillId="34" borderId="42" xfId="0" applyFont="1" applyFill="1" applyBorder="1" applyAlignment="1">
      <alignment vertical="center" wrapText="1"/>
    </xf>
    <xf numFmtId="0" fontId="23" fillId="34" borderId="40" xfId="0" applyFont="1" applyFill="1" applyBorder="1" applyAlignment="1">
      <alignment vertical="center" wrapText="1"/>
    </xf>
    <xf numFmtId="0" fontId="23" fillId="34" borderId="44" xfId="0" applyFont="1" applyFill="1" applyBorder="1" applyAlignment="1">
      <alignment vertical="center" wrapText="1"/>
    </xf>
    <xf numFmtId="0" fontId="23" fillId="42" borderId="39" xfId="0" applyFont="1" applyFill="1" applyBorder="1" applyAlignment="1">
      <alignment vertical="center" wrapText="1"/>
    </xf>
    <xf numFmtId="0" fontId="23" fillId="40" borderId="28" xfId="0" applyFont="1" applyFill="1" applyBorder="1" applyAlignment="1">
      <alignment horizontal="center" vertical="center" wrapText="1"/>
    </xf>
    <xf numFmtId="10" fontId="23" fillId="40" borderId="35" xfId="0" applyNumberFormat="1" applyFont="1" applyFill="1" applyBorder="1" applyAlignment="1">
      <alignment horizontal="center" vertical="center" wrapText="1"/>
    </xf>
    <xf numFmtId="10" fontId="23" fillId="40" borderId="28" xfId="0" applyNumberFormat="1" applyFont="1" applyFill="1" applyBorder="1" applyAlignment="1">
      <alignment horizontal="center" vertical="center" wrapText="1"/>
    </xf>
    <xf numFmtId="0" fontId="24" fillId="0" borderId="31" xfId="0" applyFont="1" applyBorder="1"/>
    <xf numFmtId="0" fontId="23" fillId="42" borderId="30" xfId="0" applyFont="1" applyFill="1" applyBorder="1" applyAlignment="1">
      <alignment vertical="center" wrapText="1"/>
    </xf>
    <xf numFmtId="0" fontId="23" fillId="48" borderId="28" xfId="0" applyFont="1" applyFill="1" applyBorder="1" applyAlignment="1">
      <alignment horizontal="center" vertical="center" wrapText="1"/>
    </xf>
    <xf numFmtId="10" fontId="23" fillId="48" borderId="35" xfId="0" applyNumberFormat="1" applyFont="1" applyFill="1" applyBorder="1" applyAlignment="1">
      <alignment horizontal="center" vertical="center" wrapText="1"/>
    </xf>
    <xf numFmtId="10" fontId="23" fillId="48" borderId="28" xfId="0" applyNumberFormat="1" applyFont="1" applyFill="1" applyBorder="1" applyAlignment="1">
      <alignment horizontal="center" vertical="center" wrapText="1"/>
    </xf>
    <xf numFmtId="0" fontId="23" fillId="49" borderId="28" xfId="0" applyFont="1" applyFill="1" applyBorder="1" applyAlignment="1">
      <alignment horizontal="center" vertical="center" wrapText="1"/>
    </xf>
    <xf numFmtId="10" fontId="23" fillId="49" borderId="35" xfId="0" applyNumberFormat="1" applyFont="1" applyFill="1" applyBorder="1" applyAlignment="1">
      <alignment horizontal="center" vertical="center" wrapText="1"/>
    </xf>
    <xf numFmtId="10" fontId="23" fillId="49" borderId="28" xfId="0" applyNumberFormat="1" applyFont="1" applyFill="1" applyBorder="1" applyAlignment="1">
      <alignment horizontal="center" vertical="center" wrapText="1"/>
    </xf>
    <xf numFmtId="0" fontId="23" fillId="42" borderId="52" xfId="0" applyFont="1" applyFill="1" applyBorder="1" applyAlignment="1">
      <alignment vertical="center" wrapText="1"/>
    </xf>
    <xf numFmtId="0" fontId="23" fillId="0" borderId="28" xfId="0" applyFont="1" applyBorder="1" applyAlignment="1">
      <alignment horizontal="center" vertical="center" wrapText="1"/>
    </xf>
    <xf numFmtId="10" fontId="23" fillId="0" borderId="57" xfId="0" applyNumberFormat="1" applyFont="1" applyBorder="1" applyAlignment="1">
      <alignment horizontal="center" vertical="center" wrapText="1"/>
    </xf>
    <xf numFmtId="10" fontId="23" fillId="0" borderId="29" xfId="0" applyNumberFormat="1" applyFont="1" applyBorder="1" applyAlignment="1">
      <alignment horizontal="center" vertical="center" wrapText="1"/>
    </xf>
    <xf numFmtId="0" fontId="23" fillId="0" borderId="29" xfId="0" applyFont="1" applyBorder="1" applyAlignment="1">
      <alignment horizontal="center" vertical="center" wrapText="1"/>
    </xf>
    <xf numFmtId="0" fontId="24" fillId="0" borderId="33" xfId="0" applyFont="1" applyBorder="1"/>
    <xf numFmtId="0" fontId="34" fillId="50" borderId="0" xfId="0" applyFont="1" applyFill="1"/>
    <xf numFmtId="0" fontId="30" fillId="50" borderId="0" xfId="0" applyFont="1" applyFill="1"/>
    <xf numFmtId="0" fontId="30" fillId="45" borderId="25" xfId="0" applyFont="1" applyFill="1" applyBorder="1" applyAlignment="1">
      <alignment horizontal="center" vertical="center" wrapText="1"/>
    </xf>
    <xf numFmtId="0" fontId="30" fillId="45" borderId="18" xfId="0" applyFont="1" applyFill="1" applyBorder="1" applyAlignment="1">
      <alignment horizontal="center" vertical="center" wrapText="1"/>
    </xf>
    <xf numFmtId="0" fontId="30" fillId="45" borderId="12" xfId="0" applyFont="1" applyFill="1" applyBorder="1" applyAlignment="1">
      <alignment horizontal="center" vertical="center" wrapText="1"/>
    </xf>
    <xf numFmtId="0" fontId="30" fillId="45" borderId="36" xfId="0" applyFont="1" applyFill="1" applyBorder="1"/>
    <xf numFmtId="9" fontId="30" fillId="42" borderId="35" xfId="1" applyFont="1" applyFill="1" applyBorder="1" applyAlignment="1">
      <alignment horizontal="center" vertical="center" wrapText="1"/>
    </xf>
    <xf numFmtId="9" fontId="30" fillId="42" borderId="28" xfId="1" applyFont="1" applyFill="1" applyBorder="1" applyAlignment="1">
      <alignment horizontal="center" vertical="center" wrapText="1"/>
    </xf>
    <xf numFmtId="9" fontId="30" fillId="43" borderId="28" xfId="1" applyFont="1" applyFill="1" applyBorder="1" applyAlignment="1">
      <alignment horizontal="center" vertical="center" wrapText="1"/>
    </xf>
    <xf numFmtId="0" fontId="32" fillId="0" borderId="28" xfId="0" applyFont="1" applyBorder="1"/>
    <xf numFmtId="0" fontId="30" fillId="45" borderId="37" xfId="0" applyFont="1" applyFill="1" applyBorder="1"/>
    <xf numFmtId="9" fontId="30" fillId="39" borderId="35" xfId="1" applyFont="1" applyFill="1" applyBorder="1" applyAlignment="1">
      <alignment horizontal="center" vertical="center" wrapText="1"/>
    </xf>
    <xf numFmtId="9" fontId="30" fillId="41" borderId="28" xfId="1" applyFont="1" applyFill="1" applyBorder="1" applyAlignment="1">
      <alignment horizontal="center" vertical="center" wrapText="1"/>
    </xf>
    <xf numFmtId="9" fontId="30" fillId="39" borderId="28" xfId="1" applyFont="1" applyFill="1" applyBorder="1" applyAlignment="1">
      <alignment horizontal="center" vertical="center" wrapText="1"/>
    </xf>
    <xf numFmtId="9" fontId="30" fillId="44" borderId="28" xfId="1" applyFont="1" applyFill="1" applyBorder="1" applyAlignment="1">
      <alignment horizontal="center" vertical="center" wrapText="1"/>
    </xf>
    <xf numFmtId="9" fontId="30" fillId="41" borderId="35" xfId="1" applyFont="1" applyFill="1" applyBorder="1" applyAlignment="1">
      <alignment horizontal="center" vertical="center" wrapText="1"/>
    </xf>
    <xf numFmtId="0" fontId="31" fillId="0" borderId="28" xfId="0" applyFont="1" applyBorder="1"/>
    <xf numFmtId="0" fontId="30" fillId="45" borderId="38" xfId="0" applyFont="1" applyFill="1" applyBorder="1"/>
    <xf numFmtId="0" fontId="30" fillId="33" borderId="34" xfId="0" applyFont="1" applyFill="1" applyBorder="1" applyAlignment="1">
      <alignment horizontal="center" vertical="center" wrapText="1"/>
    </xf>
    <xf numFmtId="9" fontId="30" fillId="46" borderId="45" xfId="1" applyFont="1" applyFill="1" applyBorder="1" applyAlignment="1">
      <alignment vertical="center" wrapText="1"/>
    </xf>
    <xf numFmtId="9" fontId="30" fillId="46" borderId="29" xfId="1" applyFont="1" applyFill="1" applyBorder="1" applyAlignment="1">
      <alignment vertical="center" wrapText="1"/>
    </xf>
    <xf numFmtId="9" fontId="31" fillId="0" borderId="28" xfId="0" applyNumberFormat="1" applyFont="1" applyBorder="1" applyAlignment="1">
      <alignment vertical="center" wrapText="1"/>
    </xf>
    <xf numFmtId="0" fontId="0" fillId="0" borderId="23" xfId="0" applyBorder="1" applyAlignment="1">
      <alignment horizontal="center"/>
    </xf>
    <xf numFmtId="1" fontId="0" fillId="0" borderId="23" xfId="0" applyNumberFormat="1" applyBorder="1" applyAlignment="1">
      <alignment horizontal="center"/>
    </xf>
    <xf numFmtId="0" fontId="0" fillId="0" borderId="10" xfId="0" pivotButton="1" applyBorder="1"/>
    <xf numFmtId="1" fontId="0" fillId="0" borderId="16" xfId="0" applyNumberFormat="1" applyBorder="1"/>
    <xf numFmtId="1" fontId="0" fillId="0" borderId="17" xfId="0" applyNumberFormat="1" applyBorder="1"/>
    <xf numFmtId="0" fontId="0" fillId="0" borderId="15" xfId="0" pivotButton="1" applyBorder="1"/>
    <xf numFmtId="0" fontId="0" fillId="0" borderId="17" xfId="0" applyBorder="1"/>
    <xf numFmtId="0" fontId="0" fillId="0" borderId="20" xfId="0" pivotButton="1" applyBorder="1" applyAlignment="1">
      <alignment horizontal="center"/>
    </xf>
    <xf numFmtId="0" fontId="0" fillId="0" borderId="23" xfId="0" applyBorder="1"/>
    <xf numFmtId="0" fontId="0" fillId="0" borderId="15" xfId="0" applyBorder="1"/>
    <xf numFmtId="0" fontId="0" fillId="0" borderId="18" xfId="0" applyBorder="1"/>
    <xf numFmtId="0" fontId="0" fillId="42" borderId="23" xfId="0" applyFill="1" applyBorder="1" applyAlignment="1">
      <alignment horizontal="center"/>
    </xf>
    <xf numFmtId="0" fontId="0" fillId="42" borderId="16" xfId="0" applyFill="1" applyBorder="1"/>
    <xf numFmtId="1" fontId="0" fillId="42" borderId="23" xfId="0" applyNumberFormat="1" applyFill="1" applyBorder="1" applyAlignment="1">
      <alignment horizontal="center"/>
    </xf>
    <xf numFmtId="1" fontId="0" fillId="42" borderId="16" xfId="0" applyNumberFormat="1" applyFill="1" applyBorder="1"/>
    <xf numFmtId="1" fontId="0" fillId="0" borderId="47" xfId="0" applyNumberFormat="1" applyBorder="1" applyAlignment="1">
      <alignment horizontal="center"/>
    </xf>
    <xf numFmtId="1" fontId="0" fillId="42" borderId="47" xfId="0" applyNumberFormat="1" applyFill="1" applyBorder="1" applyAlignment="1">
      <alignment horizontal="center"/>
    </xf>
    <xf numFmtId="1" fontId="0" fillId="0" borderId="21" xfId="0" applyNumberFormat="1" applyBorder="1" applyAlignment="1">
      <alignment horizontal="center"/>
    </xf>
    <xf numFmtId="0" fontId="0" fillId="45" borderId="13" xfId="0" applyFill="1" applyBorder="1" applyAlignment="1">
      <alignment horizontal="left"/>
    </xf>
    <xf numFmtId="1" fontId="0" fillId="45" borderId="23" xfId="0" applyNumberFormat="1" applyFill="1" applyBorder="1" applyAlignment="1">
      <alignment horizontal="center"/>
    </xf>
    <xf numFmtId="1" fontId="0" fillId="45" borderId="0" xfId="0" applyNumberFormat="1" applyFill="1"/>
    <xf numFmtId="1" fontId="0" fillId="45" borderId="14" xfId="0" applyNumberFormat="1" applyFill="1" applyBorder="1"/>
    <xf numFmtId="0" fontId="0" fillId="0" borderId="59" xfId="0" applyBorder="1" applyAlignment="1">
      <alignment horizontal="left"/>
    </xf>
    <xf numFmtId="1" fontId="0" fillId="0" borderId="47" xfId="0" applyNumberFormat="1" applyBorder="1"/>
    <xf numFmtId="1" fontId="0" fillId="42" borderId="47" xfId="0" applyNumberFormat="1" applyFill="1" applyBorder="1"/>
    <xf numFmtId="1" fontId="0" fillId="0" borderId="46" xfId="0" applyNumberFormat="1" applyBorder="1"/>
    <xf numFmtId="1" fontId="0" fillId="0" borderId="11" xfId="0" applyNumberFormat="1" applyBorder="1"/>
    <xf numFmtId="1" fontId="0" fillId="42" borderId="21" xfId="0" applyNumberFormat="1" applyFill="1" applyBorder="1" applyAlignment="1">
      <alignment horizontal="center"/>
    </xf>
    <xf numFmtId="1" fontId="0" fillId="42" borderId="11" xfId="0" applyNumberFormat="1" applyFill="1" applyBorder="1"/>
    <xf numFmtId="1" fontId="0" fillId="0" borderId="12" xfId="0" applyNumberFormat="1" applyBorder="1"/>
    <xf numFmtId="0" fontId="16" fillId="51" borderId="15" xfId="0" applyFont="1" applyFill="1" applyBorder="1" applyAlignment="1">
      <alignment horizontal="left" indent="1"/>
    </xf>
    <xf numFmtId="0" fontId="16" fillId="51" borderId="10" xfId="0" applyFont="1" applyFill="1" applyBorder="1" applyAlignment="1">
      <alignment horizontal="left" indent="1"/>
    </xf>
    <xf numFmtId="0" fontId="1" fillId="0" borderId="0" xfId="0" applyFont="1" applyAlignment="1">
      <alignment horizontal="center" vertical="center" wrapText="1"/>
    </xf>
    <xf numFmtId="1" fontId="0" fillId="0" borderId="0" xfId="0" applyNumberFormat="1" applyAlignment="1">
      <alignment horizontal="center"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91">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2"/>
        <color theme="1"/>
        <name val="Duba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Duba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Duba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Dubai"/>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medium">
          <color indexed="64"/>
        </top>
      </border>
    </dxf>
    <dxf>
      <alignment horizontal="center" vertical="bottom" textRotation="0" wrapText="0" indent="0" justifyLastLine="0" shrinkToFit="0" readingOrder="0"/>
    </dxf>
    <dxf>
      <numFmt numFmtId="0" formatCode="General"/>
      <alignment horizontal="center" vertical="center" textRotation="0" wrapText="1" indent="0" justifyLastLine="0" shrinkToFit="0" readingOrder="0"/>
    </dxf>
    <dxf>
      <font>
        <b/>
      </font>
      <alignment horizontal="center" vertical="center" textRotation="0" wrapText="1" indent="0" justifyLastLine="0" shrinkToFit="0" readingOrder="0"/>
    </dxf>
    <dxf>
      <font>
        <b/>
      </font>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bottom style="double">
          <color indexed="64"/>
        </bottom>
      </border>
    </dxf>
    <dxf>
      <border>
        <bottom style="double">
          <color indexed="64"/>
        </bottom>
      </border>
    </dxf>
    <dxf>
      <border>
        <bottom style="double">
          <color indexed="64"/>
        </bottom>
      </border>
    </dxf>
    <dxf>
      <border>
        <bottom style="double">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bottom style="double">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font>
        <b val="0"/>
        <i val="0"/>
        <strike val="0"/>
        <condense val="0"/>
        <extend val="0"/>
        <outline val="0"/>
        <shadow val="0"/>
        <u val="none"/>
        <vertAlign val="baseline"/>
        <sz val="11"/>
        <color theme="1"/>
        <name val="Aptos Narrow"/>
        <family val="2"/>
        <scheme val="minor"/>
      </font>
      <numFmt numFmtId="13" formatCode="0%"/>
      <fill>
        <patternFill patternType="solid">
          <fgColor indexed="64"/>
          <bgColor theme="6" tint="0.5999938962981048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fill>
        <patternFill patternType="solid">
          <fgColor indexed="64"/>
          <bgColor theme="6" tint="0.59999389629810485"/>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Aptos Narrow"/>
        <family val="2"/>
        <scheme val="minor"/>
      </font>
      <fill>
        <patternFill patternType="solid">
          <fgColor indexed="64"/>
          <bgColor theme="6" tint="0.59999389629810485"/>
        </patternFill>
      </fill>
      <alignment horizontal="center" vertical="center" textRotation="0" wrapText="1" indent="0" justifyLastLine="0" shrinkToFit="0" readingOrder="0"/>
      <border diagonalUp="0" diagonalDown="0" outline="0">
        <left/>
        <right style="medium">
          <color indexed="64"/>
        </right>
        <top/>
        <bottom/>
      </border>
    </dxf>
    <dxf>
      <font>
        <b val="0"/>
        <i val="0"/>
        <strike val="0"/>
        <condense val="0"/>
        <extend val="0"/>
        <outline val="0"/>
        <shadow val="0"/>
        <u val="none"/>
        <vertAlign val="baseline"/>
        <sz val="11"/>
        <color theme="1"/>
        <name val="Dubai"/>
        <family val="2"/>
        <scheme val="none"/>
      </font>
      <alignment horizontal="center" vertical="bottom" textRotation="0" wrapText="0" indent="0" justifyLastLine="0" shrinkToFit="0" readingOrder="0"/>
    </dxf>
    <dxf>
      <font>
        <strike val="0"/>
        <outline val="0"/>
        <shadow val="0"/>
        <u val="none"/>
        <vertAlign val="baseline"/>
        <sz val="11"/>
        <color theme="1"/>
        <name val="Dubai"/>
        <family val="2"/>
        <scheme val="none"/>
      </font>
      <alignment horizont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Duba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i val="0"/>
        <strike val="0"/>
        <condense val="0"/>
        <extend val="0"/>
        <outline val="0"/>
        <shadow val="0"/>
        <u val="none"/>
        <vertAlign val="baseline"/>
        <sz val="11"/>
        <color theme="1"/>
        <name val="Dubai"/>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Dubai"/>
        <family val="2"/>
        <scheme val="none"/>
      </font>
      <alignment horizontal="center" vertical="center" textRotation="0" wrapText="1" indent="0" justifyLastLine="0" shrinkToFit="0" readingOrder="0"/>
    </dxf>
    <dxf>
      <font>
        <strike val="0"/>
        <outline val="0"/>
        <shadow val="0"/>
        <u val="none"/>
        <vertAlign val="baseline"/>
        <sz val="11"/>
        <color theme="1"/>
        <name val="Duba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Dubai"/>
        <family val="2"/>
        <scheme val="none"/>
      </font>
      <alignment horizontal="center" vertical="center" textRotation="0" wrapText="1" indent="0" justifyLastLine="0" shrinkToFit="0" readingOrder="0"/>
    </dxf>
    <dxf>
      <font>
        <strike val="0"/>
        <outline val="0"/>
        <shadow val="0"/>
        <u val="none"/>
        <vertAlign val="baseline"/>
        <sz val="11"/>
        <color theme="1"/>
        <name val="Duba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Dubai"/>
        <family val="2"/>
        <scheme val="none"/>
      </font>
      <alignment horizontal="center" vertical="center" textRotation="0" wrapText="1" indent="0" justifyLastLine="0" shrinkToFit="0" readingOrder="0"/>
    </dxf>
    <dxf>
      <font>
        <strike val="0"/>
        <outline val="0"/>
        <shadow val="0"/>
        <u val="none"/>
        <vertAlign val="baseline"/>
        <sz val="11"/>
        <color theme="1"/>
        <name val="Duba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Dubai"/>
        <family val="2"/>
        <scheme val="none"/>
      </font>
      <alignment horizontal="center" vertical="center" textRotation="0" wrapText="1" indent="0" justifyLastLine="0" shrinkToFit="0" readingOrder="0"/>
    </dxf>
    <dxf>
      <font>
        <strike val="0"/>
        <outline val="0"/>
        <shadow val="0"/>
        <u val="none"/>
        <vertAlign val="baseline"/>
        <sz val="11"/>
        <color theme="1"/>
        <name val="Duba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Dubai"/>
        <family val="2"/>
        <scheme val="none"/>
      </font>
      <alignment horizontal="general" vertical="center" textRotation="0" wrapText="1" indent="0" justifyLastLine="0" shrinkToFit="0" readingOrder="0"/>
    </dxf>
    <dxf>
      <font>
        <strike val="0"/>
        <outline val="0"/>
        <shadow val="0"/>
        <u val="none"/>
        <vertAlign val="baseline"/>
        <sz val="11"/>
        <color theme="1"/>
        <name val="Dubai"/>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Dubai"/>
        <family val="2"/>
        <scheme val="none"/>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border>
        <bottom style="double">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vertical="center" textRotation="0" wrapText="1" indent="1" justifyLastLine="0" shrinkToFit="0" readingOrder="0"/>
    </dxf>
    <dxf>
      <border outline="0">
        <right style="medium">
          <color indexed="64"/>
        </right>
      </border>
    </dxf>
    <dxf>
      <alignment horizontal="center" vertical="bottom" textRotation="0" wrapText="0" indent="0" justifyLastLine="0" shrinkToFit="0" readingOrder="0"/>
    </dxf>
    <dxf>
      <font>
        <strike val="0"/>
        <outline val="0"/>
        <shadow val="0"/>
        <u val="none"/>
        <vertAlign val="baseline"/>
        <sz val="11"/>
        <color theme="1"/>
        <name val="Duba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
      <font>
        <strike val="0"/>
        <outline val="0"/>
        <shadow val="0"/>
        <u val="none"/>
        <vertAlign val="baseline"/>
        <sz val="11"/>
        <color theme="1"/>
        <name val="Duba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
      <font>
        <strike val="0"/>
        <outline val="0"/>
        <shadow val="0"/>
        <u val="none"/>
        <vertAlign val="baseline"/>
        <sz val="11"/>
        <color theme="1"/>
        <name val="Duba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
      <font>
        <strike val="0"/>
        <outline val="0"/>
        <shadow val="0"/>
        <u val="none"/>
        <vertAlign val="baseline"/>
        <sz val="11"/>
        <color theme="1"/>
        <name val="Duba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
      <font>
        <strike val="0"/>
        <outline val="0"/>
        <shadow val="0"/>
        <u val="none"/>
        <vertAlign val="baseline"/>
        <sz val="11"/>
        <color theme="1"/>
        <name val="Duba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dxf>
    <dxf>
      <font>
        <strike val="0"/>
        <outline val="0"/>
        <shadow val="0"/>
        <u val="none"/>
        <vertAlign val="baseline"/>
        <sz val="11"/>
        <color theme="1"/>
        <name val="Dubai"/>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Dubai"/>
        <family val="2"/>
        <scheme val="none"/>
      </font>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border>
        <right style="medium">
          <color indexed="64"/>
        </right>
      </border>
    </dxf>
    <dxf>
      <border>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5" tint="0.59999389629810485"/>
        </patternFill>
      </fill>
    </dxf>
    <dxf>
      <fill>
        <patternFill patternType="solid">
          <bgColor theme="3" tint="0.89999084444715716"/>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rgb="FFFF0000"/>
        </patternFill>
      </fill>
    </dxf>
    <dxf>
      <font>
        <b/>
      </font>
    </dxf>
    <dxf>
      <font>
        <b/>
      </font>
    </dxf>
    <dxf>
      <font>
        <b/>
      </font>
    </dxf>
    <dxf>
      <font>
        <b/>
      </font>
    </dxf>
    <dxf>
      <font>
        <b/>
      </font>
    </dxf>
    <dxf>
      <font>
        <b/>
      </font>
    </dxf>
    <dxf>
      <font>
        <b/>
      </font>
    </dxf>
    <dxf>
      <font>
        <b/>
      </font>
    </dxf>
    <dxf>
      <font>
        <b/>
      </font>
    </dxf>
    <dxf>
      <alignment horizontal="center"/>
    </dxf>
    <dxf>
      <border>
        <right style="medium">
          <color indexed="64"/>
        </right>
      </border>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double">
          <color indexed="64"/>
        </bottom>
      </border>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1" indent="0" justifyLastLine="0" shrinkToFit="0" readingOrder="0"/>
      <border diagonalUp="0" diagonalDown="0" outline="0">
        <left style="thin">
          <color indexed="64"/>
        </left>
        <right/>
        <top/>
        <bottom/>
      </border>
    </dxf>
    <dxf>
      <numFmt numFmtId="0" formatCode="Genera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right style="thin">
          <color indexed="64"/>
        </right>
        <top/>
        <bottom/>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0.499984740745262"/>
        </patternFill>
      </fill>
    </dxf>
    <dxf>
      <fill>
        <patternFill patternType="solid">
          <bgColor theme="1" tint="0.499984740745262"/>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00B050"/>
        </patternFill>
      </fill>
    </dxf>
    <dxf>
      <fill>
        <patternFill patternType="solid">
          <bgColor rgb="FFFFC000"/>
        </patternFill>
      </fill>
    </dxf>
    <dxf>
      <alignment horizontal="center" indent="0"/>
    </dxf>
    <dxf>
      <alignment horizontal="center" indent="0"/>
    </dxf>
    <dxf>
      <alignment horizontal="center" indent="0"/>
    </dxf>
    <dxf>
      <alignment horizontal="center"/>
    </dxf>
    <dxf>
      <alignment horizontal="center"/>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numFmt numFmtId="1" formatCode="0"/>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font>
    </dxf>
    <dxf>
      <font>
        <b/>
      </font>
    </dxf>
    <dxf>
      <font>
        <b/>
      </font>
    </dxf>
    <dxf>
      <font>
        <b/>
      </font>
    </dxf>
    <dxf>
      <font>
        <b/>
      </font>
    </dxf>
    <dxf>
      <font>
        <b/>
      </font>
    </dxf>
    <dxf>
      <font>
        <b/>
      </font>
    </dxf>
    <dxf>
      <font>
        <b/>
      </font>
    </dxf>
    <dxf>
      <font>
        <b/>
      </font>
    </dxf>
    <dxf>
      <font>
        <b/>
      </font>
    </dxf>
    <dxf>
      <border>
        <top style="medium">
          <color indexed="64"/>
        </top>
        <bottom style="medium">
          <color indexed="64"/>
        </bottom>
      </border>
    </dxf>
    <dxf>
      <border>
        <bottom style="double">
          <color indexed="64"/>
        </bottom>
      </border>
    </dxf>
    <dxf>
      <fill>
        <patternFill>
          <bgColor rgb="FFFFFF00"/>
        </patternFill>
      </fill>
    </dxf>
    <dxf>
      <fill>
        <patternFill patternType="solid">
          <bgColor theme="6" tint="0.79998168889431442"/>
        </patternFill>
      </fill>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dxf>
    <dxf>
      <font>
        <b/>
      </font>
      <numFmt numFmtId="0" formatCode="General"/>
      <alignment horizontal="center"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2" formatCode="0.00"/>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2" formatCode="0.00"/>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2" formatCode="0.00"/>
      <alignment horizontal="center" vertical="bottom" textRotation="0" wrapText="0" indent="0" justifyLastLine="0" shrinkToFit="0" readingOrder="0"/>
    </dxf>
    <dxf>
      <font>
        <b/>
      </font>
    </dxf>
    <dxf>
      <font>
        <b/>
        <i val="0"/>
        <strike val="0"/>
        <condense val="0"/>
        <extend val="0"/>
        <outline val="0"/>
        <shadow val="0"/>
        <u val="none"/>
        <vertAlign val="baseline"/>
        <sz val="11"/>
        <color theme="1"/>
        <name val="Aptos Narrow"/>
        <family val="2"/>
        <scheme val="minor"/>
      </font>
    </dxf>
    <dxf>
      <font>
        <b/>
      </font>
    </dxf>
    <dxf>
      <font>
        <b/>
        <i val="0"/>
        <strike val="0"/>
        <condense val="0"/>
        <extend val="0"/>
        <outline val="0"/>
        <shadow val="0"/>
        <u val="none"/>
        <vertAlign val="baseline"/>
        <sz val="11"/>
        <color theme="1"/>
        <name val="Aptos Narrow"/>
        <family val="2"/>
        <scheme val="minor"/>
      </font>
    </dxf>
    <dxf>
      <font>
        <b/>
      </font>
    </dxf>
    <dxf>
      <font>
        <b/>
        <i val="0"/>
        <strike val="0"/>
        <condense val="0"/>
        <extend val="0"/>
        <outline val="0"/>
        <shadow val="0"/>
        <u val="none"/>
        <vertAlign val="baseline"/>
        <sz val="11"/>
        <color theme="1"/>
        <name val="Aptos Narrow"/>
        <family val="2"/>
        <scheme val="minor"/>
      </font>
    </dxf>
    <dxf>
      <font>
        <b/>
      </font>
    </dxf>
    <dxf>
      <font>
        <b/>
        <i val="0"/>
        <strike val="0"/>
        <condense val="0"/>
        <extend val="0"/>
        <outline val="0"/>
        <shadow val="0"/>
        <u val="none"/>
        <vertAlign val="baseline"/>
        <sz val="11"/>
        <color theme="1"/>
        <name val="Aptos Narrow"/>
        <family val="2"/>
        <scheme val="minor"/>
      </font>
    </dxf>
    <dxf>
      <font>
        <b/>
      </font>
    </dxf>
    <dxf>
      <font>
        <b/>
        <i val="0"/>
        <strike val="0"/>
        <condense val="0"/>
        <extend val="0"/>
        <outline val="0"/>
        <shadow val="0"/>
        <u val="none"/>
        <vertAlign val="baseline"/>
        <sz val="11"/>
        <color theme="1"/>
        <name val="Aptos Narrow"/>
        <family val="2"/>
        <scheme val="minor"/>
      </font>
    </dxf>
    <dxf>
      <font>
        <b/>
      </font>
    </dxf>
    <dxf>
      <font>
        <b/>
        <i val="0"/>
        <strike val="0"/>
        <condense val="0"/>
        <extend val="0"/>
        <outline val="0"/>
        <shadow val="0"/>
        <u val="none"/>
        <vertAlign val="baseline"/>
        <sz val="11"/>
        <color theme="1"/>
        <name val="Aptos Narrow"/>
        <family val="2"/>
        <scheme val="minor"/>
      </font>
    </dxf>
    <dxf>
      <font>
        <b/>
      </font>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dxf>
    <dxf>
      <font>
        <b/>
      </font>
    </dxf>
    <dxf>
      <font>
        <b/>
      </font>
    </dxf>
  </dxfs>
  <tableStyles count="0" defaultTableStyle="TableStyleMedium2" defaultPivotStyle="PivotStyleLight16"/>
  <colors>
    <mruColors>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8.xml"/><Relationship Id="rId39" Type="http://schemas.microsoft.com/office/2007/relationships/slicerCache" Target="slicerCaches/slicerCache21.xml"/><Relationship Id="rId21" Type="http://schemas.microsoft.com/office/2007/relationships/slicerCache" Target="slicerCaches/slicerCache3.xml"/><Relationship Id="rId34" Type="http://schemas.microsoft.com/office/2007/relationships/slicerCache" Target="slicerCaches/slicerCache16.xml"/><Relationship Id="rId42" Type="http://schemas.microsoft.com/office/2007/relationships/slicerCache" Target="slicerCaches/slicerCache24.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microsoft.com/office/2007/relationships/slicerCache" Target="slicerCaches/slicerCache14.xml"/><Relationship Id="rId37" Type="http://schemas.microsoft.com/office/2007/relationships/slicerCache" Target="slicerCaches/slicerCache19.xml"/><Relationship Id="rId40" Type="http://schemas.microsoft.com/office/2007/relationships/slicerCache" Target="slicerCaches/slicerCache22.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5.xml"/><Relationship Id="rId28" Type="http://schemas.microsoft.com/office/2007/relationships/slicerCache" Target="slicerCaches/slicerCache10.xml"/><Relationship Id="rId36" Type="http://schemas.microsoft.com/office/2007/relationships/slicerCache" Target="slicerCaches/slicerCache18.xml"/><Relationship Id="rId10" Type="http://schemas.openxmlformats.org/officeDocument/2006/relationships/worksheet" Target="worksheets/sheet10.xml"/><Relationship Id="rId19" Type="http://schemas.microsoft.com/office/2007/relationships/slicerCache" Target="slicerCaches/slicerCache1.xml"/><Relationship Id="rId31" Type="http://schemas.microsoft.com/office/2007/relationships/slicerCache" Target="slicerCaches/slicerCache13.xml"/><Relationship Id="rId44" Type="http://schemas.microsoft.com/office/2007/relationships/slicerCache" Target="slicerCaches/slicerCache2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 Id="rId27" Type="http://schemas.microsoft.com/office/2007/relationships/slicerCache" Target="slicerCaches/slicerCache9.xml"/><Relationship Id="rId30" Type="http://schemas.microsoft.com/office/2007/relationships/slicerCache" Target="slicerCaches/slicerCache12.xml"/><Relationship Id="rId35" Type="http://schemas.microsoft.com/office/2007/relationships/slicerCache" Target="slicerCaches/slicerCache17.xml"/><Relationship Id="rId43" Type="http://schemas.microsoft.com/office/2007/relationships/slicerCache" Target="slicerCaches/slicerCache25.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7.xml"/><Relationship Id="rId33" Type="http://schemas.microsoft.com/office/2007/relationships/slicerCache" Target="slicerCaches/slicerCache15.xml"/><Relationship Id="rId38" Type="http://schemas.microsoft.com/office/2007/relationships/slicerCache" Target="slicerCaches/slicerCache20.xml"/><Relationship Id="rId46" Type="http://schemas.openxmlformats.org/officeDocument/2006/relationships/styles" Target="styles.xml"/><Relationship Id="rId20" Type="http://schemas.microsoft.com/office/2007/relationships/slicerCache" Target="slicerCaches/slicerCache2.xml"/><Relationship Id="rId41" Type="http://schemas.microsoft.com/office/2007/relationships/slicerCache" Target="slicerCaches/slicerCache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 Analysis 2025.xlsx]Some High School Level!PivotTable2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none - free/reduced" Lunch"</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'Some High School Level'!$O$6:$O$8</c:f>
              <c:strCache>
                <c:ptCount val="1"/>
                <c:pt idx="0">
                  <c:v>completed - free/reduced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'Some High School Level'!$N$9:$N$24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group A</c:v>
                  </c:pt>
                  <c:pt idx="2">
                    <c:v>group B</c:v>
                  </c:pt>
                  <c:pt idx="4">
                    <c:v>group C</c:v>
                  </c:pt>
                  <c:pt idx="6">
                    <c:v>group D</c:v>
                  </c:pt>
                  <c:pt idx="8">
                    <c:v>group E</c:v>
                  </c:pt>
                </c:lvl>
              </c:multiLvlStrCache>
            </c:multiLvlStrRef>
          </c:cat>
          <c:val>
            <c:numRef>
              <c:f>'Some High School Level'!$O$9:$O$24</c:f>
              <c:numCache>
                <c:formatCode>0</c:formatCode>
                <c:ptCount val="10"/>
                <c:pt idx="1">
                  <c:v>184</c:v>
                </c:pt>
                <c:pt idx="2">
                  <c:v>849</c:v>
                </c:pt>
                <c:pt idx="3">
                  <c:v>151</c:v>
                </c:pt>
                <c:pt idx="4">
                  <c:v>961</c:v>
                </c:pt>
                <c:pt idx="5">
                  <c:v>806</c:v>
                </c:pt>
                <c:pt idx="6">
                  <c:v>555</c:v>
                </c:pt>
                <c:pt idx="7">
                  <c:v>411</c:v>
                </c:pt>
                <c:pt idx="9">
                  <c:v>440</c:v>
                </c:pt>
              </c:numCache>
            </c:numRef>
          </c:val>
          <c:extLst>
            <c:ext xmlns:c16="http://schemas.microsoft.com/office/drawing/2014/chart" uri="{C3380CC4-5D6E-409C-BE32-E72D297353CC}">
              <c16:uniqueId val="{00000000-D85F-430E-908B-E6A94631AC58}"/>
            </c:ext>
          </c:extLst>
        </c:ser>
        <c:ser>
          <c:idx val="1"/>
          <c:order val="1"/>
          <c:tx>
            <c:strRef>
              <c:f>'Some High School Level'!$P$6:$P$8</c:f>
              <c:strCache>
                <c:ptCount val="1"/>
                <c:pt idx="0">
                  <c:v>completed - standard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multiLvlStrRef>
              <c:f>'Some High School Level'!$N$9:$N$24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group A</c:v>
                  </c:pt>
                  <c:pt idx="2">
                    <c:v>group B</c:v>
                  </c:pt>
                  <c:pt idx="4">
                    <c:v>group C</c:v>
                  </c:pt>
                  <c:pt idx="6">
                    <c:v>group D</c:v>
                  </c:pt>
                  <c:pt idx="8">
                    <c:v>group E</c:v>
                  </c:pt>
                </c:lvl>
              </c:multiLvlStrCache>
            </c:multiLvlStrRef>
          </c:cat>
          <c:val>
            <c:numRef>
              <c:f>'Some High School Level'!$P$9:$P$24</c:f>
              <c:numCache>
                <c:formatCode>0</c:formatCode>
                <c:ptCount val="10"/>
                <c:pt idx="0">
                  <c:v>780</c:v>
                </c:pt>
                <c:pt idx="1">
                  <c:v>671</c:v>
                </c:pt>
                <c:pt idx="2">
                  <c:v>933</c:v>
                </c:pt>
                <c:pt idx="3">
                  <c:v>1889</c:v>
                </c:pt>
                <c:pt idx="4">
                  <c:v>1762</c:v>
                </c:pt>
                <c:pt idx="5">
                  <c:v>836</c:v>
                </c:pt>
                <c:pt idx="6">
                  <c:v>1409</c:v>
                </c:pt>
                <c:pt idx="7">
                  <c:v>1797</c:v>
                </c:pt>
                <c:pt idx="8">
                  <c:v>250</c:v>
                </c:pt>
                <c:pt idx="9">
                  <c:v>1333</c:v>
                </c:pt>
              </c:numCache>
            </c:numRef>
          </c:val>
          <c:extLst>
            <c:ext xmlns:c16="http://schemas.microsoft.com/office/drawing/2014/chart" uri="{C3380CC4-5D6E-409C-BE32-E72D297353CC}">
              <c16:uniqueId val="{0000000A-D85F-430E-908B-E6A94631AC58}"/>
            </c:ext>
          </c:extLst>
        </c:ser>
        <c:ser>
          <c:idx val="2"/>
          <c:order val="2"/>
          <c:tx>
            <c:strRef>
              <c:f>'Some High School Level'!$R$6:$R$8</c:f>
              <c:strCache>
                <c:ptCount val="1"/>
                <c:pt idx="0">
                  <c:v>none - free/reduced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multiLvlStrRef>
              <c:f>'Some High School Level'!$N$9:$N$24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group A</c:v>
                  </c:pt>
                  <c:pt idx="2">
                    <c:v>group B</c:v>
                  </c:pt>
                  <c:pt idx="4">
                    <c:v>group C</c:v>
                  </c:pt>
                  <c:pt idx="6">
                    <c:v>group D</c:v>
                  </c:pt>
                  <c:pt idx="8">
                    <c:v>group E</c:v>
                  </c:pt>
                </c:lvl>
              </c:multiLvlStrCache>
            </c:multiLvlStrRef>
          </c:cat>
          <c:val>
            <c:numRef>
              <c:f>'Some High School Level'!$R$9:$R$24</c:f>
              <c:numCache>
                <c:formatCode>0</c:formatCode>
                <c:ptCount val="10"/>
                <c:pt idx="0">
                  <c:v>781</c:v>
                </c:pt>
                <c:pt idx="1">
                  <c:v>871</c:v>
                </c:pt>
                <c:pt idx="2">
                  <c:v>561</c:v>
                </c:pt>
                <c:pt idx="3">
                  <c:v>145</c:v>
                </c:pt>
                <c:pt idx="4">
                  <c:v>1047</c:v>
                </c:pt>
                <c:pt idx="5">
                  <c:v>784</c:v>
                </c:pt>
                <c:pt idx="6">
                  <c:v>656</c:v>
                </c:pt>
                <c:pt idx="7">
                  <c:v>586</c:v>
                </c:pt>
                <c:pt idx="8">
                  <c:v>684</c:v>
                </c:pt>
              </c:numCache>
            </c:numRef>
          </c:val>
          <c:extLst>
            <c:ext xmlns:c16="http://schemas.microsoft.com/office/drawing/2014/chart" uri="{C3380CC4-5D6E-409C-BE32-E72D297353CC}">
              <c16:uniqueId val="{0000000B-D85F-430E-908B-E6A94631AC58}"/>
            </c:ext>
          </c:extLst>
        </c:ser>
        <c:ser>
          <c:idx val="3"/>
          <c:order val="3"/>
          <c:tx>
            <c:strRef>
              <c:f>'Some High School Level'!$S$6:$S$8</c:f>
              <c:strCache>
                <c:ptCount val="1"/>
                <c:pt idx="0">
                  <c:v>none - standard</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multiLvlStrRef>
              <c:f>'Some High School Level'!$N$9:$N$24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group A</c:v>
                  </c:pt>
                  <c:pt idx="2">
                    <c:v>group B</c:v>
                  </c:pt>
                  <c:pt idx="4">
                    <c:v>group C</c:v>
                  </c:pt>
                  <c:pt idx="6">
                    <c:v>group D</c:v>
                  </c:pt>
                  <c:pt idx="8">
                    <c:v>group E</c:v>
                  </c:pt>
                </c:lvl>
              </c:multiLvlStrCache>
            </c:multiLvlStrRef>
          </c:cat>
          <c:val>
            <c:numRef>
              <c:f>'Some High School Level'!$S$9:$S$24</c:f>
              <c:numCache>
                <c:formatCode>0</c:formatCode>
                <c:ptCount val="10"/>
                <c:pt idx="0">
                  <c:v>410</c:v>
                </c:pt>
                <c:pt idx="1">
                  <c:v>613</c:v>
                </c:pt>
                <c:pt idx="2">
                  <c:v>1786</c:v>
                </c:pt>
                <c:pt idx="3">
                  <c:v>1015</c:v>
                </c:pt>
                <c:pt idx="4">
                  <c:v>1660</c:v>
                </c:pt>
                <c:pt idx="5">
                  <c:v>1428</c:v>
                </c:pt>
                <c:pt idx="6">
                  <c:v>2579</c:v>
                </c:pt>
                <c:pt idx="7">
                  <c:v>2299</c:v>
                </c:pt>
                <c:pt idx="8">
                  <c:v>236</c:v>
                </c:pt>
                <c:pt idx="9">
                  <c:v>805</c:v>
                </c:pt>
              </c:numCache>
            </c:numRef>
          </c:val>
          <c:extLst>
            <c:ext xmlns:c16="http://schemas.microsoft.com/office/drawing/2014/chart" uri="{C3380CC4-5D6E-409C-BE32-E72D297353CC}">
              <c16:uniqueId val="{0000000C-D85F-430E-908B-E6A94631AC58}"/>
            </c:ext>
          </c:extLst>
        </c:ser>
        <c:dLbls>
          <c:showLegendKey val="0"/>
          <c:showVal val="0"/>
          <c:showCatName val="0"/>
          <c:showSerName val="0"/>
          <c:showPercent val="0"/>
          <c:showBubbleSize val="0"/>
        </c:dLbls>
        <c:gapWidth val="150"/>
        <c:overlap val="100"/>
        <c:axId val="276604032"/>
        <c:axId val="276603552"/>
      </c:barChart>
      <c:catAx>
        <c:axId val="2766040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6603552"/>
        <c:crosses val="autoZero"/>
        <c:auto val="1"/>
        <c:lblAlgn val="ctr"/>
        <c:lblOffset val="100"/>
        <c:noMultiLvlLbl val="0"/>
      </c:catAx>
      <c:valAx>
        <c:axId val="2766035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7660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 Analysis 2025.xlsx]Some High School Level!PivotTable2</c:name>
    <c:fmtId val="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'Some High School Level'!$O$6:$O$8</c:f>
              <c:strCache>
                <c:ptCount val="1"/>
                <c:pt idx="0">
                  <c:v>completed - free/reduced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'Some High School Level'!$N$9:$N$24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group A</c:v>
                  </c:pt>
                  <c:pt idx="2">
                    <c:v>group B</c:v>
                  </c:pt>
                  <c:pt idx="4">
                    <c:v>group C</c:v>
                  </c:pt>
                  <c:pt idx="6">
                    <c:v>group D</c:v>
                  </c:pt>
                  <c:pt idx="8">
                    <c:v>group E</c:v>
                  </c:pt>
                </c:lvl>
              </c:multiLvlStrCache>
            </c:multiLvlStrRef>
          </c:cat>
          <c:val>
            <c:numRef>
              <c:f>'Some High School Level'!$O$9:$O$24</c:f>
              <c:numCache>
                <c:formatCode>0</c:formatCode>
                <c:ptCount val="10"/>
                <c:pt idx="1">
                  <c:v>184</c:v>
                </c:pt>
                <c:pt idx="2">
                  <c:v>849</c:v>
                </c:pt>
                <c:pt idx="3">
                  <c:v>151</c:v>
                </c:pt>
                <c:pt idx="4">
                  <c:v>961</c:v>
                </c:pt>
                <c:pt idx="5">
                  <c:v>806</c:v>
                </c:pt>
                <c:pt idx="6">
                  <c:v>555</c:v>
                </c:pt>
                <c:pt idx="7">
                  <c:v>411</c:v>
                </c:pt>
                <c:pt idx="9">
                  <c:v>440</c:v>
                </c:pt>
              </c:numCache>
            </c:numRef>
          </c:val>
          <c:smooth val="0"/>
          <c:extLst>
            <c:ext xmlns:c16="http://schemas.microsoft.com/office/drawing/2014/chart" uri="{C3380CC4-5D6E-409C-BE32-E72D297353CC}">
              <c16:uniqueId val="{00000000-BBC3-4349-915A-A0B165560191}"/>
            </c:ext>
          </c:extLst>
        </c:ser>
        <c:ser>
          <c:idx val="1"/>
          <c:order val="1"/>
          <c:tx>
            <c:strRef>
              <c:f>'Some High School Level'!$P$6:$P$8</c:f>
              <c:strCache>
                <c:ptCount val="1"/>
                <c:pt idx="0">
                  <c:v>completed - standard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'Some High School Level'!$N$9:$N$24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group A</c:v>
                  </c:pt>
                  <c:pt idx="2">
                    <c:v>group B</c:v>
                  </c:pt>
                  <c:pt idx="4">
                    <c:v>group C</c:v>
                  </c:pt>
                  <c:pt idx="6">
                    <c:v>group D</c:v>
                  </c:pt>
                  <c:pt idx="8">
                    <c:v>group E</c:v>
                  </c:pt>
                </c:lvl>
              </c:multiLvlStrCache>
            </c:multiLvlStrRef>
          </c:cat>
          <c:val>
            <c:numRef>
              <c:f>'Some High School Level'!$P$9:$P$24</c:f>
              <c:numCache>
                <c:formatCode>0</c:formatCode>
                <c:ptCount val="10"/>
                <c:pt idx="0">
                  <c:v>780</c:v>
                </c:pt>
                <c:pt idx="1">
                  <c:v>671</c:v>
                </c:pt>
                <c:pt idx="2">
                  <c:v>933</c:v>
                </c:pt>
                <c:pt idx="3">
                  <c:v>1889</c:v>
                </c:pt>
                <c:pt idx="4">
                  <c:v>1762</c:v>
                </c:pt>
                <c:pt idx="5">
                  <c:v>836</c:v>
                </c:pt>
                <c:pt idx="6">
                  <c:v>1409</c:v>
                </c:pt>
                <c:pt idx="7">
                  <c:v>1797</c:v>
                </c:pt>
                <c:pt idx="8">
                  <c:v>250</c:v>
                </c:pt>
                <c:pt idx="9">
                  <c:v>1333</c:v>
                </c:pt>
              </c:numCache>
            </c:numRef>
          </c:val>
          <c:smooth val="0"/>
          <c:extLst>
            <c:ext xmlns:c16="http://schemas.microsoft.com/office/drawing/2014/chart" uri="{C3380CC4-5D6E-409C-BE32-E72D297353CC}">
              <c16:uniqueId val="{00000005-BBC3-4349-915A-A0B165560191}"/>
            </c:ext>
          </c:extLst>
        </c:ser>
        <c:ser>
          <c:idx val="2"/>
          <c:order val="2"/>
          <c:tx>
            <c:strRef>
              <c:f>'Some High School Level'!$R$6:$R$8</c:f>
              <c:strCache>
                <c:ptCount val="1"/>
                <c:pt idx="0">
                  <c:v>none - free/reduced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'Some High School Level'!$N$9:$N$24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group A</c:v>
                  </c:pt>
                  <c:pt idx="2">
                    <c:v>group B</c:v>
                  </c:pt>
                  <c:pt idx="4">
                    <c:v>group C</c:v>
                  </c:pt>
                  <c:pt idx="6">
                    <c:v>group D</c:v>
                  </c:pt>
                  <c:pt idx="8">
                    <c:v>group E</c:v>
                  </c:pt>
                </c:lvl>
              </c:multiLvlStrCache>
            </c:multiLvlStrRef>
          </c:cat>
          <c:val>
            <c:numRef>
              <c:f>'Some High School Level'!$R$9:$R$24</c:f>
              <c:numCache>
                <c:formatCode>0</c:formatCode>
                <c:ptCount val="10"/>
                <c:pt idx="0">
                  <c:v>781</c:v>
                </c:pt>
                <c:pt idx="1">
                  <c:v>871</c:v>
                </c:pt>
                <c:pt idx="2">
                  <c:v>561</c:v>
                </c:pt>
                <c:pt idx="3">
                  <c:v>145</c:v>
                </c:pt>
                <c:pt idx="4">
                  <c:v>1047</c:v>
                </c:pt>
                <c:pt idx="5">
                  <c:v>784</c:v>
                </c:pt>
                <c:pt idx="6">
                  <c:v>656</c:v>
                </c:pt>
                <c:pt idx="7">
                  <c:v>586</c:v>
                </c:pt>
                <c:pt idx="8">
                  <c:v>684</c:v>
                </c:pt>
              </c:numCache>
            </c:numRef>
          </c:val>
          <c:smooth val="0"/>
          <c:extLst>
            <c:ext xmlns:c16="http://schemas.microsoft.com/office/drawing/2014/chart" uri="{C3380CC4-5D6E-409C-BE32-E72D297353CC}">
              <c16:uniqueId val="{00000006-BBC3-4349-915A-A0B165560191}"/>
            </c:ext>
          </c:extLst>
        </c:ser>
        <c:ser>
          <c:idx val="3"/>
          <c:order val="3"/>
          <c:tx>
            <c:strRef>
              <c:f>'Some High School Level'!$S$6:$S$8</c:f>
              <c:strCache>
                <c:ptCount val="1"/>
                <c:pt idx="0">
                  <c:v>none - standard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'Some High School Level'!$N$9:$N$24</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group A</c:v>
                  </c:pt>
                  <c:pt idx="2">
                    <c:v>group B</c:v>
                  </c:pt>
                  <c:pt idx="4">
                    <c:v>group C</c:v>
                  </c:pt>
                  <c:pt idx="6">
                    <c:v>group D</c:v>
                  </c:pt>
                  <c:pt idx="8">
                    <c:v>group E</c:v>
                  </c:pt>
                </c:lvl>
              </c:multiLvlStrCache>
            </c:multiLvlStrRef>
          </c:cat>
          <c:val>
            <c:numRef>
              <c:f>'Some High School Level'!$S$9:$S$24</c:f>
              <c:numCache>
                <c:formatCode>0</c:formatCode>
                <c:ptCount val="10"/>
                <c:pt idx="0">
                  <c:v>410</c:v>
                </c:pt>
                <c:pt idx="1">
                  <c:v>613</c:v>
                </c:pt>
                <c:pt idx="2">
                  <c:v>1786</c:v>
                </c:pt>
                <c:pt idx="3">
                  <c:v>1015</c:v>
                </c:pt>
                <c:pt idx="4">
                  <c:v>1660</c:v>
                </c:pt>
                <c:pt idx="5">
                  <c:v>1428</c:v>
                </c:pt>
                <c:pt idx="6">
                  <c:v>2579</c:v>
                </c:pt>
                <c:pt idx="7">
                  <c:v>2299</c:v>
                </c:pt>
                <c:pt idx="8">
                  <c:v>236</c:v>
                </c:pt>
                <c:pt idx="9">
                  <c:v>805</c:v>
                </c:pt>
              </c:numCache>
            </c:numRef>
          </c:val>
          <c:smooth val="0"/>
          <c:extLst>
            <c:ext xmlns:c16="http://schemas.microsoft.com/office/drawing/2014/chart" uri="{C3380CC4-5D6E-409C-BE32-E72D297353CC}">
              <c16:uniqueId val="{00000007-BBC3-4349-915A-A0B165560191}"/>
            </c:ext>
          </c:extLst>
        </c:ser>
        <c:dLbls>
          <c:showLegendKey val="0"/>
          <c:showVal val="0"/>
          <c:showCatName val="0"/>
          <c:showSerName val="0"/>
          <c:showPercent val="0"/>
          <c:showBubbleSize val="0"/>
        </c:dLbls>
        <c:marker val="1"/>
        <c:smooth val="0"/>
        <c:axId val="697175264"/>
        <c:axId val="697168064"/>
      </c:lineChart>
      <c:catAx>
        <c:axId val="69717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68064"/>
        <c:crosses val="autoZero"/>
        <c:auto val="1"/>
        <c:lblAlgn val="ctr"/>
        <c:lblOffset val="100"/>
        <c:noMultiLvlLbl val="0"/>
      </c:catAx>
      <c:valAx>
        <c:axId val="6971680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7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[StudentsPerformance Analysis 2025.xlsx]Some Collage!PivotTable2</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Test</a:t>
            </a:r>
            <a:r>
              <a:rPr lang="en-US" baseline="0"/>
              <a:t> preparation Distribution</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'Some Collage'!$M$6</c:f>
              <c:strCache>
                <c:ptCount val="1"/>
                <c:pt idx="0">
                  <c:v>Sum of Total Score</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'Some Collage'!$L$7:$L$22</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group A</c:v>
                  </c:pt>
                  <c:pt idx="2">
                    <c:v>group B</c:v>
                  </c:pt>
                  <c:pt idx="4">
                    <c:v>group C</c:v>
                  </c:pt>
                  <c:pt idx="6">
                    <c:v>group D</c:v>
                  </c:pt>
                  <c:pt idx="8">
                    <c:v>group E</c:v>
                  </c:pt>
                </c:lvl>
              </c:multiLvlStrCache>
            </c:multiLvlStrRef>
          </c:cat>
          <c:val>
            <c:numRef>
              <c:f>'Some Collage'!$M$7:$M$22</c:f>
              <c:numCache>
                <c:formatCode>General</c:formatCode>
                <c:ptCount val="10"/>
                <c:pt idx="0">
                  <c:v>1628</c:v>
                </c:pt>
                <c:pt idx="1">
                  <c:v>1876</c:v>
                </c:pt>
                <c:pt idx="2">
                  <c:v>2991</c:v>
                </c:pt>
                <c:pt idx="3">
                  <c:v>4155</c:v>
                </c:pt>
                <c:pt idx="4">
                  <c:v>9243</c:v>
                </c:pt>
                <c:pt idx="5">
                  <c:v>4793</c:v>
                </c:pt>
                <c:pt idx="6">
                  <c:v>7763</c:v>
                </c:pt>
                <c:pt idx="7">
                  <c:v>6395</c:v>
                </c:pt>
                <c:pt idx="8">
                  <c:v>3510</c:v>
                </c:pt>
                <c:pt idx="9">
                  <c:v>4073</c:v>
                </c:pt>
              </c:numCache>
            </c:numRef>
          </c:val>
          <c:extLst>
            <c:ext xmlns:c16="http://schemas.microsoft.com/office/drawing/2014/chart" uri="{C3380CC4-5D6E-409C-BE32-E72D297353CC}">
              <c16:uniqueId val="{00000000-11F0-44CE-97E0-782BBEFC2DA1}"/>
            </c:ext>
          </c:extLst>
        </c:ser>
        <c:ser>
          <c:idx val="1"/>
          <c:order val="1"/>
          <c:tx>
            <c:strRef>
              <c:f>'Some Collage'!$N$6</c:f>
              <c:strCache>
                <c:ptCount val="1"/>
                <c:pt idx="0">
                  <c:v>Count of Test prep</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'Some Collage'!$L$7:$L$22</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group A</c:v>
                  </c:pt>
                  <c:pt idx="2">
                    <c:v>group B</c:v>
                  </c:pt>
                  <c:pt idx="4">
                    <c:v>group C</c:v>
                  </c:pt>
                  <c:pt idx="6">
                    <c:v>group D</c:v>
                  </c:pt>
                  <c:pt idx="8">
                    <c:v>group E</c:v>
                  </c:pt>
                </c:lvl>
              </c:multiLvlStrCache>
            </c:multiLvlStrRef>
          </c:cat>
          <c:val>
            <c:numRef>
              <c:f>'Some Collage'!$N$7:$N$22</c:f>
              <c:numCache>
                <c:formatCode>General</c:formatCode>
                <c:ptCount val="10"/>
                <c:pt idx="0">
                  <c:v>8</c:v>
                </c:pt>
                <c:pt idx="1">
                  <c:v>10</c:v>
                </c:pt>
                <c:pt idx="2">
                  <c:v>15</c:v>
                </c:pt>
                <c:pt idx="3">
                  <c:v>22</c:v>
                </c:pt>
                <c:pt idx="4">
                  <c:v>44</c:v>
                </c:pt>
                <c:pt idx="5">
                  <c:v>25</c:v>
                </c:pt>
                <c:pt idx="6">
                  <c:v>35</c:v>
                </c:pt>
                <c:pt idx="7">
                  <c:v>32</c:v>
                </c:pt>
                <c:pt idx="8">
                  <c:v>16</c:v>
                </c:pt>
                <c:pt idx="9">
                  <c:v>19</c:v>
                </c:pt>
              </c:numCache>
            </c:numRef>
          </c:val>
          <c:extLst>
            <c:ext xmlns:c16="http://schemas.microsoft.com/office/drawing/2014/chart" uri="{C3380CC4-5D6E-409C-BE32-E72D297353CC}">
              <c16:uniqueId val="{00000001-11F0-44CE-97E0-782BBEFC2DA1}"/>
            </c:ext>
          </c:extLst>
        </c:ser>
        <c:dLbls>
          <c:showLegendKey val="0"/>
          <c:showVal val="1"/>
          <c:showCatName val="0"/>
          <c:showSerName val="0"/>
          <c:showPercent val="0"/>
          <c:showBubbleSize val="0"/>
        </c:dLbls>
        <c:gapWidth val="75"/>
        <c:overlap val="100"/>
        <c:axId val="1068463744"/>
        <c:axId val="1068465184"/>
      </c:barChart>
      <c:catAx>
        <c:axId val="106846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68465184"/>
        <c:crosses val="autoZero"/>
        <c:auto val="1"/>
        <c:lblAlgn val="ctr"/>
        <c:lblOffset val="100"/>
        <c:noMultiLvlLbl val="0"/>
      </c:catAx>
      <c:valAx>
        <c:axId val="1068465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463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[StudentsPerformance Analysis 2025.xlsx]Some Collage!PivotTable2</c:name>
    <c:fmtId val="8"/>
  </c:pivotSource>
  <c:chart>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'Some Collage'!$M$6</c:f>
              <c:strCache>
                <c:ptCount val="1"/>
                <c:pt idx="0">
                  <c:v>Sum of Total Score</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'Some Collage'!$L$7:$L$22</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group A</c:v>
                  </c:pt>
                  <c:pt idx="2">
                    <c:v>group B</c:v>
                  </c:pt>
                  <c:pt idx="4">
                    <c:v>group C</c:v>
                  </c:pt>
                  <c:pt idx="6">
                    <c:v>group D</c:v>
                  </c:pt>
                  <c:pt idx="8">
                    <c:v>group E</c:v>
                  </c:pt>
                </c:lvl>
              </c:multiLvlStrCache>
            </c:multiLvlStrRef>
          </c:cat>
          <c:val>
            <c:numRef>
              <c:f>'Some Collage'!$M$7:$M$22</c:f>
              <c:numCache>
                <c:formatCode>General</c:formatCode>
                <c:ptCount val="10"/>
                <c:pt idx="0">
                  <c:v>1628</c:v>
                </c:pt>
                <c:pt idx="1">
                  <c:v>1876</c:v>
                </c:pt>
                <c:pt idx="2">
                  <c:v>2991</c:v>
                </c:pt>
                <c:pt idx="3">
                  <c:v>4155</c:v>
                </c:pt>
                <c:pt idx="4">
                  <c:v>9243</c:v>
                </c:pt>
                <c:pt idx="5">
                  <c:v>4793</c:v>
                </c:pt>
                <c:pt idx="6">
                  <c:v>7763</c:v>
                </c:pt>
                <c:pt idx="7">
                  <c:v>6395</c:v>
                </c:pt>
                <c:pt idx="8">
                  <c:v>3510</c:v>
                </c:pt>
                <c:pt idx="9">
                  <c:v>4073</c:v>
                </c:pt>
              </c:numCache>
            </c:numRef>
          </c:val>
          <c:extLst>
            <c:ext xmlns:c16="http://schemas.microsoft.com/office/drawing/2014/chart" uri="{C3380CC4-5D6E-409C-BE32-E72D297353CC}">
              <c16:uniqueId val="{00000000-D7E7-47EB-B345-EE2BB4CFC7F7}"/>
            </c:ext>
          </c:extLst>
        </c:ser>
        <c:ser>
          <c:idx val="1"/>
          <c:order val="1"/>
          <c:tx>
            <c:strRef>
              <c:f>'Some Collage'!$N$6</c:f>
              <c:strCache>
                <c:ptCount val="1"/>
                <c:pt idx="0">
                  <c:v>Count of Test prep</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'Some Collage'!$L$7:$L$22</c:f>
              <c:multiLvlStrCache>
                <c:ptCount val="10"/>
                <c:lvl>
                  <c:pt idx="0">
                    <c:v>female</c:v>
                  </c:pt>
                  <c:pt idx="1">
                    <c:v>male</c:v>
                  </c:pt>
                  <c:pt idx="2">
                    <c:v>female</c:v>
                  </c:pt>
                  <c:pt idx="3">
                    <c:v>male</c:v>
                  </c:pt>
                  <c:pt idx="4">
                    <c:v>female</c:v>
                  </c:pt>
                  <c:pt idx="5">
                    <c:v>male</c:v>
                  </c:pt>
                  <c:pt idx="6">
                    <c:v>female</c:v>
                  </c:pt>
                  <c:pt idx="7">
                    <c:v>male</c:v>
                  </c:pt>
                  <c:pt idx="8">
                    <c:v>female</c:v>
                  </c:pt>
                  <c:pt idx="9">
                    <c:v>male</c:v>
                  </c:pt>
                </c:lvl>
                <c:lvl>
                  <c:pt idx="0">
                    <c:v>group A</c:v>
                  </c:pt>
                  <c:pt idx="2">
                    <c:v>group B</c:v>
                  </c:pt>
                  <c:pt idx="4">
                    <c:v>group C</c:v>
                  </c:pt>
                  <c:pt idx="6">
                    <c:v>group D</c:v>
                  </c:pt>
                  <c:pt idx="8">
                    <c:v>group E</c:v>
                  </c:pt>
                </c:lvl>
              </c:multiLvlStrCache>
            </c:multiLvlStrRef>
          </c:cat>
          <c:val>
            <c:numRef>
              <c:f>'Some Collage'!$N$7:$N$22</c:f>
              <c:numCache>
                <c:formatCode>General</c:formatCode>
                <c:ptCount val="10"/>
                <c:pt idx="0">
                  <c:v>8</c:v>
                </c:pt>
                <c:pt idx="1">
                  <c:v>10</c:v>
                </c:pt>
                <c:pt idx="2">
                  <c:v>15</c:v>
                </c:pt>
                <c:pt idx="3">
                  <c:v>22</c:v>
                </c:pt>
                <c:pt idx="4">
                  <c:v>44</c:v>
                </c:pt>
                <c:pt idx="5">
                  <c:v>25</c:v>
                </c:pt>
                <c:pt idx="6">
                  <c:v>35</c:v>
                </c:pt>
                <c:pt idx="7">
                  <c:v>32</c:v>
                </c:pt>
                <c:pt idx="8">
                  <c:v>16</c:v>
                </c:pt>
                <c:pt idx="9">
                  <c:v>19</c:v>
                </c:pt>
              </c:numCache>
            </c:numRef>
          </c:val>
          <c:extLst>
            <c:ext xmlns:c16="http://schemas.microsoft.com/office/drawing/2014/chart" uri="{C3380CC4-5D6E-409C-BE32-E72D297353CC}">
              <c16:uniqueId val="{00000001-D7E7-47EB-B345-EE2BB4CFC7F7}"/>
            </c:ext>
          </c:extLst>
        </c:ser>
        <c:dLbls>
          <c:showLegendKey val="0"/>
          <c:showVal val="1"/>
          <c:showCatName val="0"/>
          <c:showSerName val="0"/>
          <c:showPercent val="0"/>
          <c:showBubbleSize val="0"/>
        </c:dLbls>
        <c:gapWidth val="100"/>
        <c:axId val="2017026672"/>
        <c:axId val="2017027152"/>
      </c:barChart>
      <c:catAx>
        <c:axId val="20170266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7027152"/>
        <c:crosses val="autoZero"/>
        <c:auto val="1"/>
        <c:lblAlgn val="ctr"/>
        <c:lblOffset val="100"/>
        <c:noMultiLvlLbl val="0"/>
      </c:catAx>
      <c:valAx>
        <c:axId val="2017027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17026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 Analysis 2025.xlsx]Associate's Degree!PivotTable66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Insight</a:t>
            </a:r>
            <a:r>
              <a:rPr lang="en-US" baseline="0"/>
              <a:t> Grading  Distribution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11030217211251E-2"/>
          <c:y val="4.5704048086139398E-2"/>
          <c:w val="0.73481110023739737"/>
          <c:h val="0.6778408906955411"/>
        </c:manualLayout>
      </c:layout>
      <c:barChart>
        <c:barDir val="col"/>
        <c:grouping val="stacked"/>
        <c:varyColors val="0"/>
        <c:ser>
          <c:idx val="0"/>
          <c:order val="0"/>
          <c:tx>
            <c:strRef>
              <c:f>'Associate''s Degree'!$K$1:$K$3</c:f>
              <c:strCache>
                <c:ptCount val="1"/>
                <c:pt idx="0">
                  <c:v>free/reduced - female</c:v>
                </c:pt>
              </c:strCache>
            </c:strRef>
          </c:tx>
          <c:spPr>
            <a:solidFill>
              <a:schemeClr val="accent1"/>
            </a:solidFill>
            <a:ln>
              <a:noFill/>
            </a:ln>
            <a:effectLst/>
          </c:spPr>
          <c:invertIfNegative val="0"/>
          <c:cat>
            <c:multiLvlStrRef>
              <c:f>'Associate''s Degree'!$J$4:$J$34</c:f>
              <c:multiLvlStrCache>
                <c:ptCount val="25"/>
                <c:lvl>
                  <c:pt idx="0">
                    <c:v>A</c:v>
                  </c:pt>
                  <c:pt idx="1">
                    <c:v>B</c:v>
                  </c:pt>
                  <c:pt idx="2">
                    <c:v>C</c:v>
                  </c:pt>
                  <c:pt idx="3">
                    <c:v>F</c:v>
                  </c:pt>
                  <c:pt idx="4">
                    <c:v>P</c:v>
                  </c:pt>
                  <c:pt idx="5">
                    <c:v>A</c:v>
                  </c:pt>
                  <c:pt idx="6">
                    <c:v>B</c:v>
                  </c:pt>
                  <c:pt idx="7">
                    <c:v>C</c:v>
                  </c:pt>
                  <c:pt idx="8">
                    <c:v>F</c:v>
                  </c:pt>
                  <c:pt idx="9">
                    <c:v>P</c:v>
                  </c:pt>
                  <c:pt idx="10">
                    <c:v>A</c:v>
                  </c:pt>
                  <c:pt idx="11">
                    <c:v>B</c:v>
                  </c:pt>
                  <c:pt idx="12">
                    <c:v>C</c:v>
                  </c:pt>
                  <c:pt idx="13">
                    <c:v>F</c:v>
                  </c:pt>
                  <c:pt idx="14">
                    <c:v>P</c:v>
                  </c:pt>
                  <c:pt idx="15">
                    <c:v>A</c:v>
                  </c:pt>
                  <c:pt idx="16">
                    <c:v>B</c:v>
                  </c:pt>
                  <c:pt idx="17">
                    <c:v>C</c:v>
                  </c:pt>
                  <c:pt idx="18">
                    <c:v>F</c:v>
                  </c:pt>
                  <c:pt idx="19">
                    <c:v>P</c:v>
                  </c:pt>
                  <c:pt idx="20">
                    <c:v>A</c:v>
                  </c:pt>
                  <c:pt idx="21">
                    <c:v>B</c:v>
                  </c:pt>
                  <c:pt idx="22">
                    <c:v>C</c:v>
                  </c:pt>
                  <c:pt idx="23">
                    <c:v>F</c:v>
                  </c:pt>
                  <c:pt idx="24">
                    <c:v>P</c:v>
                  </c:pt>
                </c:lvl>
                <c:lvl>
                  <c:pt idx="0">
                    <c:v>group A</c:v>
                  </c:pt>
                  <c:pt idx="5">
                    <c:v>group B</c:v>
                  </c:pt>
                  <c:pt idx="10">
                    <c:v>group C</c:v>
                  </c:pt>
                  <c:pt idx="15">
                    <c:v>group D</c:v>
                  </c:pt>
                  <c:pt idx="20">
                    <c:v>group E</c:v>
                  </c:pt>
                </c:lvl>
              </c:multiLvlStrCache>
            </c:multiLvlStrRef>
          </c:cat>
          <c:val>
            <c:numRef>
              <c:f>'Associate''s Degree'!$K$4:$K$34</c:f>
              <c:numCache>
                <c:formatCode>General</c:formatCode>
                <c:ptCount val="25"/>
                <c:pt idx="2">
                  <c:v>226</c:v>
                </c:pt>
                <c:pt idx="3">
                  <c:v>290</c:v>
                </c:pt>
                <c:pt idx="6">
                  <c:v>257</c:v>
                </c:pt>
                <c:pt idx="7">
                  <c:v>225</c:v>
                </c:pt>
                <c:pt idx="8">
                  <c:v>162</c:v>
                </c:pt>
                <c:pt idx="9">
                  <c:v>766</c:v>
                </c:pt>
                <c:pt idx="11">
                  <c:v>268</c:v>
                </c:pt>
                <c:pt idx="12">
                  <c:v>216</c:v>
                </c:pt>
                <c:pt idx="13">
                  <c:v>349</c:v>
                </c:pt>
                <c:pt idx="14">
                  <c:v>1014</c:v>
                </c:pt>
                <c:pt idx="16">
                  <c:v>769</c:v>
                </c:pt>
                <c:pt idx="18">
                  <c:v>901</c:v>
                </c:pt>
                <c:pt idx="19">
                  <c:v>598</c:v>
                </c:pt>
                <c:pt idx="21">
                  <c:v>257</c:v>
                </c:pt>
                <c:pt idx="22">
                  <c:v>462</c:v>
                </c:pt>
                <c:pt idx="23">
                  <c:v>160</c:v>
                </c:pt>
                <c:pt idx="24">
                  <c:v>198</c:v>
                </c:pt>
              </c:numCache>
            </c:numRef>
          </c:val>
          <c:extLst>
            <c:ext xmlns:c16="http://schemas.microsoft.com/office/drawing/2014/chart" uri="{C3380CC4-5D6E-409C-BE32-E72D297353CC}">
              <c16:uniqueId val="{00000000-BF4A-4EAD-B22B-A1292C47D5A0}"/>
            </c:ext>
          </c:extLst>
        </c:ser>
        <c:ser>
          <c:idx val="1"/>
          <c:order val="1"/>
          <c:tx>
            <c:strRef>
              <c:f>'Associate''s Degree'!$L$1:$L$3</c:f>
              <c:strCache>
                <c:ptCount val="1"/>
                <c:pt idx="0">
                  <c:v>free/reduced - male</c:v>
                </c:pt>
              </c:strCache>
            </c:strRef>
          </c:tx>
          <c:spPr>
            <a:solidFill>
              <a:schemeClr val="accent2"/>
            </a:solidFill>
            <a:ln>
              <a:noFill/>
            </a:ln>
            <a:effectLst/>
          </c:spPr>
          <c:invertIfNegative val="0"/>
          <c:cat>
            <c:multiLvlStrRef>
              <c:f>'Associate''s Degree'!$J$4:$J$34</c:f>
              <c:multiLvlStrCache>
                <c:ptCount val="25"/>
                <c:lvl>
                  <c:pt idx="0">
                    <c:v>A</c:v>
                  </c:pt>
                  <c:pt idx="1">
                    <c:v>B</c:v>
                  </c:pt>
                  <c:pt idx="2">
                    <c:v>C</c:v>
                  </c:pt>
                  <c:pt idx="3">
                    <c:v>F</c:v>
                  </c:pt>
                  <c:pt idx="4">
                    <c:v>P</c:v>
                  </c:pt>
                  <c:pt idx="5">
                    <c:v>A</c:v>
                  </c:pt>
                  <c:pt idx="6">
                    <c:v>B</c:v>
                  </c:pt>
                  <c:pt idx="7">
                    <c:v>C</c:v>
                  </c:pt>
                  <c:pt idx="8">
                    <c:v>F</c:v>
                  </c:pt>
                  <c:pt idx="9">
                    <c:v>P</c:v>
                  </c:pt>
                  <c:pt idx="10">
                    <c:v>A</c:v>
                  </c:pt>
                  <c:pt idx="11">
                    <c:v>B</c:v>
                  </c:pt>
                  <c:pt idx="12">
                    <c:v>C</c:v>
                  </c:pt>
                  <c:pt idx="13">
                    <c:v>F</c:v>
                  </c:pt>
                  <c:pt idx="14">
                    <c:v>P</c:v>
                  </c:pt>
                  <c:pt idx="15">
                    <c:v>A</c:v>
                  </c:pt>
                  <c:pt idx="16">
                    <c:v>B</c:v>
                  </c:pt>
                  <c:pt idx="17">
                    <c:v>C</c:v>
                  </c:pt>
                  <c:pt idx="18">
                    <c:v>F</c:v>
                  </c:pt>
                  <c:pt idx="19">
                    <c:v>P</c:v>
                  </c:pt>
                  <c:pt idx="20">
                    <c:v>A</c:v>
                  </c:pt>
                  <c:pt idx="21">
                    <c:v>B</c:v>
                  </c:pt>
                  <c:pt idx="22">
                    <c:v>C</c:v>
                  </c:pt>
                  <c:pt idx="23">
                    <c:v>F</c:v>
                  </c:pt>
                  <c:pt idx="24">
                    <c:v>P</c:v>
                  </c:pt>
                </c:lvl>
                <c:lvl>
                  <c:pt idx="0">
                    <c:v>group A</c:v>
                  </c:pt>
                  <c:pt idx="5">
                    <c:v>group B</c:v>
                  </c:pt>
                  <c:pt idx="10">
                    <c:v>group C</c:v>
                  </c:pt>
                  <c:pt idx="15">
                    <c:v>group D</c:v>
                  </c:pt>
                  <c:pt idx="20">
                    <c:v>group E</c:v>
                  </c:pt>
                </c:lvl>
              </c:multiLvlStrCache>
            </c:multiLvlStrRef>
          </c:cat>
          <c:val>
            <c:numRef>
              <c:f>'Associate''s Degree'!$L$4:$L$34</c:f>
              <c:numCache>
                <c:formatCode>General</c:formatCode>
                <c:ptCount val="25"/>
                <c:pt idx="1">
                  <c:v>243</c:v>
                </c:pt>
                <c:pt idx="3">
                  <c:v>474</c:v>
                </c:pt>
                <c:pt idx="7">
                  <c:v>234</c:v>
                </c:pt>
                <c:pt idx="8">
                  <c:v>636</c:v>
                </c:pt>
                <c:pt idx="9">
                  <c:v>391</c:v>
                </c:pt>
                <c:pt idx="11">
                  <c:v>241</c:v>
                </c:pt>
                <c:pt idx="12">
                  <c:v>232</c:v>
                </c:pt>
                <c:pt idx="13">
                  <c:v>792</c:v>
                </c:pt>
                <c:pt idx="14">
                  <c:v>1201</c:v>
                </c:pt>
                <c:pt idx="16">
                  <c:v>493</c:v>
                </c:pt>
                <c:pt idx="17">
                  <c:v>676</c:v>
                </c:pt>
                <c:pt idx="18">
                  <c:v>314</c:v>
                </c:pt>
                <c:pt idx="19">
                  <c:v>397</c:v>
                </c:pt>
                <c:pt idx="20">
                  <c:v>293</c:v>
                </c:pt>
                <c:pt idx="21">
                  <c:v>506</c:v>
                </c:pt>
                <c:pt idx="22">
                  <c:v>438</c:v>
                </c:pt>
                <c:pt idx="23">
                  <c:v>435</c:v>
                </c:pt>
              </c:numCache>
            </c:numRef>
          </c:val>
          <c:extLst>
            <c:ext xmlns:c16="http://schemas.microsoft.com/office/drawing/2014/chart" uri="{C3380CC4-5D6E-409C-BE32-E72D297353CC}">
              <c16:uniqueId val="{00000001-BF4A-4EAD-B22B-A1292C47D5A0}"/>
            </c:ext>
          </c:extLst>
        </c:ser>
        <c:ser>
          <c:idx val="2"/>
          <c:order val="2"/>
          <c:tx>
            <c:strRef>
              <c:f>'Associate''s Degree'!$N$1:$N$3</c:f>
              <c:strCache>
                <c:ptCount val="1"/>
                <c:pt idx="0">
                  <c:v>standard - female</c:v>
                </c:pt>
              </c:strCache>
            </c:strRef>
          </c:tx>
          <c:spPr>
            <a:solidFill>
              <a:schemeClr val="accent3"/>
            </a:solidFill>
            <a:ln>
              <a:noFill/>
            </a:ln>
            <a:effectLst/>
          </c:spPr>
          <c:invertIfNegative val="0"/>
          <c:cat>
            <c:multiLvlStrRef>
              <c:f>'Associate''s Degree'!$J$4:$J$34</c:f>
              <c:multiLvlStrCache>
                <c:ptCount val="25"/>
                <c:lvl>
                  <c:pt idx="0">
                    <c:v>A</c:v>
                  </c:pt>
                  <c:pt idx="1">
                    <c:v>B</c:v>
                  </c:pt>
                  <c:pt idx="2">
                    <c:v>C</c:v>
                  </c:pt>
                  <c:pt idx="3">
                    <c:v>F</c:v>
                  </c:pt>
                  <c:pt idx="4">
                    <c:v>P</c:v>
                  </c:pt>
                  <c:pt idx="5">
                    <c:v>A</c:v>
                  </c:pt>
                  <c:pt idx="6">
                    <c:v>B</c:v>
                  </c:pt>
                  <c:pt idx="7">
                    <c:v>C</c:v>
                  </c:pt>
                  <c:pt idx="8">
                    <c:v>F</c:v>
                  </c:pt>
                  <c:pt idx="9">
                    <c:v>P</c:v>
                  </c:pt>
                  <c:pt idx="10">
                    <c:v>A</c:v>
                  </c:pt>
                  <c:pt idx="11">
                    <c:v>B</c:v>
                  </c:pt>
                  <c:pt idx="12">
                    <c:v>C</c:v>
                  </c:pt>
                  <c:pt idx="13">
                    <c:v>F</c:v>
                  </c:pt>
                  <c:pt idx="14">
                    <c:v>P</c:v>
                  </c:pt>
                  <c:pt idx="15">
                    <c:v>A</c:v>
                  </c:pt>
                  <c:pt idx="16">
                    <c:v>B</c:v>
                  </c:pt>
                  <c:pt idx="17">
                    <c:v>C</c:v>
                  </c:pt>
                  <c:pt idx="18">
                    <c:v>F</c:v>
                  </c:pt>
                  <c:pt idx="19">
                    <c:v>P</c:v>
                  </c:pt>
                  <c:pt idx="20">
                    <c:v>A</c:v>
                  </c:pt>
                  <c:pt idx="21">
                    <c:v>B</c:v>
                  </c:pt>
                  <c:pt idx="22">
                    <c:v>C</c:v>
                  </c:pt>
                  <c:pt idx="23">
                    <c:v>F</c:v>
                  </c:pt>
                  <c:pt idx="24">
                    <c:v>P</c:v>
                  </c:pt>
                </c:lvl>
                <c:lvl>
                  <c:pt idx="0">
                    <c:v>group A</c:v>
                  </c:pt>
                  <c:pt idx="5">
                    <c:v>group B</c:v>
                  </c:pt>
                  <c:pt idx="10">
                    <c:v>group C</c:v>
                  </c:pt>
                  <c:pt idx="15">
                    <c:v>group D</c:v>
                  </c:pt>
                  <c:pt idx="20">
                    <c:v>group E</c:v>
                  </c:pt>
                </c:lvl>
              </c:multiLvlStrCache>
            </c:multiLvlStrRef>
          </c:cat>
          <c:val>
            <c:numRef>
              <c:f>'Associate''s Degree'!$N$4:$N$34</c:f>
              <c:numCache>
                <c:formatCode>General</c:formatCode>
                <c:ptCount val="25"/>
                <c:pt idx="1">
                  <c:v>268</c:v>
                </c:pt>
                <c:pt idx="4">
                  <c:v>391</c:v>
                </c:pt>
                <c:pt idx="5">
                  <c:v>544</c:v>
                </c:pt>
                <c:pt idx="6">
                  <c:v>249</c:v>
                </c:pt>
                <c:pt idx="7">
                  <c:v>1166</c:v>
                </c:pt>
                <c:pt idx="8">
                  <c:v>615</c:v>
                </c:pt>
                <c:pt idx="9">
                  <c:v>766</c:v>
                </c:pt>
                <c:pt idx="10">
                  <c:v>571</c:v>
                </c:pt>
                <c:pt idx="11">
                  <c:v>1286</c:v>
                </c:pt>
                <c:pt idx="12">
                  <c:v>2935</c:v>
                </c:pt>
                <c:pt idx="13">
                  <c:v>1304</c:v>
                </c:pt>
                <c:pt idx="14">
                  <c:v>1613</c:v>
                </c:pt>
                <c:pt idx="15">
                  <c:v>275</c:v>
                </c:pt>
                <c:pt idx="16">
                  <c:v>531</c:v>
                </c:pt>
                <c:pt idx="17">
                  <c:v>1560</c:v>
                </c:pt>
                <c:pt idx="19">
                  <c:v>398</c:v>
                </c:pt>
                <c:pt idx="20">
                  <c:v>1411</c:v>
                </c:pt>
                <c:pt idx="21">
                  <c:v>776</c:v>
                </c:pt>
                <c:pt idx="22">
                  <c:v>428</c:v>
                </c:pt>
                <c:pt idx="23">
                  <c:v>156</c:v>
                </c:pt>
                <c:pt idx="24">
                  <c:v>390</c:v>
                </c:pt>
              </c:numCache>
            </c:numRef>
          </c:val>
          <c:extLst>
            <c:ext xmlns:c16="http://schemas.microsoft.com/office/drawing/2014/chart" uri="{C3380CC4-5D6E-409C-BE32-E72D297353CC}">
              <c16:uniqueId val="{00000001-0AB6-42D7-BA54-F822121C8D5D}"/>
            </c:ext>
          </c:extLst>
        </c:ser>
        <c:ser>
          <c:idx val="3"/>
          <c:order val="3"/>
          <c:tx>
            <c:strRef>
              <c:f>'Associate''s Degree'!$O$1:$O$3</c:f>
              <c:strCache>
                <c:ptCount val="1"/>
                <c:pt idx="0">
                  <c:v>standard - male</c:v>
                </c:pt>
              </c:strCache>
            </c:strRef>
          </c:tx>
          <c:spPr>
            <a:solidFill>
              <a:schemeClr val="accent4"/>
            </a:solidFill>
            <a:ln>
              <a:noFill/>
            </a:ln>
            <a:effectLst/>
          </c:spPr>
          <c:invertIfNegative val="0"/>
          <c:cat>
            <c:multiLvlStrRef>
              <c:f>'Associate''s Degree'!$J$4:$J$34</c:f>
              <c:multiLvlStrCache>
                <c:ptCount val="25"/>
                <c:lvl>
                  <c:pt idx="0">
                    <c:v>A</c:v>
                  </c:pt>
                  <c:pt idx="1">
                    <c:v>B</c:v>
                  </c:pt>
                  <c:pt idx="2">
                    <c:v>C</c:v>
                  </c:pt>
                  <c:pt idx="3">
                    <c:v>F</c:v>
                  </c:pt>
                  <c:pt idx="4">
                    <c:v>P</c:v>
                  </c:pt>
                  <c:pt idx="5">
                    <c:v>A</c:v>
                  </c:pt>
                  <c:pt idx="6">
                    <c:v>B</c:v>
                  </c:pt>
                  <c:pt idx="7">
                    <c:v>C</c:v>
                  </c:pt>
                  <c:pt idx="8">
                    <c:v>F</c:v>
                  </c:pt>
                  <c:pt idx="9">
                    <c:v>P</c:v>
                  </c:pt>
                  <c:pt idx="10">
                    <c:v>A</c:v>
                  </c:pt>
                  <c:pt idx="11">
                    <c:v>B</c:v>
                  </c:pt>
                  <c:pt idx="12">
                    <c:v>C</c:v>
                  </c:pt>
                  <c:pt idx="13">
                    <c:v>F</c:v>
                  </c:pt>
                  <c:pt idx="14">
                    <c:v>P</c:v>
                  </c:pt>
                  <c:pt idx="15">
                    <c:v>A</c:v>
                  </c:pt>
                  <c:pt idx="16">
                    <c:v>B</c:v>
                  </c:pt>
                  <c:pt idx="17">
                    <c:v>C</c:v>
                  </c:pt>
                  <c:pt idx="18">
                    <c:v>F</c:v>
                  </c:pt>
                  <c:pt idx="19">
                    <c:v>P</c:v>
                  </c:pt>
                  <c:pt idx="20">
                    <c:v>A</c:v>
                  </c:pt>
                  <c:pt idx="21">
                    <c:v>B</c:v>
                  </c:pt>
                  <c:pt idx="22">
                    <c:v>C</c:v>
                  </c:pt>
                  <c:pt idx="23">
                    <c:v>F</c:v>
                  </c:pt>
                  <c:pt idx="24">
                    <c:v>P</c:v>
                  </c:pt>
                </c:lvl>
                <c:lvl>
                  <c:pt idx="0">
                    <c:v>group A</c:v>
                  </c:pt>
                  <c:pt idx="5">
                    <c:v>group B</c:v>
                  </c:pt>
                  <c:pt idx="10">
                    <c:v>group C</c:v>
                  </c:pt>
                  <c:pt idx="15">
                    <c:v>group D</c:v>
                  </c:pt>
                  <c:pt idx="20">
                    <c:v>group E</c:v>
                  </c:pt>
                </c:lvl>
              </c:multiLvlStrCache>
            </c:multiLvlStrRef>
          </c:cat>
          <c:val>
            <c:numRef>
              <c:f>'Associate''s Degree'!$O$4:$O$34</c:f>
              <c:numCache>
                <c:formatCode>General</c:formatCode>
                <c:ptCount val="25"/>
                <c:pt idx="0">
                  <c:v>275</c:v>
                </c:pt>
                <c:pt idx="3">
                  <c:v>331</c:v>
                </c:pt>
                <c:pt idx="4">
                  <c:v>185</c:v>
                </c:pt>
                <c:pt idx="5">
                  <c:v>272</c:v>
                </c:pt>
                <c:pt idx="6">
                  <c:v>983</c:v>
                </c:pt>
                <c:pt idx="7">
                  <c:v>446</c:v>
                </c:pt>
                <c:pt idx="8">
                  <c:v>456</c:v>
                </c:pt>
                <c:pt idx="9">
                  <c:v>193</c:v>
                </c:pt>
                <c:pt idx="10">
                  <c:v>838</c:v>
                </c:pt>
                <c:pt idx="11">
                  <c:v>499</c:v>
                </c:pt>
                <c:pt idx="12">
                  <c:v>1797</c:v>
                </c:pt>
                <c:pt idx="13">
                  <c:v>893</c:v>
                </c:pt>
                <c:pt idx="14">
                  <c:v>185</c:v>
                </c:pt>
                <c:pt idx="16">
                  <c:v>518</c:v>
                </c:pt>
                <c:pt idx="17">
                  <c:v>1356</c:v>
                </c:pt>
                <c:pt idx="18">
                  <c:v>614</c:v>
                </c:pt>
                <c:pt idx="19">
                  <c:v>1000</c:v>
                </c:pt>
                <c:pt idx="21">
                  <c:v>769</c:v>
                </c:pt>
                <c:pt idx="22">
                  <c:v>903</c:v>
                </c:pt>
                <c:pt idx="23">
                  <c:v>309</c:v>
                </c:pt>
                <c:pt idx="24">
                  <c:v>764</c:v>
                </c:pt>
              </c:numCache>
            </c:numRef>
          </c:val>
          <c:extLst>
            <c:ext xmlns:c16="http://schemas.microsoft.com/office/drawing/2014/chart" uri="{C3380CC4-5D6E-409C-BE32-E72D297353CC}">
              <c16:uniqueId val="{00000002-0AB6-42D7-BA54-F822121C8D5D}"/>
            </c:ext>
          </c:extLst>
        </c:ser>
        <c:dLbls>
          <c:showLegendKey val="0"/>
          <c:showVal val="0"/>
          <c:showCatName val="0"/>
          <c:showSerName val="0"/>
          <c:showPercent val="0"/>
          <c:showBubbleSize val="0"/>
        </c:dLbls>
        <c:gapWidth val="150"/>
        <c:overlap val="100"/>
        <c:axId val="821565311"/>
        <c:axId val="821569631"/>
      </c:barChart>
      <c:catAx>
        <c:axId val="82156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569631"/>
        <c:crosses val="autoZero"/>
        <c:auto val="1"/>
        <c:lblAlgn val="ctr"/>
        <c:lblOffset val="100"/>
        <c:noMultiLvlLbl val="0"/>
      </c:catAx>
      <c:valAx>
        <c:axId val="821569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56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 Analysis 2025.xlsx]Associate's Degree!PivotTable66</c:name>
    <c:fmtId val="1"/>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'Associate''s Degree'!$K$1:$K$3</c:f>
              <c:strCache>
                <c:ptCount val="1"/>
                <c:pt idx="0">
                  <c:v>free/reduced - female</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cat>
            <c:multiLvlStrRef>
              <c:f>'Associate''s Degree'!$J$4:$J$34</c:f>
              <c:multiLvlStrCache>
                <c:ptCount val="25"/>
                <c:lvl>
                  <c:pt idx="0">
                    <c:v>A</c:v>
                  </c:pt>
                  <c:pt idx="1">
                    <c:v>B</c:v>
                  </c:pt>
                  <c:pt idx="2">
                    <c:v>C</c:v>
                  </c:pt>
                  <c:pt idx="3">
                    <c:v>F</c:v>
                  </c:pt>
                  <c:pt idx="4">
                    <c:v>P</c:v>
                  </c:pt>
                  <c:pt idx="5">
                    <c:v>A</c:v>
                  </c:pt>
                  <c:pt idx="6">
                    <c:v>B</c:v>
                  </c:pt>
                  <c:pt idx="7">
                    <c:v>C</c:v>
                  </c:pt>
                  <c:pt idx="8">
                    <c:v>F</c:v>
                  </c:pt>
                  <c:pt idx="9">
                    <c:v>P</c:v>
                  </c:pt>
                  <c:pt idx="10">
                    <c:v>A</c:v>
                  </c:pt>
                  <c:pt idx="11">
                    <c:v>B</c:v>
                  </c:pt>
                  <c:pt idx="12">
                    <c:v>C</c:v>
                  </c:pt>
                  <c:pt idx="13">
                    <c:v>F</c:v>
                  </c:pt>
                  <c:pt idx="14">
                    <c:v>P</c:v>
                  </c:pt>
                  <c:pt idx="15">
                    <c:v>A</c:v>
                  </c:pt>
                  <c:pt idx="16">
                    <c:v>B</c:v>
                  </c:pt>
                  <c:pt idx="17">
                    <c:v>C</c:v>
                  </c:pt>
                  <c:pt idx="18">
                    <c:v>F</c:v>
                  </c:pt>
                  <c:pt idx="19">
                    <c:v>P</c:v>
                  </c:pt>
                  <c:pt idx="20">
                    <c:v>A</c:v>
                  </c:pt>
                  <c:pt idx="21">
                    <c:v>B</c:v>
                  </c:pt>
                  <c:pt idx="22">
                    <c:v>C</c:v>
                  </c:pt>
                  <c:pt idx="23">
                    <c:v>F</c:v>
                  </c:pt>
                  <c:pt idx="24">
                    <c:v>P</c:v>
                  </c:pt>
                </c:lvl>
                <c:lvl>
                  <c:pt idx="0">
                    <c:v>group A</c:v>
                  </c:pt>
                  <c:pt idx="5">
                    <c:v>group B</c:v>
                  </c:pt>
                  <c:pt idx="10">
                    <c:v>group C</c:v>
                  </c:pt>
                  <c:pt idx="15">
                    <c:v>group D</c:v>
                  </c:pt>
                  <c:pt idx="20">
                    <c:v>group E</c:v>
                  </c:pt>
                </c:lvl>
              </c:multiLvlStrCache>
            </c:multiLvlStrRef>
          </c:cat>
          <c:val>
            <c:numRef>
              <c:f>'Associate''s Degree'!$K$4:$K$34</c:f>
              <c:numCache>
                <c:formatCode>General</c:formatCode>
                <c:ptCount val="25"/>
                <c:pt idx="2">
                  <c:v>226</c:v>
                </c:pt>
                <c:pt idx="3">
                  <c:v>290</c:v>
                </c:pt>
                <c:pt idx="6">
                  <c:v>257</c:v>
                </c:pt>
                <c:pt idx="7">
                  <c:v>225</c:v>
                </c:pt>
                <c:pt idx="8">
                  <c:v>162</c:v>
                </c:pt>
                <c:pt idx="9">
                  <c:v>766</c:v>
                </c:pt>
                <c:pt idx="11">
                  <c:v>268</c:v>
                </c:pt>
                <c:pt idx="12">
                  <c:v>216</c:v>
                </c:pt>
                <c:pt idx="13">
                  <c:v>349</c:v>
                </c:pt>
                <c:pt idx="14">
                  <c:v>1014</c:v>
                </c:pt>
                <c:pt idx="16">
                  <c:v>769</c:v>
                </c:pt>
                <c:pt idx="18">
                  <c:v>901</c:v>
                </c:pt>
                <c:pt idx="19">
                  <c:v>598</c:v>
                </c:pt>
                <c:pt idx="21">
                  <c:v>257</c:v>
                </c:pt>
                <c:pt idx="22">
                  <c:v>462</c:v>
                </c:pt>
                <c:pt idx="23">
                  <c:v>160</c:v>
                </c:pt>
                <c:pt idx="24">
                  <c:v>198</c:v>
                </c:pt>
              </c:numCache>
            </c:numRef>
          </c:val>
          <c:extLst>
            <c:ext xmlns:c16="http://schemas.microsoft.com/office/drawing/2014/chart" uri="{C3380CC4-5D6E-409C-BE32-E72D297353CC}">
              <c16:uniqueId val="{00000000-D13E-43B0-AF51-A5935964D267}"/>
            </c:ext>
          </c:extLst>
        </c:ser>
        <c:ser>
          <c:idx val="1"/>
          <c:order val="1"/>
          <c:tx>
            <c:strRef>
              <c:f>'Associate''s Degree'!$L$1:$L$3</c:f>
              <c:strCache>
                <c:ptCount val="1"/>
                <c:pt idx="0">
                  <c:v>free/reduced - male</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cat>
            <c:multiLvlStrRef>
              <c:f>'Associate''s Degree'!$J$4:$J$34</c:f>
              <c:multiLvlStrCache>
                <c:ptCount val="25"/>
                <c:lvl>
                  <c:pt idx="0">
                    <c:v>A</c:v>
                  </c:pt>
                  <c:pt idx="1">
                    <c:v>B</c:v>
                  </c:pt>
                  <c:pt idx="2">
                    <c:v>C</c:v>
                  </c:pt>
                  <c:pt idx="3">
                    <c:v>F</c:v>
                  </c:pt>
                  <c:pt idx="4">
                    <c:v>P</c:v>
                  </c:pt>
                  <c:pt idx="5">
                    <c:v>A</c:v>
                  </c:pt>
                  <c:pt idx="6">
                    <c:v>B</c:v>
                  </c:pt>
                  <c:pt idx="7">
                    <c:v>C</c:v>
                  </c:pt>
                  <c:pt idx="8">
                    <c:v>F</c:v>
                  </c:pt>
                  <c:pt idx="9">
                    <c:v>P</c:v>
                  </c:pt>
                  <c:pt idx="10">
                    <c:v>A</c:v>
                  </c:pt>
                  <c:pt idx="11">
                    <c:v>B</c:v>
                  </c:pt>
                  <c:pt idx="12">
                    <c:v>C</c:v>
                  </c:pt>
                  <c:pt idx="13">
                    <c:v>F</c:v>
                  </c:pt>
                  <c:pt idx="14">
                    <c:v>P</c:v>
                  </c:pt>
                  <c:pt idx="15">
                    <c:v>A</c:v>
                  </c:pt>
                  <c:pt idx="16">
                    <c:v>B</c:v>
                  </c:pt>
                  <c:pt idx="17">
                    <c:v>C</c:v>
                  </c:pt>
                  <c:pt idx="18">
                    <c:v>F</c:v>
                  </c:pt>
                  <c:pt idx="19">
                    <c:v>P</c:v>
                  </c:pt>
                  <c:pt idx="20">
                    <c:v>A</c:v>
                  </c:pt>
                  <c:pt idx="21">
                    <c:v>B</c:v>
                  </c:pt>
                  <c:pt idx="22">
                    <c:v>C</c:v>
                  </c:pt>
                  <c:pt idx="23">
                    <c:v>F</c:v>
                  </c:pt>
                  <c:pt idx="24">
                    <c:v>P</c:v>
                  </c:pt>
                </c:lvl>
                <c:lvl>
                  <c:pt idx="0">
                    <c:v>group A</c:v>
                  </c:pt>
                  <c:pt idx="5">
                    <c:v>group B</c:v>
                  </c:pt>
                  <c:pt idx="10">
                    <c:v>group C</c:v>
                  </c:pt>
                  <c:pt idx="15">
                    <c:v>group D</c:v>
                  </c:pt>
                  <c:pt idx="20">
                    <c:v>group E</c:v>
                  </c:pt>
                </c:lvl>
              </c:multiLvlStrCache>
            </c:multiLvlStrRef>
          </c:cat>
          <c:val>
            <c:numRef>
              <c:f>'Associate''s Degree'!$L$4:$L$34</c:f>
              <c:numCache>
                <c:formatCode>General</c:formatCode>
                <c:ptCount val="25"/>
                <c:pt idx="1">
                  <c:v>243</c:v>
                </c:pt>
                <c:pt idx="3">
                  <c:v>474</c:v>
                </c:pt>
                <c:pt idx="7">
                  <c:v>234</c:v>
                </c:pt>
                <c:pt idx="8">
                  <c:v>636</c:v>
                </c:pt>
                <c:pt idx="9">
                  <c:v>391</c:v>
                </c:pt>
                <c:pt idx="11">
                  <c:v>241</c:v>
                </c:pt>
                <c:pt idx="12">
                  <c:v>232</c:v>
                </c:pt>
                <c:pt idx="13">
                  <c:v>792</c:v>
                </c:pt>
                <c:pt idx="14">
                  <c:v>1201</c:v>
                </c:pt>
                <c:pt idx="16">
                  <c:v>493</c:v>
                </c:pt>
                <c:pt idx="17">
                  <c:v>676</c:v>
                </c:pt>
                <c:pt idx="18">
                  <c:v>314</c:v>
                </c:pt>
                <c:pt idx="19">
                  <c:v>397</c:v>
                </c:pt>
                <c:pt idx="20">
                  <c:v>293</c:v>
                </c:pt>
                <c:pt idx="21">
                  <c:v>506</c:v>
                </c:pt>
                <c:pt idx="22">
                  <c:v>438</c:v>
                </c:pt>
                <c:pt idx="23">
                  <c:v>435</c:v>
                </c:pt>
              </c:numCache>
            </c:numRef>
          </c:val>
          <c:extLst>
            <c:ext xmlns:c16="http://schemas.microsoft.com/office/drawing/2014/chart" uri="{C3380CC4-5D6E-409C-BE32-E72D297353CC}">
              <c16:uniqueId val="{00000001-D13E-43B0-AF51-A5935964D267}"/>
            </c:ext>
          </c:extLst>
        </c:ser>
        <c:ser>
          <c:idx val="2"/>
          <c:order val="2"/>
          <c:tx>
            <c:strRef>
              <c:f>'Associate''s Degree'!$N$1:$N$3</c:f>
              <c:strCache>
                <c:ptCount val="1"/>
                <c:pt idx="0">
                  <c:v>standard - female</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cat>
            <c:multiLvlStrRef>
              <c:f>'Associate''s Degree'!$J$4:$J$34</c:f>
              <c:multiLvlStrCache>
                <c:ptCount val="25"/>
                <c:lvl>
                  <c:pt idx="0">
                    <c:v>A</c:v>
                  </c:pt>
                  <c:pt idx="1">
                    <c:v>B</c:v>
                  </c:pt>
                  <c:pt idx="2">
                    <c:v>C</c:v>
                  </c:pt>
                  <c:pt idx="3">
                    <c:v>F</c:v>
                  </c:pt>
                  <c:pt idx="4">
                    <c:v>P</c:v>
                  </c:pt>
                  <c:pt idx="5">
                    <c:v>A</c:v>
                  </c:pt>
                  <c:pt idx="6">
                    <c:v>B</c:v>
                  </c:pt>
                  <c:pt idx="7">
                    <c:v>C</c:v>
                  </c:pt>
                  <c:pt idx="8">
                    <c:v>F</c:v>
                  </c:pt>
                  <c:pt idx="9">
                    <c:v>P</c:v>
                  </c:pt>
                  <c:pt idx="10">
                    <c:v>A</c:v>
                  </c:pt>
                  <c:pt idx="11">
                    <c:v>B</c:v>
                  </c:pt>
                  <c:pt idx="12">
                    <c:v>C</c:v>
                  </c:pt>
                  <c:pt idx="13">
                    <c:v>F</c:v>
                  </c:pt>
                  <c:pt idx="14">
                    <c:v>P</c:v>
                  </c:pt>
                  <c:pt idx="15">
                    <c:v>A</c:v>
                  </c:pt>
                  <c:pt idx="16">
                    <c:v>B</c:v>
                  </c:pt>
                  <c:pt idx="17">
                    <c:v>C</c:v>
                  </c:pt>
                  <c:pt idx="18">
                    <c:v>F</c:v>
                  </c:pt>
                  <c:pt idx="19">
                    <c:v>P</c:v>
                  </c:pt>
                  <c:pt idx="20">
                    <c:v>A</c:v>
                  </c:pt>
                  <c:pt idx="21">
                    <c:v>B</c:v>
                  </c:pt>
                  <c:pt idx="22">
                    <c:v>C</c:v>
                  </c:pt>
                  <c:pt idx="23">
                    <c:v>F</c:v>
                  </c:pt>
                  <c:pt idx="24">
                    <c:v>P</c:v>
                  </c:pt>
                </c:lvl>
                <c:lvl>
                  <c:pt idx="0">
                    <c:v>group A</c:v>
                  </c:pt>
                  <c:pt idx="5">
                    <c:v>group B</c:v>
                  </c:pt>
                  <c:pt idx="10">
                    <c:v>group C</c:v>
                  </c:pt>
                  <c:pt idx="15">
                    <c:v>group D</c:v>
                  </c:pt>
                  <c:pt idx="20">
                    <c:v>group E</c:v>
                  </c:pt>
                </c:lvl>
              </c:multiLvlStrCache>
            </c:multiLvlStrRef>
          </c:cat>
          <c:val>
            <c:numRef>
              <c:f>'Associate''s Degree'!$N$4:$N$34</c:f>
              <c:numCache>
                <c:formatCode>General</c:formatCode>
                <c:ptCount val="25"/>
                <c:pt idx="1">
                  <c:v>268</c:v>
                </c:pt>
                <c:pt idx="4">
                  <c:v>391</c:v>
                </c:pt>
                <c:pt idx="5">
                  <c:v>544</c:v>
                </c:pt>
                <c:pt idx="6">
                  <c:v>249</c:v>
                </c:pt>
                <c:pt idx="7">
                  <c:v>1166</c:v>
                </c:pt>
                <c:pt idx="8">
                  <c:v>615</c:v>
                </c:pt>
                <c:pt idx="9">
                  <c:v>766</c:v>
                </c:pt>
                <c:pt idx="10">
                  <c:v>571</c:v>
                </c:pt>
                <c:pt idx="11">
                  <c:v>1286</c:v>
                </c:pt>
                <c:pt idx="12">
                  <c:v>2935</c:v>
                </c:pt>
                <c:pt idx="13">
                  <c:v>1304</c:v>
                </c:pt>
                <c:pt idx="14">
                  <c:v>1613</c:v>
                </c:pt>
                <c:pt idx="15">
                  <c:v>275</c:v>
                </c:pt>
                <c:pt idx="16">
                  <c:v>531</c:v>
                </c:pt>
                <c:pt idx="17">
                  <c:v>1560</c:v>
                </c:pt>
                <c:pt idx="19">
                  <c:v>398</c:v>
                </c:pt>
                <c:pt idx="20">
                  <c:v>1411</c:v>
                </c:pt>
                <c:pt idx="21">
                  <c:v>776</c:v>
                </c:pt>
                <c:pt idx="22">
                  <c:v>428</c:v>
                </c:pt>
                <c:pt idx="23">
                  <c:v>156</c:v>
                </c:pt>
                <c:pt idx="24">
                  <c:v>390</c:v>
                </c:pt>
              </c:numCache>
            </c:numRef>
          </c:val>
          <c:extLst>
            <c:ext xmlns:c16="http://schemas.microsoft.com/office/drawing/2014/chart" uri="{C3380CC4-5D6E-409C-BE32-E72D297353CC}">
              <c16:uniqueId val="{00000001-FA7C-4A72-AF64-1C3E21A7D8C7}"/>
            </c:ext>
          </c:extLst>
        </c:ser>
        <c:ser>
          <c:idx val="3"/>
          <c:order val="3"/>
          <c:tx>
            <c:strRef>
              <c:f>'Associate''s Degree'!$O$1:$O$3</c:f>
              <c:strCache>
                <c:ptCount val="1"/>
                <c:pt idx="0">
                  <c:v>standard - male</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cat>
            <c:multiLvlStrRef>
              <c:f>'Associate''s Degree'!$J$4:$J$34</c:f>
              <c:multiLvlStrCache>
                <c:ptCount val="25"/>
                <c:lvl>
                  <c:pt idx="0">
                    <c:v>A</c:v>
                  </c:pt>
                  <c:pt idx="1">
                    <c:v>B</c:v>
                  </c:pt>
                  <c:pt idx="2">
                    <c:v>C</c:v>
                  </c:pt>
                  <c:pt idx="3">
                    <c:v>F</c:v>
                  </c:pt>
                  <c:pt idx="4">
                    <c:v>P</c:v>
                  </c:pt>
                  <c:pt idx="5">
                    <c:v>A</c:v>
                  </c:pt>
                  <c:pt idx="6">
                    <c:v>B</c:v>
                  </c:pt>
                  <c:pt idx="7">
                    <c:v>C</c:v>
                  </c:pt>
                  <c:pt idx="8">
                    <c:v>F</c:v>
                  </c:pt>
                  <c:pt idx="9">
                    <c:v>P</c:v>
                  </c:pt>
                  <c:pt idx="10">
                    <c:v>A</c:v>
                  </c:pt>
                  <c:pt idx="11">
                    <c:v>B</c:v>
                  </c:pt>
                  <c:pt idx="12">
                    <c:v>C</c:v>
                  </c:pt>
                  <c:pt idx="13">
                    <c:v>F</c:v>
                  </c:pt>
                  <c:pt idx="14">
                    <c:v>P</c:v>
                  </c:pt>
                  <c:pt idx="15">
                    <c:v>A</c:v>
                  </c:pt>
                  <c:pt idx="16">
                    <c:v>B</c:v>
                  </c:pt>
                  <c:pt idx="17">
                    <c:v>C</c:v>
                  </c:pt>
                  <c:pt idx="18">
                    <c:v>F</c:v>
                  </c:pt>
                  <c:pt idx="19">
                    <c:v>P</c:v>
                  </c:pt>
                  <c:pt idx="20">
                    <c:v>A</c:v>
                  </c:pt>
                  <c:pt idx="21">
                    <c:v>B</c:v>
                  </c:pt>
                  <c:pt idx="22">
                    <c:v>C</c:v>
                  </c:pt>
                  <c:pt idx="23">
                    <c:v>F</c:v>
                  </c:pt>
                  <c:pt idx="24">
                    <c:v>P</c:v>
                  </c:pt>
                </c:lvl>
                <c:lvl>
                  <c:pt idx="0">
                    <c:v>group A</c:v>
                  </c:pt>
                  <c:pt idx="5">
                    <c:v>group B</c:v>
                  </c:pt>
                  <c:pt idx="10">
                    <c:v>group C</c:v>
                  </c:pt>
                  <c:pt idx="15">
                    <c:v>group D</c:v>
                  </c:pt>
                  <c:pt idx="20">
                    <c:v>group E</c:v>
                  </c:pt>
                </c:lvl>
              </c:multiLvlStrCache>
            </c:multiLvlStrRef>
          </c:cat>
          <c:val>
            <c:numRef>
              <c:f>'Associate''s Degree'!$O$4:$O$34</c:f>
              <c:numCache>
                <c:formatCode>General</c:formatCode>
                <c:ptCount val="25"/>
                <c:pt idx="0">
                  <c:v>275</c:v>
                </c:pt>
                <c:pt idx="3">
                  <c:v>331</c:v>
                </c:pt>
                <c:pt idx="4">
                  <c:v>185</c:v>
                </c:pt>
                <c:pt idx="5">
                  <c:v>272</c:v>
                </c:pt>
                <c:pt idx="6">
                  <c:v>983</c:v>
                </c:pt>
                <c:pt idx="7">
                  <c:v>446</c:v>
                </c:pt>
                <c:pt idx="8">
                  <c:v>456</c:v>
                </c:pt>
                <c:pt idx="9">
                  <c:v>193</c:v>
                </c:pt>
                <c:pt idx="10">
                  <c:v>838</c:v>
                </c:pt>
                <c:pt idx="11">
                  <c:v>499</c:v>
                </c:pt>
                <c:pt idx="12">
                  <c:v>1797</c:v>
                </c:pt>
                <c:pt idx="13">
                  <c:v>893</c:v>
                </c:pt>
                <c:pt idx="14">
                  <c:v>185</c:v>
                </c:pt>
                <c:pt idx="16">
                  <c:v>518</c:v>
                </c:pt>
                <c:pt idx="17">
                  <c:v>1356</c:v>
                </c:pt>
                <c:pt idx="18">
                  <c:v>614</c:v>
                </c:pt>
                <c:pt idx="19">
                  <c:v>1000</c:v>
                </c:pt>
                <c:pt idx="21">
                  <c:v>769</c:v>
                </c:pt>
                <c:pt idx="22">
                  <c:v>903</c:v>
                </c:pt>
                <c:pt idx="23">
                  <c:v>309</c:v>
                </c:pt>
                <c:pt idx="24">
                  <c:v>764</c:v>
                </c:pt>
              </c:numCache>
            </c:numRef>
          </c:val>
          <c:extLst>
            <c:ext xmlns:c16="http://schemas.microsoft.com/office/drawing/2014/chart" uri="{C3380CC4-5D6E-409C-BE32-E72D297353CC}">
              <c16:uniqueId val="{00000002-FA7C-4A72-AF64-1C3E21A7D8C7}"/>
            </c:ext>
          </c:extLst>
        </c:ser>
        <c:dLbls>
          <c:showLegendKey val="0"/>
          <c:showVal val="0"/>
          <c:showCatName val="0"/>
          <c:showSerName val="0"/>
          <c:showPercent val="0"/>
          <c:showBubbleSize val="0"/>
        </c:dLbls>
        <c:axId val="821560511"/>
        <c:axId val="821537471"/>
      </c:areaChart>
      <c:catAx>
        <c:axId val="821560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21537471"/>
        <c:crosses val="autoZero"/>
        <c:auto val="1"/>
        <c:lblAlgn val="ctr"/>
        <c:lblOffset val="100"/>
        <c:noMultiLvlLbl val="0"/>
      </c:catAx>
      <c:valAx>
        <c:axId val="821537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215605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 Analysis 2025.xlsx]Bacholer's Degree!PivotTable2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Race</a:t>
            </a:r>
            <a:r>
              <a:rPr lang="en-US" baseline="0"/>
              <a:t> over Lunch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'Bacholer''s Degree'!$K$4:$K$5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'Bacholer''s Degree'!$J$6:$J$21</c:f>
              <c:multiLvlStrCache>
                <c:ptCount val="10"/>
                <c:lvl>
                  <c:pt idx="0">
                    <c:v>free/reduced</c:v>
                  </c:pt>
                  <c:pt idx="1">
                    <c:v>standard</c:v>
                  </c:pt>
                  <c:pt idx="2">
                    <c:v>free/reduced</c:v>
                  </c:pt>
                  <c:pt idx="3">
                    <c:v>standard</c:v>
                  </c:pt>
                  <c:pt idx="4">
                    <c:v>free/reduced</c:v>
                  </c:pt>
                  <c:pt idx="5">
                    <c:v>standard</c:v>
                  </c:pt>
                  <c:pt idx="6">
                    <c:v>free/reduced</c:v>
                  </c:pt>
                  <c:pt idx="7">
                    <c:v>standard</c:v>
                  </c:pt>
                  <c:pt idx="8">
                    <c:v>free/reduced</c:v>
                  </c:pt>
                  <c:pt idx="9">
                    <c:v>standard</c:v>
                  </c:pt>
                </c:lvl>
                <c:lvl>
                  <c:pt idx="0">
                    <c:v>group A</c:v>
                  </c:pt>
                  <c:pt idx="2">
                    <c:v>group B</c:v>
                  </c:pt>
                  <c:pt idx="4">
                    <c:v>group C</c:v>
                  </c:pt>
                  <c:pt idx="6">
                    <c:v>group D</c:v>
                  </c:pt>
                  <c:pt idx="8">
                    <c:v>group E</c:v>
                  </c:pt>
                </c:lvl>
              </c:multiLvlStrCache>
            </c:multiLvlStrRef>
          </c:cat>
          <c:val>
            <c:numRef>
              <c:f>'Bacholer''s Degree'!$K$6:$K$21</c:f>
              <c:numCache>
                <c:formatCode>General</c:formatCode>
                <c:ptCount val="10"/>
                <c:pt idx="0">
                  <c:v>167</c:v>
                </c:pt>
                <c:pt idx="1">
                  <c:v>692</c:v>
                </c:pt>
                <c:pt idx="2">
                  <c:v>265</c:v>
                </c:pt>
                <c:pt idx="3">
                  <c:v>448</c:v>
                </c:pt>
                <c:pt idx="4">
                  <c:v>1446</c:v>
                </c:pt>
                <c:pt idx="5">
                  <c:v>3156</c:v>
                </c:pt>
                <c:pt idx="6">
                  <c:v>1072</c:v>
                </c:pt>
                <c:pt idx="7">
                  <c:v>866</c:v>
                </c:pt>
                <c:pt idx="8">
                  <c:v>727</c:v>
                </c:pt>
                <c:pt idx="9">
                  <c:v>1682</c:v>
                </c:pt>
              </c:numCache>
            </c:numRef>
          </c:val>
          <c:extLst>
            <c:ext xmlns:c16="http://schemas.microsoft.com/office/drawing/2014/chart" uri="{C3380CC4-5D6E-409C-BE32-E72D297353CC}">
              <c16:uniqueId val="{00000000-F0AF-42A8-BD39-4138337A9D44}"/>
            </c:ext>
          </c:extLst>
        </c:ser>
        <c:ser>
          <c:idx val="1"/>
          <c:order val="1"/>
          <c:tx>
            <c:strRef>
              <c:f>'Bacholer''s Degree'!$L$4:$L$5</c:f>
              <c:strCache>
                <c:ptCount val="1"/>
                <c:pt idx="0">
                  <c:v>none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'Bacholer''s Degree'!$J$6:$J$21</c:f>
              <c:multiLvlStrCache>
                <c:ptCount val="10"/>
                <c:lvl>
                  <c:pt idx="0">
                    <c:v>free/reduced</c:v>
                  </c:pt>
                  <c:pt idx="1">
                    <c:v>standard</c:v>
                  </c:pt>
                  <c:pt idx="2">
                    <c:v>free/reduced</c:v>
                  </c:pt>
                  <c:pt idx="3">
                    <c:v>standard</c:v>
                  </c:pt>
                  <c:pt idx="4">
                    <c:v>free/reduced</c:v>
                  </c:pt>
                  <c:pt idx="5">
                    <c:v>standard</c:v>
                  </c:pt>
                  <c:pt idx="6">
                    <c:v>free/reduced</c:v>
                  </c:pt>
                  <c:pt idx="7">
                    <c:v>standard</c:v>
                  </c:pt>
                  <c:pt idx="8">
                    <c:v>free/reduced</c:v>
                  </c:pt>
                  <c:pt idx="9">
                    <c:v>standard</c:v>
                  </c:pt>
                </c:lvl>
                <c:lvl>
                  <c:pt idx="0">
                    <c:v>group A</c:v>
                  </c:pt>
                  <c:pt idx="2">
                    <c:v>group B</c:v>
                  </c:pt>
                  <c:pt idx="4">
                    <c:v>group C</c:v>
                  </c:pt>
                  <c:pt idx="6">
                    <c:v>group D</c:v>
                  </c:pt>
                  <c:pt idx="8">
                    <c:v>group E</c:v>
                  </c:pt>
                </c:lvl>
              </c:multiLvlStrCache>
            </c:multiLvlStrRef>
          </c:cat>
          <c:val>
            <c:numRef>
              <c:f>'Bacholer''s Degree'!$L$6:$L$21</c:f>
              <c:numCache>
                <c:formatCode>General</c:formatCode>
                <c:ptCount val="10"/>
                <c:pt idx="0">
                  <c:v>199</c:v>
                </c:pt>
                <c:pt idx="1">
                  <c:v>1385</c:v>
                </c:pt>
                <c:pt idx="2">
                  <c:v>1643</c:v>
                </c:pt>
                <c:pt idx="3">
                  <c:v>1922</c:v>
                </c:pt>
                <c:pt idx="4">
                  <c:v>1431</c:v>
                </c:pt>
                <c:pt idx="5">
                  <c:v>2756</c:v>
                </c:pt>
                <c:pt idx="6">
                  <c:v>1720</c:v>
                </c:pt>
                <c:pt idx="7">
                  <c:v>2211</c:v>
                </c:pt>
                <c:pt idx="8">
                  <c:v>181</c:v>
                </c:pt>
                <c:pt idx="9">
                  <c:v>1492</c:v>
                </c:pt>
              </c:numCache>
            </c:numRef>
          </c:val>
          <c:extLst>
            <c:ext xmlns:c16="http://schemas.microsoft.com/office/drawing/2014/chart" uri="{C3380CC4-5D6E-409C-BE32-E72D297353CC}">
              <c16:uniqueId val="{00000003-F0AF-42A8-BD39-4138337A9D44}"/>
            </c:ext>
          </c:extLst>
        </c:ser>
        <c:dLbls>
          <c:dLblPos val="outEnd"/>
          <c:showLegendKey val="0"/>
          <c:showVal val="1"/>
          <c:showCatName val="0"/>
          <c:showSerName val="0"/>
          <c:showPercent val="0"/>
          <c:showBubbleSize val="0"/>
        </c:dLbls>
        <c:gapWidth val="100"/>
        <c:overlap val="-24"/>
        <c:axId val="1740131632"/>
        <c:axId val="1740135952"/>
      </c:barChart>
      <c:catAx>
        <c:axId val="17401316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0135952"/>
        <c:crosses val="autoZero"/>
        <c:auto val="1"/>
        <c:lblAlgn val="ctr"/>
        <c:lblOffset val="100"/>
        <c:noMultiLvlLbl val="0"/>
      </c:catAx>
      <c:valAx>
        <c:axId val="1740135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013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 Analysis 2025.xlsx]Bacholer's Degree!PivotTable2</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3.0258421563377148E-2"/>
              <c:y val="-0.11802092446777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5.0925925925925923E-2"/>
          <c:w val="0.69497397200349953"/>
          <c:h val="0.50904527559055113"/>
        </c:manualLayout>
      </c:layout>
      <c:lineChart>
        <c:grouping val="stacked"/>
        <c:varyColors val="0"/>
        <c:ser>
          <c:idx val="0"/>
          <c:order val="0"/>
          <c:tx>
            <c:strRef>
              <c:f>'Bacholer''s Degree'!$K$4:$K$5</c:f>
              <c:strCache>
                <c:ptCount val="1"/>
                <c:pt idx="0">
                  <c:v>completed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'Bacholer''s Degree'!$J$6:$J$21</c:f>
              <c:multiLvlStrCache>
                <c:ptCount val="10"/>
                <c:lvl>
                  <c:pt idx="0">
                    <c:v>free/reduced</c:v>
                  </c:pt>
                  <c:pt idx="1">
                    <c:v>standard</c:v>
                  </c:pt>
                  <c:pt idx="2">
                    <c:v>free/reduced</c:v>
                  </c:pt>
                  <c:pt idx="3">
                    <c:v>standard</c:v>
                  </c:pt>
                  <c:pt idx="4">
                    <c:v>free/reduced</c:v>
                  </c:pt>
                  <c:pt idx="5">
                    <c:v>standard</c:v>
                  </c:pt>
                  <c:pt idx="6">
                    <c:v>free/reduced</c:v>
                  </c:pt>
                  <c:pt idx="7">
                    <c:v>standard</c:v>
                  </c:pt>
                  <c:pt idx="8">
                    <c:v>free/reduced</c:v>
                  </c:pt>
                  <c:pt idx="9">
                    <c:v>standard</c:v>
                  </c:pt>
                </c:lvl>
                <c:lvl>
                  <c:pt idx="0">
                    <c:v>group A</c:v>
                  </c:pt>
                  <c:pt idx="2">
                    <c:v>group B</c:v>
                  </c:pt>
                  <c:pt idx="4">
                    <c:v>group C</c:v>
                  </c:pt>
                  <c:pt idx="6">
                    <c:v>group D</c:v>
                  </c:pt>
                  <c:pt idx="8">
                    <c:v>group E</c:v>
                  </c:pt>
                </c:lvl>
              </c:multiLvlStrCache>
            </c:multiLvlStrRef>
          </c:cat>
          <c:val>
            <c:numRef>
              <c:f>'Bacholer''s Degree'!$K$6:$K$21</c:f>
              <c:numCache>
                <c:formatCode>General</c:formatCode>
                <c:ptCount val="10"/>
                <c:pt idx="0">
                  <c:v>167</c:v>
                </c:pt>
                <c:pt idx="1">
                  <c:v>692</c:v>
                </c:pt>
                <c:pt idx="2">
                  <c:v>265</c:v>
                </c:pt>
                <c:pt idx="3">
                  <c:v>448</c:v>
                </c:pt>
                <c:pt idx="4">
                  <c:v>1446</c:v>
                </c:pt>
                <c:pt idx="5">
                  <c:v>3156</c:v>
                </c:pt>
                <c:pt idx="6">
                  <c:v>1072</c:v>
                </c:pt>
                <c:pt idx="7">
                  <c:v>866</c:v>
                </c:pt>
                <c:pt idx="8">
                  <c:v>727</c:v>
                </c:pt>
                <c:pt idx="9">
                  <c:v>1682</c:v>
                </c:pt>
              </c:numCache>
            </c:numRef>
          </c:val>
          <c:smooth val="0"/>
          <c:extLst>
            <c:ext xmlns:c16="http://schemas.microsoft.com/office/drawing/2014/chart" uri="{C3380CC4-5D6E-409C-BE32-E72D297353CC}">
              <c16:uniqueId val="{00000000-8EE7-4A5A-AE18-E7EFF9308D1C}"/>
            </c:ext>
          </c:extLst>
        </c:ser>
        <c:ser>
          <c:idx val="1"/>
          <c:order val="1"/>
          <c:tx>
            <c:strRef>
              <c:f>'Bacholer''s Degree'!$L$4:$L$5</c:f>
              <c:strCache>
                <c:ptCount val="1"/>
                <c:pt idx="0">
                  <c:v>none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8EE7-4A5A-AE18-E7EFF9308D1C}"/>
              </c:ext>
            </c:extLst>
          </c:dPt>
          <c:dLbls>
            <c:dLbl>
              <c:idx val="0"/>
              <c:layout>
                <c:manualLayout>
                  <c:x val="-3.0258421563377148E-2"/>
                  <c:y val="-0.1180209244677748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EE7-4A5A-AE18-E7EFF9308D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'Bacholer''s Degree'!$J$6:$J$21</c:f>
              <c:multiLvlStrCache>
                <c:ptCount val="10"/>
                <c:lvl>
                  <c:pt idx="0">
                    <c:v>free/reduced</c:v>
                  </c:pt>
                  <c:pt idx="1">
                    <c:v>standard</c:v>
                  </c:pt>
                  <c:pt idx="2">
                    <c:v>free/reduced</c:v>
                  </c:pt>
                  <c:pt idx="3">
                    <c:v>standard</c:v>
                  </c:pt>
                  <c:pt idx="4">
                    <c:v>free/reduced</c:v>
                  </c:pt>
                  <c:pt idx="5">
                    <c:v>standard</c:v>
                  </c:pt>
                  <c:pt idx="6">
                    <c:v>free/reduced</c:v>
                  </c:pt>
                  <c:pt idx="7">
                    <c:v>standard</c:v>
                  </c:pt>
                  <c:pt idx="8">
                    <c:v>free/reduced</c:v>
                  </c:pt>
                  <c:pt idx="9">
                    <c:v>standard</c:v>
                  </c:pt>
                </c:lvl>
                <c:lvl>
                  <c:pt idx="0">
                    <c:v>group A</c:v>
                  </c:pt>
                  <c:pt idx="2">
                    <c:v>group B</c:v>
                  </c:pt>
                  <c:pt idx="4">
                    <c:v>group C</c:v>
                  </c:pt>
                  <c:pt idx="6">
                    <c:v>group D</c:v>
                  </c:pt>
                  <c:pt idx="8">
                    <c:v>group E</c:v>
                  </c:pt>
                </c:lvl>
              </c:multiLvlStrCache>
            </c:multiLvlStrRef>
          </c:cat>
          <c:val>
            <c:numRef>
              <c:f>'Bacholer''s Degree'!$L$6:$L$21</c:f>
              <c:numCache>
                <c:formatCode>General</c:formatCode>
                <c:ptCount val="10"/>
                <c:pt idx="0">
                  <c:v>199</c:v>
                </c:pt>
                <c:pt idx="1">
                  <c:v>1385</c:v>
                </c:pt>
                <c:pt idx="2">
                  <c:v>1643</c:v>
                </c:pt>
                <c:pt idx="3">
                  <c:v>1922</c:v>
                </c:pt>
                <c:pt idx="4">
                  <c:v>1431</c:v>
                </c:pt>
                <c:pt idx="5">
                  <c:v>2756</c:v>
                </c:pt>
                <c:pt idx="6">
                  <c:v>1720</c:v>
                </c:pt>
                <c:pt idx="7">
                  <c:v>2211</c:v>
                </c:pt>
                <c:pt idx="8">
                  <c:v>181</c:v>
                </c:pt>
                <c:pt idx="9">
                  <c:v>1492</c:v>
                </c:pt>
              </c:numCache>
            </c:numRef>
          </c:val>
          <c:smooth val="0"/>
          <c:extLst>
            <c:ext xmlns:c16="http://schemas.microsoft.com/office/drawing/2014/chart" uri="{C3380CC4-5D6E-409C-BE32-E72D297353CC}">
              <c16:uniqueId val="{00000001-8EE7-4A5A-AE18-E7EFF9308D1C}"/>
            </c:ext>
          </c:extLst>
        </c:ser>
        <c:dLbls>
          <c:dLblPos val="t"/>
          <c:showLegendKey val="0"/>
          <c:showVal val="1"/>
          <c:showCatName val="0"/>
          <c:showSerName val="0"/>
          <c:showPercent val="0"/>
          <c:showBubbleSize val="0"/>
        </c:dLbls>
        <c:marker val="1"/>
        <c:smooth val="0"/>
        <c:axId val="1995051712"/>
        <c:axId val="1995049312"/>
      </c:lineChart>
      <c:catAx>
        <c:axId val="199505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49312"/>
        <c:crosses val="autoZero"/>
        <c:auto val="1"/>
        <c:lblAlgn val="ctr"/>
        <c:lblOffset val="100"/>
        <c:noMultiLvlLbl val="0"/>
      </c:catAx>
      <c:valAx>
        <c:axId val="1995049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05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[StudentsPerformance Analysis 2025.xlsx]High School Level!PivotTable38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Female and Male Insight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 School Level'!$M$7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 School Level'!$L$8:$L$13</c:f>
              <c:strCache>
                <c:ptCount val="5"/>
                <c:pt idx="0">
                  <c:v>group A</c:v>
                </c:pt>
                <c:pt idx="1">
                  <c:v>group B</c:v>
                </c:pt>
                <c:pt idx="2">
                  <c:v>group C</c:v>
                </c:pt>
                <c:pt idx="3">
                  <c:v>group D</c:v>
                </c:pt>
                <c:pt idx="4">
                  <c:v>group E</c:v>
                </c:pt>
              </c:strCache>
            </c:strRef>
          </c:cat>
          <c:val>
            <c:numRef>
              <c:f>'High School Level'!$M$8:$M$13</c:f>
              <c:numCache>
                <c:formatCode>General</c:formatCode>
                <c:ptCount val="5"/>
                <c:pt idx="0">
                  <c:v>3309</c:v>
                </c:pt>
                <c:pt idx="1">
                  <c:v>8856</c:v>
                </c:pt>
                <c:pt idx="2">
                  <c:v>11967</c:v>
                </c:pt>
                <c:pt idx="3">
                  <c:v>8379</c:v>
                </c:pt>
                <c:pt idx="4">
                  <c:v>4590</c:v>
                </c:pt>
              </c:numCache>
            </c:numRef>
          </c:val>
          <c:extLst>
            <c:ext xmlns:c16="http://schemas.microsoft.com/office/drawing/2014/chart" uri="{C3380CC4-5D6E-409C-BE32-E72D297353CC}">
              <c16:uniqueId val="{00000000-12DE-47A7-9E05-137EBFDDE248}"/>
            </c:ext>
          </c:extLst>
        </c:ser>
        <c:dLbls>
          <c:dLblPos val="outEnd"/>
          <c:showLegendKey val="0"/>
          <c:showVal val="1"/>
          <c:showCatName val="0"/>
          <c:showSerName val="0"/>
          <c:showPercent val="0"/>
          <c:showBubbleSize val="0"/>
        </c:dLbls>
        <c:gapWidth val="219"/>
        <c:overlap val="-27"/>
        <c:axId val="758993615"/>
        <c:axId val="758996495"/>
      </c:barChart>
      <c:catAx>
        <c:axId val="75899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996495"/>
        <c:crosses val="autoZero"/>
        <c:auto val="1"/>
        <c:lblAlgn val="ctr"/>
        <c:lblOffset val="100"/>
        <c:noMultiLvlLbl val="0"/>
      </c:catAx>
      <c:valAx>
        <c:axId val="75899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99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[StudentsPerformance Analysis 2025.xlsx]High School Level!PivotTable38</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Shares</a:t>
            </a:r>
            <a:r>
              <a:rPr lang="en-US" baseline="0"/>
              <a:t> of Male AND Female With in Parental Education</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 School Level'!$M$7</c:f>
              <c:strCache>
                <c:ptCount val="1"/>
                <c:pt idx="0">
                  <c:v>Total</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'High School Level'!$L$8:$L$13</c:f>
              <c:strCache>
                <c:ptCount val="5"/>
                <c:pt idx="0">
                  <c:v>group A</c:v>
                </c:pt>
                <c:pt idx="1">
                  <c:v>group B</c:v>
                </c:pt>
                <c:pt idx="2">
                  <c:v>group C</c:v>
                </c:pt>
                <c:pt idx="3">
                  <c:v>group D</c:v>
                </c:pt>
                <c:pt idx="4">
                  <c:v>group E</c:v>
                </c:pt>
              </c:strCache>
            </c:strRef>
          </c:cat>
          <c:val>
            <c:numRef>
              <c:f>'High School Level'!$M$8:$M$13</c:f>
              <c:numCache>
                <c:formatCode>General</c:formatCode>
                <c:ptCount val="5"/>
                <c:pt idx="0">
                  <c:v>3309</c:v>
                </c:pt>
                <c:pt idx="1">
                  <c:v>8856</c:v>
                </c:pt>
                <c:pt idx="2">
                  <c:v>11967</c:v>
                </c:pt>
                <c:pt idx="3">
                  <c:v>8379</c:v>
                </c:pt>
                <c:pt idx="4">
                  <c:v>4590</c:v>
                </c:pt>
              </c:numCache>
            </c:numRef>
          </c:val>
          <c:extLst>
            <c:ext xmlns:c16="http://schemas.microsoft.com/office/drawing/2014/chart" uri="{C3380CC4-5D6E-409C-BE32-E72D297353CC}">
              <c16:uniqueId val="{00000000-7DAC-4821-BCB9-2783E37264E9}"/>
            </c:ext>
          </c:extLst>
        </c:ser>
        <c:dLbls>
          <c:dLblPos val="outEnd"/>
          <c:showLegendKey val="0"/>
          <c:showVal val="1"/>
          <c:showCatName val="0"/>
          <c:showSerName val="0"/>
          <c:showPercent val="0"/>
          <c:showBubbleSize val="0"/>
        </c:dLbls>
        <c:gapWidth val="100"/>
        <c:axId val="2033223839"/>
        <c:axId val="2033226239"/>
      </c:barChart>
      <c:catAx>
        <c:axId val="203322383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Race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33226239"/>
        <c:crosses val="autoZero"/>
        <c:auto val="1"/>
        <c:lblAlgn val="ctr"/>
        <c:lblOffset val="100"/>
        <c:noMultiLvlLbl val="0"/>
      </c:catAx>
      <c:valAx>
        <c:axId val="2033226239"/>
        <c:scaling>
          <c:orientation val="minMax"/>
        </c:scaling>
        <c:delete val="1"/>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crossAx val="2033223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showing the total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442272974883283E-2"/>
          <c:y val="0.14955645161290324"/>
          <c:w val="0.90968751547565985"/>
          <c:h val="0.68875635001270008"/>
        </c:manualLayout>
      </c:layout>
      <c:lineChart>
        <c:grouping val="standard"/>
        <c:varyColors val="0"/>
        <c:ser>
          <c:idx val="0"/>
          <c:order val="0"/>
          <c:tx>
            <c:strRef>
              <c:f>'Master''s Degree'!$F$1</c:f>
              <c:strCache>
                <c:ptCount val="1"/>
                <c:pt idx="0">
                  <c:v>Total Score</c:v>
                </c:pt>
              </c:strCache>
            </c:strRef>
          </c:tx>
          <c:spPr>
            <a:ln w="28575" cap="rnd">
              <a:solidFill>
                <a:schemeClr val="accent2"/>
              </a:solidFill>
              <a:round/>
            </a:ln>
            <a:effectLst/>
          </c:spPr>
          <c:marker>
            <c:symbol val="none"/>
          </c:marker>
          <c:dLbls>
            <c:dLbl>
              <c:idx val="4"/>
              <c:layout>
                <c:manualLayout>
                  <c:x val="-4.6518010291595219E-2"/>
                  <c:y val="-8.46774193548387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D5-49B6-ACDF-BB7FEAC37426}"/>
                </c:ext>
              </c:extLst>
            </c:dLbl>
            <c:dLbl>
              <c:idx val="6"/>
              <c:layout>
                <c:manualLayout>
                  <c:x val="-3.7369925671812486E-2"/>
                  <c:y val="4.83870967741935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D5-49B6-ACDF-BB7FEAC37426}"/>
                </c:ext>
              </c:extLst>
            </c:dLbl>
            <c:dLbl>
              <c:idx val="29"/>
              <c:layout>
                <c:manualLayout>
                  <c:x val="-4.8805031446540963E-2"/>
                  <c:y val="-8.46774193548387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D5-49B6-ACDF-BB7FEAC374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'Master''s Degree'!$C$2:$C$60</c:f>
              <c:strCache>
                <c:ptCount val="59"/>
                <c:pt idx="0">
                  <c:v>group B</c:v>
                </c:pt>
                <c:pt idx="1">
                  <c:v>group A</c:v>
                </c:pt>
                <c:pt idx="2">
                  <c:v>group C</c:v>
                </c:pt>
                <c:pt idx="3">
                  <c:v>group A</c:v>
                </c:pt>
                <c:pt idx="4">
                  <c:v>group D</c:v>
                </c:pt>
                <c:pt idx="5">
                  <c:v>group E</c:v>
                </c:pt>
                <c:pt idx="6">
                  <c:v>group E</c:v>
                </c:pt>
                <c:pt idx="7">
                  <c:v>group D</c:v>
                </c:pt>
                <c:pt idx="8">
                  <c:v>group D</c:v>
                </c:pt>
                <c:pt idx="9">
                  <c:v>group D</c:v>
                </c:pt>
                <c:pt idx="10">
                  <c:v>group B</c:v>
                </c:pt>
                <c:pt idx="11">
                  <c:v>group E</c:v>
                </c:pt>
                <c:pt idx="12">
                  <c:v>group B</c:v>
                </c:pt>
                <c:pt idx="13">
                  <c:v>group C</c:v>
                </c:pt>
                <c:pt idx="14">
                  <c:v>group B</c:v>
                </c:pt>
                <c:pt idx="15">
                  <c:v>group C</c:v>
                </c:pt>
                <c:pt idx="16">
                  <c:v>group C</c:v>
                </c:pt>
                <c:pt idx="17">
                  <c:v>group E</c:v>
                </c:pt>
                <c:pt idx="18">
                  <c:v>group D</c:v>
                </c:pt>
                <c:pt idx="19">
                  <c:v>group C</c:v>
                </c:pt>
                <c:pt idx="20">
                  <c:v>group D</c:v>
                </c:pt>
                <c:pt idx="21">
                  <c:v>group D</c:v>
                </c:pt>
                <c:pt idx="22">
                  <c:v>group C</c:v>
                </c:pt>
                <c:pt idx="23">
                  <c:v>group D</c:v>
                </c:pt>
                <c:pt idx="24">
                  <c:v>group D</c:v>
                </c:pt>
                <c:pt idx="25">
                  <c:v>group D</c:v>
                </c:pt>
                <c:pt idx="26">
                  <c:v>group D</c:v>
                </c:pt>
                <c:pt idx="27">
                  <c:v>group D</c:v>
                </c:pt>
                <c:pt idx="28">
                  <c:v>group D</c:v>
                </c:pt>
                <c:pt idx="29">
                  <c:v>group C</c:v>
                </c:pt>
                <c:pt idx="30">
                  <c:v>group B</c:v>
                </c:pt>
                <c:pt idx="31">
                  <c:v>group C</c:v>
                </c:pt>
                <c:pt idx="32">
                  <c:v>group D</c:v>
                </c:pt>
                <c:pt idx="33">
                  <c:v>group C</c:v>
                </c:pt>
                <c:pt idx="34">
                  <c:v>group C</c:v>
                </c:pt>
                <c:pt idx="35">
                  <c:v>group D</c:v>
                </c:pt>
                <c:pt idx="36">
                  <c:v>group D</c:v>
                </c:pt>
                <c:pt idx="37">
                  <c:v>group D</c:v>
                </c:pt>
                <c:pt idx="38">
                  <c:v>group D</c:v>
                </c:pt>
                <c:pt idx="39">
                  <c:v>group C</c:v>
                </c:pt>
                <c:pt idx="40">
                  <c:v>group D</c:v>
                </c:pt>
                <c:pt idx="41">
                  <c:v>group E</c:v>
                </c:pt>
                <c:pt idx="42">
                  <c:v>group D</c:v>
                </c:pt>
                <c:pt idx="43">
                  <c:v>group C</c:v>
                </c:pt>
                <c:pt idx="44">
                  <c:v>group C</c:v>
                </c:pt>
                <c:pt idx="45">
                  <c:v>group B</c:v>
                </c:pt>
                <c:pt idx="46">
                  <c:v>group C</c:v>
                </c:pt>
                <c:pt idx="47">
                  <c:v>group C</c:v>
                </c:pt>
                <c:pt idx="48">
                  <c:v>group E</c:v>
                </c:pt>
                <c:pt idx="49">
                  <c:v>group C</c:v>
                </c:pt>
                <c:pt idx="50">
                  <c:v>group C</c:v>
                </c:pt>
                <c:pt idx="51">
                  <c:v>group E</c:v>
                </c:pt>
                <c:pt idx="52">
                  <c:v>group A</c:v>
                </c:pt>
                <c:pt idx="53">
                  <c:v>group D</c:v>
                </c:pt>
                <c:pt idx="54">
                  <c:v>group C</c:v>
                </c:pt>
                <c:pt idx="55">
                  <c:v>group C</c:v>
                </c:pt>
                <c:pt idx="56">
                  <c:v>group D</c:v>
                </c:pt>
                <c:pt idx="57">
                  <c:v>group D</c:v>
                </c:pt>
                <c:pt idx="58">
                  <c:v>group E</c:v>
                </c:pt>
              </c:strCache>
            </c:strRef>
          </c:cat>
          <c:val>
            <c:numRef>
              <c:f>'Master''s Degree'!$F$2:$F$60</c:f>
              <c:numCache>
                <c:formatCode>General</c:formatCode>
                <c:ptCount val="59"/>
                <c:pt idx="0">
                  <c:v>278</c:v>
                </c:pt>
                <c:pt idx="1">
                  <c:v>161</c:v>
                </c:pt>
                <c:pt idx="2">
                  <c:v>134</c:v>
                </c:pt>
                <c:pt idx="3">
                  <c:v>219</c:v>
                </c:pt>
                <c:pt idx="4">
                  <c:v>207</c:v>
                </c:pt>
                <c:pt idx="5">
                  <c:v>193</c:v>
                </c:pt>
                <c:pt idx="6">
                  <c:v>198</c:v>
                </c:pt>
                <c:pt idx="7">
                  <c:v>287</c:v>
                </c:pt>
                <c:pt idx="8">
                  <c:v>238</c:v>
                </c:pt>
                <c:pt idx="9">
                  <c:v>255</c:v>
                </c:pt>
                <c:pt idx="10">
                  <c:v>154</c:v>
                </c:pt>
                <c:pt idx="11">
                  <c:v>264</c:v>
                </c:pt>
                <c:pt idx="12">
                  <c:v>212</c:v>
                </c:pt>
                <c:pt idx="13">
                  <c:v>259</c:v>
                </c:pt>
                <c:pt idx="14">
                  <c:v>184</c:v>
                </c:pt>
                <c:pt idx="15">
                  <c:v>205</c:v>
                </c:pt>
                <c:pt idx="16">
                  <c:v>238</c:v>
                </c:pt>
                <c:pt idx="17">
                  <c:v>155</c:v>
                </c:pt>
                <c:pt idx="18">
                  <c:v>232</c:v>
                </c:pt>
                <c:pt idx="19">
                  <c:v>227</c:v>
                </c:pt>
                <c:pt idx="20">
                  <c:v>250</c:v>
                </c:pt>
                <c:pt idx="21">
                  <c:v>280</c:v>
                </c:pt>
                <c:pt idx="22">
                  <c:v>231</c:v>
                </c:pt>
                <c:pt idx="23">
                  <c:v>218</c:v>
                </c:pt>
                <c:pt idx="24">
                  <c:v>215</c:v>
                </c:pt>
                <c:pt idx="25">
                  <c:v>172</c:v>
                </c:pt>
                <c:pt idx="26">
                  <c:v>189</c:v>
                </c:pt>
                <c:pt idx="27">
                  <c:v>235</c:v>
                </c:pt>
                <c:pt idx="28">
                  <c:v>153</c:v>
                </c:pt>
                <c:pt idx="29">
                  <c:v>234</c:v>
                </c:pt>
                <c:pt idx="30">
                  <c:v>268</c:v>
                </c:pt>
                <c:pt idx="31">
                  <c:v>163</c:v>
                </c:pt>
                <c:pt idx="32">
                  <c:v>193</c:v>
                </c:pt>
                <c:pt idx="33">
                  <c:v>220</c:v>
                </c:pt>
                <c:pt idx="34">
                  <c:v>194</c:v>
                </c:pt>
                <c:pt idx="35">
                  <c:v>210</c:v>
                </c:pt>
                <c:pt idx="36">
                  <c:v>182</c:v>
                </c:pt>
                <c:pt idx="37">
                  <c:v>177</c:v>
                </c:pt>
                <c:pt idx="38">
                  <c:v>263</c:v>
                </c:pt>
                <c:pt idx="39">
                  <c:v>152</c:v>
                </c:pt>
                <c:pt idx="40">
                  <c:v>260</c:v>
                </c:pt>
                <c:pt idx="41">
                  <c:v>293</c:v>
                </c:pt>
                <c:pt idx="42">
                  <c:v>246</c:v>
                </c:pt>
                <c:pt idx="43">
                  <c:v>183</c:v>
                </c:pt>
                <c:pt idx="44">
                  <c:v>231</c:v>
                </c:pt>
                <c:pt idx="45">
                  <c:v>251</c:v>
                </c:pt>
                <c:pt idx="46">
                  <c:v>178</c:v>
                </c:pt>
                <c:pt idx="47">
                  <c:v>185</c:v>
                </c:pt>
                <c:pt idx="48">
                  <c:v>259</c:v>
                </c:pt>
                <c:pt idx="49">
                  <c:v>261</c:v>
                </c:pt>
                <c:pt idx="50">
                  <c:v>205</c:v>
                </c:pt>
                <c:pt idx="51">
                  <c:v>254</c:v>
                </c:pt>
                <c:pt idx="52">
                  <c:v>190</c:v>
                </c:pt>
                <c:pt idx="53">
                  <c:v>258</c:v>
                </c:pt>
                <c:pt idx="54">
                  <c:v>225</c:v>
                </c:pt>
                <c:pt idx="55">
                  <c:v>210</c:v>
                </c:pt>
                <c:pt idx="56">
                  <c:v>265</c:v>
                </c:pt>
                <c:pt idx="57">
                  <c:v>292</c:v>
                </c:pt>
                <c:pt idx="58">
                  <c:v>282</c:v>
                </c:pt>
              </c:numCache>
            </c:numRef>
          </c:val>
          <c:smooth val="0"/>
          <c:extLst>
            <c:ext xmlns:c16="http://schemas.microsoft.com/office/drawing/2014/chart" uri="{C3380CC4-5D6E-409C-BE32-E72D297353CC}">
              <c16:uniqueId val="{00000000-FCD5-49B6-ACDF-BB7FEAC37426}"/>
            </c:ext>
          </c:extLst>
        </c:ser>
        <c:dLbls>
          <c:dLblPos val="ctr"/>
          <c:showLegendKey val="0"/>
          <c:showVal val="1"/>
          <c:showCatName val="0"/>
          <c:showSerName val="0"/>
          <c:showPercent val="0"/>
          <c:showBubbleSize val="0"/>
        </c:dLbls>
        <c:smooth val="0"/>
        <c:axId val="927435215"/>
        <c:axId val="927441455"/>
      </c:lineChart>
      <c:catAx>
        <c:axId val="92743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441455"/>
        <c:crosses val="autoZero"/>
        <c:auto val="1"/>
        <c:lblAlgn val="ctr"/>
        <c:lblOffset val="100"/>
        <c:noMultiLvlLbl val="0"/>
      </c:catAx>
      <c:valAx>
        <c:axId val="9274414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43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 Analysis 2025.xlsx]Master's Degree!PivotTable61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Sector</a:t>
            </a:r>
            <a:r>
              <a:rPr lang="en-US" baseline="0"/>
              <a:t> Level and Lunch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'Master''s Degree'!$M$4:$M$6</c:f>
              <c:strCache>
                <c:ptCount val="1"/>
                <c:pt idx="0">
                  <c:v>free/reduced - female</c:v>
                </c:pt>
              </c:strCache>
            </c:strRef>
          </c:tx>
          <c:spPr>
            <a:solidFill>
              <a:schemeClr val="accent1"/>
            </a:solidFill>
            <a:ln>
              <a:noFill/>
            </a:ln>
            <a:effectLst/>
          </c:spPr>
          <c:invertIfNegative val="0"/>
          <c:cat>
            <c:strRef>
              <c:f>'Master''s Degree'!$L$7:$L$12</c:f>
              <c:strCache>
                <c:ptCount val="5"/>
                <c:pt idx="0">
                  <c:v>group A</c:v>
                </c:pt>
                <c:pt idx="1">
                  <c:v>group B</c:v>
                </c:pt>
                <c:pt idx="2">
                  <c:v>group C</c:v>
                </c:pt>
                <c:pt idx="3">
                  <c:v>group D</c:v>
                </c:pt>
                <c:pt idx="4">
                  <c:v>group E</c:v>
                </c:pt>
              </c:strCache>
            </c:strRef>
          </c:cat>
          <c:val>
            <c:numRef>
              <c:f>'Master''s Degree'!$M$7:$M$12</c:f>
              <c:numCache>
                <c:formatCode>General</c:formatCode>
                <c:ptCount val="5"/>
                <c:pt idx="0">
                  <c:v>190</c:v>
                </c:pt>
                <c:pt idx="1">
                  <c:v>664</c:v>
                </c:pt>
                <c:pt idx="2">
                  <c:v>557</c:v>
                </c:pt>
                <c:pt idx="3">
                  <c:v>815</c:v>
                </c:pt>
                <c:pt idx="4">
                  <c:v>602</c:v>
                </c:pt>
              </c:numCache>
            </c:numRef>
          </c:val>
          <c:extLst>
            <c:ext xmlns:c16="http://schemas.microsoft.com/office/drawing/2014/chart" uri="{C3380CC4-5D6E-409C-BE32-E72D297353CC}">
              <c16:uniqueId val="{00000000-1064-40C9-B89D-760FEE78EA00}"/>
            </c:ext>
          </c:extLst>
        </c:ser>
        <c:ser>
          <c:idx val="1"/>
          <c:order val="1"/>
          <c:tx>
            <c:strRef>
              <c:f>'Master''s Degree'!$N$4:$N$6</c:f>
              <c:strCache>
                <c:ptCount val="1"/>
                <c:pt idx="0">
                  <c:v>free/reduced - male</c:v>
                </c:pt>
              </c:strCache>
            </c:strRef>
          </c:tx>
          <c:spPr>
            <a:solidFill>
              <a:schemeClr val="accent2"/>
            </a:solidFill>
            <a:ln>
              <a:noFill/>
            </a:ln>
            <a:effectLst/>
          </c:spPr>
          <c:invertIfNegative val="0"/>
          <c:cat>
            <c:strRef>
              <c:f>'Master''s Degree'!$L$7:$L$12</c:f>
              <c:strCache>
                <c:ptCount val="5"/>
                <c:pt idx="0">
                  <c:v>group A</c:v>
                </c:pt>
                <c:pt idx="1">
                  <c:v>group B</c:v>
                </c:pt>
                <c:pt idx="2">
                  <c:v>group C</c:v>
                </c:pt>
                <c:pt idx="3">
                  <c:v>group D</c:v>
                </c:pt>
                <c:pt idx="4">
                  <c:v>group E</c:v>
                </c:pt>
              </c:strCache>
            </c:strRef>
          </c:cat>
          <c:val>
            <c:numRef>
              <c:f>'Master''s Degree'!$N$7:$N$12</c:f>
              <c:numCache>
                <c:formatCode>General</c:formatCode>
                <c:ptCount val="5"/>
                <c:pt idx="0">
                  <c:v>219</c:v>
                </c:pt>
                <c:pt idx="1">
                  <c:v>154</c:v>
                </c:pt>
                <c:pt idx="2">
                  <c:v>1368</c:v>
                </c:pt>
                <c:pt idx="3">
                  <c:v>263</c:v>
                </c:pt>
              </c:numCache>
            </c:numRef>
          </c:val>
          <c:extLst>
            <c:ext xmlns:c16="http://schemas.microsoft.com/office/drawing/2014/chart" uri="{C3380CC4-5D6E-409C-BE32-E72D297353CC}">
              <c16:uniqueId val="{00000008-1064-40C9-B89D-760FEE78EA00}"/>
            </c:ext>
          </c:extLst>
        </c:ser>
        <c:ser>
          <c:idx val="2"/>
          <c:order val="2"/>
          <c:tx>
            <c:strRef>
              <c:f>'Master''s Degree'!$P$4:$P$6</c:f>
              <c:strCache>
                <c:ptCount val="1"/>
                <c:pt idx="0">
                  <c:v>standard - female</c:v>
                </c:pt>
              </c:strCache>
            </c:strRef>
          </c:tx>
          <c:spPr>
            <a:solidFill>
              <a:schemeClr val="accent3"/>
            </a:solidFill>
            <a:ln>
              <a:noFill/>
            </a:ln>
            <a:effectLst/>
          </c:spPr>
          <c:invertIfNegative val="0"/>
          <c:cat>
            <c:strRef>
              <c:f>'Master''s Degree'!$L$7:$L$12</c:f>
              <c:strCache>
                <c:ptCount val="5"/>
                <c:pt idx="0">
                  <c:v>group A</c:v>
                </c:pt>
                <c:pt idx="1">
                  <c:v>group B</c:v>
                </c:pt>
                <c:pt idx="2">
                  <c:v>group C</c:v>
                </c:pt>
                <c:pt idx="3">
                  <c:v>group D</c:v>
                </c:pt>
                <c:pt idx="4">
                  <c:v>group E</c:v>
                </c:pt>
              </c:strCache>
            </c:strRef>
          </c:cat>
          <c:val>
            <c:numRef>
              <c:f>'Master''s Degree'!$P$7:$P$12</c:f>
              <c:numCache>
                <c:formatCode>General</c:formatCode>
                <c:ptCount val="5"/>
                <c:pt idx="0">
                  <c:v>161</c:v>
                </c:pt>
                <c:pt idx="1">
                  <c:v>529</c:v>
                </c:pt>
                <c:pt idx="2">
                  <c:v>907</c:v>
                </c:pt>
                <c:pt idx="3">
                  <c:v>2492</c:v>
                </c:pt>
                <c:pt idx="4">
                  <c:v>1037</c:v>
                </c:pt>
              </c:numCache>
            </c:numRef>
          </c:val>
          <c:extLst>
            <c:ext xmlns:c16="http://schemas.microsoft.com/office/drawing/2014/chart" uri="{C3380CC4-5D6E-409C-BE32-E72D297353CC}">
              <c16:uniqueId val="{00000001-6EFC-4F9D-9238-F1B7C2EBECB8}"/>
            </c:ext>
          </c:extLst>
        </c:ser>
        <c:ser>
          <c:idx val="3"/>
          <c:order val="3"/>
          <c:tx>
            <c:strRef>
              <c:f>'Master''s Degree'!$Q$4:$Q$6</c:f>
              <c:strCache>
                <c:ptCount val="1"/>
                <c:pt idx="0">
                  <c:v>standard - male</c:v>
                </c:pt>
              </c:strCache>
            </c:strRef>
          </c:tx>
          <c:spPr>
            <a:solidFill>
              <a:schemeClr val="accent4"/>
            </a:solidFill>
            <a:ln>
              <a:noFill/>
            </a:ln>
            <a:effectLst/>
          </c:spPr>
          <c:invertIfNegative val="0"/>
          <c:cat>
            <c:strRef>
              <c:f>'Master''s Degree'!$L$7:$L$12</c:f>
              <c:strCache>
                <c:ptCount val="5"/>
                <c:pt idx="0">
                  <c:v>group A</c:v>
                </c:pt>
                <c:pt idx="1">
                  <c:v>group B</c:v>
                </c:pt>
                <c:pt idx="2">
                  <c:v>group C</c:v>
                </c:pt>
                <c:pt idx="3">
                  <c:v>group D</c:v>
                </c:pt>
                <c:pt idx="4">
                  <c:v>group E</c:v>
                </c:pt>
              </c:strCache>
            </c:strRef>
          </c:cat>
          <c:val>
            <c:numRef>
              <c:f>'Master''s Degree'!$Q$7:$Q$12</c:f>
              <c:numCache>
                <c:formatCode>General</c:formatCode>
                <c:ptCount val="5"/>
                <c:pt idx="2">
                  <c:v>1103</c:v>
                </c:pt>
                <c:pt idx="3">
                  <c:v>1707</c:v>
                </c:pt>
                <c:pt idx="4">
                  <c:v>259</c:v>
                </c:pt>
              </c:numCache>
            </c:numRef>
          </c:val>
          <c:extLst>
            <c:ext xmlns:c16="http://schemas.microsoft.com/office/drawing/2014/chart" uri="{C3380CC4-5D6E-409C-BE32-E72D297353CC}">
              <c16:uniqueId val="{00000002-6EFC-4F9D-9238-F1B7C2EBECB8}"/>
            </c:ext>
          </c:extLst>
        </c:ser>
        <c:dLbls>
          <c:showLegendKey val="0"/>
          <c:showVal val="0"/>
          <c:showCatName val="0"/>
          <c:showSerName val="0"/>
          <c:showPercent val="0"/>
          <c:showBubbleSize val="0"/>
        </c:dLbls>
        <c:gapWidth val="150"/>
        <c:overlap val="100"/>
        <c:axId val="927434255"/>
        <c:axId val="927453935"/>
      </c:barChart>
      <c:catAx>
        <c:axId val="92743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453935"/>
        <c:crosses val="autoZero"/>
        <c:auto val="1"/>
        <c:lblAlgn val="ctr"/>
        <c:lblOffset val="100"/>
        <c:noMultiLvlLbl val="0"/>
      </c:catAx>
      <c:valAx>
        <c:axId val="927453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43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 Analysis 2025.xlsx]Master's Degree!PivotTable61</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Insight</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'Master''s Degree'!$M$4:$M$6</c:f>
              <c:strCache>
                <c:ptCount val="1"/>
                <c:pt idx="0">
                  <c:v>free/reduced - female</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'Master''s Degree'!$L$7:$L$12</c:f>
              <c:strCache>
                <c:ptCount val="5"/>
                <c:pt idx="0">
                  <c:v>group A</c:v>
                </c:pt>
                <c:pt idx="1">
                  <c:v>group B</c:v>
                </c:pt>
                <c:pt idx="2">
                  <c:v>group C</c:v>
                </c:pt>
                <c:pt idx="3">
                  <c:v>group D</c:v>
                </c:pt>
                <c:pt idx="4">
                  <c:v>group E</c:v>
                </c:pt>
              </c:strCache>
            </c:strRef>
          </c:cat>
          <c:val>
            <c:numRef>
              <c:f>'Master''s Degree'!$M$7:$M$12</c:f>
              <c:numCache>
                <c:formatCode>General</c:formatCode>
                <c:ptCount val="5"/>
                <c:pt idx="0">
                  <c:v>190</c:v>
                </c:pt>
                <c:pt idx="1">
                  <c:v>664</c:v>
                </c:pt>
                <c:pt idx="2">
                  <c:v>557</c:v>
                </c:pt>
                <c:pt idx="3">
                  <c:v>815</c:v>
                </c:pt>
                <c:pt idx="4">
                  <c:v>602</c:v>
                </c:pt>
              </c:numCache>
            </c:numRef>
          </c:val>
          <c:smooth val="0"/>
          <c:extLst>
            <c:ext xmlns:c16="http://schemas.microsoft.com/office/drawing/2014/chart" uri="{C3380CC4-5D6E-409C-BE32-E72D297353CC}">
              <c16:uniqueId val="{00000000-0A95-4D66-AE53-B7AF5AA11F06}"/>
            </c:ext>
          </c:extLst>
        </c:ser>
        <c:ser>
          <c:idx val="1"/>
          <c:order val="1"/>
          <c:tx>
            <c:strRef>
              <c:f>'Master''s Degree'!$N$4:$N$6</c:f>
              <c:strCache>
                <c:ptCount val="1"/>
                <c:pt idx="0">
                  <c:v>free/reduced - male</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'Master''s Degree'!$L$7:$L$12</c:f>
              <c:strCache>
                <c:ptCount val="5"/>
                <c:pt idx="0">
                  <c:v>group A</c:v>
                </c:pt>
                <c:pt idx="1">
                  <c:v>group B</c:v>
                </c:pt>
                <c:pt idx="2">
                  <c:v>group C</c:v>
                </c:pt>
                <c:pt idx="3">
                  <c:v>group D</c:v>
                </c:pt>
                <c:pt idx="4">
                  <c:v>group E</c:v>
                </c:pt>
              </c:strCache>
            </c:strRef>
          </c:cat>
          <c:val>
            <c:numRef>
              <c:f>'Master''s Degree'!$N$7:$N$12</c:f>
              <c:numCache>
                <c:formatCode>General</c:formatCode>
                <c:ptCount val="5"/>
                <c:pt idx="0">
                  <c:v>219</c:v>
                </c:pt>
                <c:pt idx="1">
                  <c:v>154</c:v>
                </c:pt>
                <c:pt idx="2">
                  <c:v>1368</c:v>
                </c:pt>
                <c:pt idx="3">
                  <c:v>263</c:v>
                </c:pt>
              </c:numCache>
            </c:numRef>
          </c:val>
          <c:smooth val="0"/>
          <c:extLst>
            <c:ext xmlns:c16="http://schemas.microsoft.com/office/drawing/2014/chart" uri="{C3380CC4-5D6E-409C-BE32-E72D297353CC}">
              <c16:uniqueId val="{00000005-0A95-4D66-AE53-B7AF5AA11F06}"/>
            </c:ext>
          </c:extLst>
        </c:ser>
        <c:ser>
          <c:idx val="2"/>
          <c:order val="2"/>
          <c:tx>
            <c:strRef>
              <c:f>'Master''s Degree'!$P$4:$P$6</c:f>
              <c:strCache>
                <c:ptCount val="1"/>
                <c:pt idx="0">
                  <c:v>standard - female</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'Master''s Degree'!$L$7:$L$12</c:f>
              <c:strCache>
                <c:ptCount val="5"/>
                <c:pt idx="0">
                  <c:v>group A</c:v>
                </c:pt>
                <c:pt idx="1">
                  <c:v>group B</c:v>
                </c:pt>
                <c:pt idx="2">
                  <c:v>group C</c:v>
                </c:pt>
                <c:pt idx="3">
                  <c:v>group D</c:v>
                </c:pt>
                <c:pt idx="4">
                  <c:v>group E</c:v>
                </c:pt>
              </c:strCache>
            </c:strRef>
          </c:cat>
          <c:val>
            <c:numRef>
              <c:f>'Master''s Degree'!$P$7:$P$12</c:f>
              <c:numCache>
                <c:formatCode>General</c:formatCode>
                <c:ptCount val="5"/>
                <c:pt idx="0">
                  <c:v>161</c:v>
                </c:pt>
                <c:pt idx="1">
                  <c:v>529</c:v>
                </c:pt>
                <c:pt idx="2">
                  <c:v>907</c:v>
                </c:pt>
                <c:pt idx="3">
                  <c:v>2492</c:v>
                </c:pt>
                <c:pt idx="4">
                  <c:v>1037</c:v>
                </c:pt>
              </c:numCache>
            </c:numRef>
          </c:val>
          <c:smooth val="0"/>
          <c:extLst>
            <c:ext xmlns:c16="http://schemas.microsoft.com/office/drawing/2014/chart" uri="{C3380CC4-5D6E-409C-BE32-E72D297353CC}">
              <c16:uniqueId val="{00000001-0E51-4609-946F-6EC156C92310}"/>
            </c:ext>
          </c:extLst>
        </c:ser>
        <c:ser>
          <c:idx val="3"/>
          <c:order val="3"/>
          <c:tx>
            <c:strRef>
              <c:f>'Master''s Degree'!$Q$4:$Q$6</c:f>
              <c:strCache>
                <c:ptCount val="1"/>
                <c:pt idx="0">
                  <c:v>standard - male</c:v>
                </c:pt>
              </c:strCache>
            </c:strRef>
          </c:tx>
          <c:spPr>
            <a:ln w="22225" cap="rnd" cmpd="sng" algn="ctr">
              <a:solidFill>
                <a:schemeClr val="accent4"/>
              </a:solidFill>
              <a:round/>
            </a:ln>
            <a:effectLst/>
          </c:spPr>
          <c:marker>
            <c:symbol val="circle"/>
            <c:size val="4"/>
            <c:spPr>
              <a:solidFill>
                <a:schemeClr val="accent4"/>
              </a:solidFill>
              <a:ln w="9525" cap="flat" cmpd="sng" algn="ctr">
                <a:solidFill>
                  <a:schemeClr val="accent4"/>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'Master''s Degree'!$L$7:$L$12</c:f>
              <c:strCache>
                <c:ptCount val="5"/>
                <c:pt idx="0">
                  <c:v>group A</c:v>
                </c:pt>
                <c:pt idx="1">
                  <c:v>group B</c:v>
                </c:pt>
                <c:pt idx="2">
                  <c:v>group C</c:v>
                </c:pt>
                <c:pt idx="3">
                  <c:v>group D</c:v>
                </c:pt>
                <c:pt idx="4">
                  <c:v>group E</c:v>
                </c:pt>
              </c:strCache>
            </c:strRef>
          </c:cat>
          <c:val>
            <c:numRef>
              <c:f>'Master''s Degree'!$Q$7:$Q$12</c:f>
              <c:numCache>
                <c:formatCode>General</c:formatCode>
                <c:ptCount val="5"/>
                <c:pt idx="2">
                  <c:v>1103</c:v>
                </c:pt>
                <c:pt idx="3">
                  <c:v>1707</c:v>
                </c:pt>
                <c:pt idx="4">
                  <c:v>259</c:v>
                </c:pt>
              </c:numCache>
            </c:numRef>
          </c:val>
          <c:smooth val="0"/>
          <c:extLst>
            <c:ext xmlns:c16="http://schemas.microsoft.com/office/drawing/2014/chart" uri="{C3380CC4-5D6E-409C-BE32-E72D297353CC}">
              <c16:uniqueId val="{00000002-0E51-4609-946F-6EC156C92310}"/>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821585951"/>
        <c:axId val="821564351"/>
      </c:lineChart>
      <c:catAx>
        <c:axId val="82158595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Race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21564351"/>
        <c:crosses val="autoZero"/>
        <c:auto val="1"/>
        <c:lblAlgn val="ctr"/>
        <c:lblOffset val="100"/>
        <c:noMultiLvlLbl val="0"/>
      </c:catAx>
      <c:valAx>
        <c:axId val="82156435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total</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82158595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[StudentsPerformance Analysis 2025.xlsx]Master's Degree!PivotTable61</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'Master''s Degree'!$M$4:$M$6</c:f>
              <c:strCache>
                <c:ptCount val="1"/>
                <c:pt idx="0">
                  <c:v>free/reduced - 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'Master''s Degree'!$L$7:$L$12</c:f>
              <c:strCache>
                <c:ptCount val="5"/>
                <c:pt idx="0">
                  <c:v>group A</c:v>
                </c:pt>
                <c:pt idx="1">
                  <c:v>group B</c:v>
                </c:pt>
                <c:pt idx="2">
                  <c:v>group C</c:v>
                </c:pt>
                <c:pt idx="3">
                  <c:v>group D</c:v>
                </c:pt>
                <c:pt idx="4">
                  <c:v>group E</c:v>
                </c:pt>
              </c:strCache>
            </c:strRef>
          </c:cat>
          <c:val>
            <c:numRef>
              <c:f>'Master''s Degree'!$M$7:$M$12</c:f>
              <c:numCache>
                <c:formatCode>General</c:formatCode>
                <c:ptCount val="5"/>
                <c:pt idx="0">
                  <c:v>190</c:v>
                </c:pt>
                <c:pt idx="1">
                  <c:v>664</c:v>
                </c:pt>
                <c:pt idx="2">
                  <c:v>557</c:v>
                </c:pt>
                <c:pt idx="3">
                  <c:v>815</c:v>
                </c:pt>
                <c:pt idx="4">
                  <c:v>602</c:v>
                </c:pt>
              </c:numCache>
            </c:numRef>
          </c:val>
          <c:extLst>
            <c:ext xmlns:c16="http://schemas.microsoft.com/office/drawing/2014/chart" uri="{C3380CC4-5D6E-409C-BE32-E72D297353CC}">
              <c16:uniqueId val="{00000000-DCD8-4BE2-BE8F-AE87EF9DEF02}"/>
            </c:ext>
          </c:extLst>
        </c:ser>
        <c:ser>
          <c:idx val="1"/>
          <c:order val="1"/>
          <c:tx>
            <c:strRef>
              <c:f>'Master''s Degree'!$N$4:$N$6</c:f>
              <c:strCache>
                <c:ptCount val="1"/>
                <c:pt idx="0">
                  <c:v>free/reduced - 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'Master''s Degree'!$L$7:$L$12</c:f>
              <c:strCache>
                <c:ptCount val="5"/>
                <c:pt idx="0">
                  <c:v>group A</c:v>
                </c:pt>
                <c:pt idx="1">
                  <c:v>group B</c:v>
                </c:pt>
                <c:pt idx="2">
                  <c:v>group C</c:v>
                </c:pt>
                <c:pt idx="3">
                  <c:v>group D</c:v>
                </c:pt>
                <c:pt idx="4">
                  <c:v>group E</c:v>
                </c:pt>
              </c:strCache>
            </c:strRef>
          </c:cat>
          <c:val>
            <c:numRef>
              <c:f>'Master''s Degree'!$N$7:$N$12</c:f>
              <c:numCache>
                <c:formatCode>General</c:formatCode>
                <c:ptCount val="5"/>
                <c:pt idx="0">
                  <c:v>219</c:v>
                </c:pt>
                <c:pt idx="1">
                  <c:v>154</c:v>
                </c:pt>
                <c:pt idx="2">
                  <c:v>1368</c:v>
                </c:pt>
                <c:pt idx="3">
                  <c:v>263</c:v>
                </c:pt>
              </c:numCache>
            </c:numRef>
          </c:val>
          <c:extLst>
            <c:ext xmlns:c16="http://schemas.microsoft.com/office/drawing/2014/chart" uri="{C3380CC4-5D6E-409C-BE32-E72D297353CC}">
              <c16:uniqueId val="{00000005-DCD8-4BE2-BE8F-AE87EF9DEF02}"/>
            </c:ext>
          </c:extLst>
        </c:ser>
        <c:ser>
          <c:idx val="2"/>
          <c:order val="2"/>
          <c:tx>
            <c:strRef>
              <c:f>'Master''s Degree'!$P$4:$P$6</c:f>
              <c:strCache>
                <c:ptCount val="1"/>
                <c:pt idx="0">
                  <c:v>standard - female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'Master''s Degree'!$L$7:$L$12</c:f>
              <c:strCache>
                <c:ptCount val="5"/>
                <c:pt idx="0">
                  <c:v>group A</c:v>
                </c:pt>
                <c:pt idx="1">
                  <c:v>group B</c:v>
                </c:pt>
                <c:pt idx="2">
                  <c:v>group C</c:v>
                </c:pt>
                <c:pt idx="3">
                  <c:v>group D</c:v>
                </c:pt>
                <c:pt idx="4">
                  <c:v>group E</c:v>
                </c:pt>
              </c:strCache>
            </c:strRef>
          </c:cat>
          <c:val>
            <c:numRef>
              <c:f>'Master''s Degree'!$P$7:$P$12</c:f>
              <c:numCache>
                <c:formatCode>General</c:formatCode>
                <c:ptCount val="5"/>
                <c:pt idx="0">
                  <c:v>161</c:v>
                </c:pt>
                <c:pt idx="1">
                  <c:v>529</c:v>
                </c:pt>
                <c:pt idx="2">
                  <c:v>907</c:v>
                </c:pt>
                <c:pt idx="3">
                  <c:v>2492</c:v>
                </c:pt>
                <c:pt idx="4">
                  <c:v>1037</c:v>
                </c:pt>
              </c:numCache>
            </c:numRef>
          </c:val>
          <c:extLst>
            <c:ext xmlns:c16="http://schemas.microsoft.com/office/drawing/2014/chart" uri="{C3380CC4-5D6E-409C-BE32-E72D297353CC}">
              <c16:uniqueId val="{00000001-FE65-438B-98CF-DE08082C2D57}"/>
            </c:ext>
          </c:extLst>
        </c:ser>
        <c:ser>
          <c:idx val="3"/>
          <c:order val="3"/>
          <c:tx>
            <c:strRef>
              <c:f>'Master''s Degree'!$Q$4:$Q$6</c:f>
              <c:strCache>
                <c:ptCount val="1"/>
                <c:pt idx="0">
                  <c:v>standard - male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'Master''s Degree'!$L$7:$L$12</c:f>
              <c:strCache>
                <c:ptCount val="5"/>
                <c:pt idx="0">
                  <c:v>group A</c:v>
                </c:pt>
                <c:pt idx="1">
                  <c:v>group B</c:v>
                </c:pt>
                <c:pt idx="2">
                  <c:v>group C</c:v>
                </c:pt>
                <c:pt idx="3">
                  <c:v>group D</c:v>
                </c:pt>
                <c:pt idx="4">
                  <c:v>group E</c:v>
                </c:pt>
              </c:strCache>
            </c:strRef>
          </c:cat>
          <c:val>
            <c:numRef>
              <c:f>'Master''s Degree'!$Q$7:$Q$12</c:f>
              <c:numCache>
                <c:formatCode>General</c:formatCode>
                <c:ptCount val="5"/>
                <c:pt idx="2">
                  <c:v>1103</c:v>
                </c:pt>
                <c:pt idx="3">
                  <c:v>1707</c:v>
                </c:pt>
                <c:pt idx="4">
                  <c:v>259</c:v>
                </c:pt>
              </c:numCache>
            </c:numRef>
          </c:val>
          <c:extLst>
            <c:ext xmlns:c16="http://schemas.microsoft.com/office/drawing/2014/chart" uri="{C3380CC4-5D6E-409C-BE32-E72D297353CC}">
              <c16:uniqueId val="{00000002-FE65-438B-98CF-DE08082C2D57}"/>
            </c:ext>
          </c:extLst>
        </c:ser>
        <c:dLbls>
          <c:showLegendKey val="0"/>
          <c:showVal val="0"/>
          <c:showCatName val="0"/>
          <c:showSerName val="0"/>
          <c:showPercent val="0"/>
          <c:showBubbleSize val="0"/>
        </c:dLbls>
        <c:gapWidth val="247"/>
        <c:overlap val="-27"/>
        <c:axId val="927475055"/>
        <c:axId val="927463055"/>
      </c:barChart>
      <c:catAx>
        <c:axId val="9274750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7463055"/>
        <c:crosses val="autoZero"/>
        <c:auto val="1"/>
        <c:lblAlgn val="ctr"/>
        <c:lblOffset val="100"/>
        <c:noMultiLvlLbl val="0"/>
      </c:catAx>
      <c:valAx>
        <c:axId val="92746305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747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Sector</a:t>
            </a:r>
            <a:r>
              <a:rPr lang="en-US" baseline="0"/>
              <a:t> Vs Highest Education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PassGrading!$D$2</c:f>
              <c:strCache>
                <c:ptCount val="1"/>
                <c:pt idx="0">
                  <c:v>Avg grade %</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7B5-498F-97D9-8FCC64287EE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7B5-498F-97D9-8FCC64287EE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7B5-498F-97D9-8FCC64287EE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7B5-498F-97D9-8FCC64287EE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7B5-498F-97D9-8FCC64287EE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PassGrading!$A$3:$A$7</c:f>
              <c:strCache>
                <c:ptCount val="5"/>
                <c:pt idx="0">
                  <c:v>group A</c:v>
                </c:pt>
                <c:pt idx="1">
                  <c:v>group B</c:v>
                </c:pt>
                <c:pt idx="2">
                  <c:v>group C</c:v>
                </c:pt>
                <c:pt idx="3">
                  <c:v>group D</c:v>
                </c:pt>
                <c:pt idx="4">
                  <c:v>group E</c:v>
                </c:pt>
              </c:strCache>
            </c:strRef>
          </c:cat>
          <c:val>
            <c:numRef>
              <c:f>PassGrading!$D$3:$D$7</c:f>
              <c:numCache>
                <c:formatCode>0%</c:formatCode>
                <c:ptCount val="5"/>
                <c:pt idx="0">
                  <c:v>0.3</c:v>
                </c:pt>
                <c:pt idx="1">
                  <c:v>0.9</c:v>
                </c:pt>
                <c:pt idx="2">
                  <c:v>0.7</c:v>
                </c:pt>
              </c:numCache>
            </c:numRef>
          </c:val>
          <c:extLst>
            <c:ext xmlns:c16="http://schemas.microsoft.com/office/drawing/2014/chart" uri="{C3380CC4-5D6E-409C-BE32-E72D297353CC}">
              <c16:uniqueId val="{00000000-8104-4BEA-8F59-54F8F2FB182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Sector and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4793221269876479E-2"/>
          <c:y val="0.20478494623655918"/>
          <c:w val="0.87569638302254471"/>
          <c:h val="0.58695411057488778"/>
        </c:manualLayout>
      </c:layout>
      <c:barChart>
        <c:barDir val="col"/>
        <c:grouping val="clustered"/>
        <c:varyColors val="0"/>
        <c:ser>
          <c:idx val="0"/>
          <c:order val="0"/>
          <c:tx>
            <c:strRef>
              <c:f>PassGrading!$D$2</c:f>
              <c:strCache>
                <c:ptCount val="1"/>
                <c:pt idx="0">
                  <c:v>Avg grade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PassGrading!$A$3:$B$7</c:f>
              <c:multiLvlStrCache>
                <c:ptCount val="5"/>
                <c:lvl>
                  <c:pt idx="0">
                    <c:v>master's degree</c:v>
                  </c:pt>
                  <c:pt idx="1">
                    <c:v>master's degree</c:v>
                  </c:pt>
                  <c:pt idx="2">
                    <c:v>master's degree</c:v>
                  </c:pt>
                  <c:pt idx="3">
                    <c:v>master's degree</c:v>
                  </c:pt>
                  <c:pt idx="4">
                    <c:v>master's degree</c:v>
                  </c:pt>
                </c:lvl>
                <c:lvl>
                  <c:pt idx="0">
                    <c:v>group A</c:v>
                  </c:pt>
                  <c:pt idx="1">
                    <c:v>group B</c:v>
                  </c:pt>
                  <c:pt idx="2">
                    <c:v>group C</c:v>
                  </c:pt>
                  <c:pt idx="3">
                    <c:v>group D</c:v>
                  </c:pt>
                  <c:pt idx="4">
                    <c:v>group E</c:v>
                  </c:pt>
                </c:lvl>
              </c:multiLvlStrCache>
            </c:multiLvlStrRef>
          </c:cat>
          <c:val>
            <c:numRef>
              <c:f>PassGrading!$D$3:$D$7</c:f>
              <c:numCache>
                <c:formatCode>0%</c:formatCode>
                <c:ptCount val="5"/>
                <c:pt idx="0">
                  <c:v>0.3</c:v>
                </c:pt>
                <c:pt idx="1">
                  <c:v>0.9</c:v>
                </c:pt>
                <c:pt idx="2">
                  <c:v>0.7</c:v>
                </c:pt>
              </c:numCache>
            </c:numRef>
          </c:val>
          <c:extLst>
            <c:ext xmlns:c16="http://schemas.microsoft.com/office/drawing/2014/chart" uri="{C3380CC4-5D6E-409C-BE32-E72D297353CC}">
              <c16:uniqueId val="{00000000-4436-4E12-8287-0A6A44967806}"/>
            </c:ext>
          </c:extLst>
        </c:ser>
        <c:dLbls>
          <c:dLblPos val="outEnd"/>
          <c:showLegendKey val="0"/>
          <c:showVal val="1"/>
          <c:showCatName val="0"/>
          <c:showSerName val="0"/>
          <c:showPercent val="0"/>
          <c:showBubbleSize val="0"/>
        </c:dLbls>
        <c:gapWidth val="219"/>
        <c:overlap val="-27"/>
        <c:axId val="137400064"/>
        <c:axId val="137402944"/>
      </c:barChart>
      <c:catAx>
        <c:axId val="13740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02944"/>
        <c:crosses val="autoZero"/>
        <c:auto val="1"/>
        <c:lblAlgn val="ctr"/>
        <c:lblOffset val="100"/>
        <c:noMultiLvlLbl val="0"/>
      </c:catAx>
      <c:valAx>
        <c:axId val="1374029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00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Sectors vs Highest Education</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PassGrading!$D$2</c:f>
              <c:strCache>
                <c:ptCount val="1"/>
                <c:pt idx="0">
                  <c:v>Avg grade %</c:v>
                </c:pt>
              </c:strCache>
            </c:strRef>
          </c:tx>
          <c:spPr>
            <a:noFill/>
            <a:ln w="25400" cap="flat" cmpd="sng" algn="ctr">
              <a:solidFill>
                <a:schemeClr val="accent2"/>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PassGrading!$A$3:$B$7</c:f>
              <c:multiLvlStrCache>
                <c:ptCount val="5"/>
                <c:lvl>
                  <c:pt idx="0">
                    <c:v>master's degree</c:v>
                  </c:pt>
                  <c:pt idx="1">
                    <c:v>master's degree</c:v>
                  </c:pt>
                  <c:pt idx="2">
                    <c:v>master's degree</c:v>
                  </c:pt>
                  <c:pt idx="3">
                    <c:v>master's degree</c:v>
                  </c:pt>
                  <c:pt idx="4">
                    <c:v>master's degree</c:v>
                  </c:pt>
                </c:lvl>
                <c:lvl>
                  <c:pt idx="0">
                    <c:v>group A</c:v>
                  </c:pt>
                  <c:pt idx="1">
                    <c:v>group B</c:v>
                  </c:pt>
                  <c:pt idx="2">
                    <c:v>group C</c:v>
                  </c:pt>
                  <c:pt idx="3">
                    <c:v>group D</c:v>
                  </c:pt>
                  <c:pt idx="4">
                    <c:v>group E</c:v>
                  </c:pt>
                </c:lvl>
              </c:multiLvlStrCache>
            </c:multiLvlStrRef>
          </c:cat>
          <c:val>
            <c:numRef>
              <c:f>PassGrading!$D$3:$D$7</c:f>
              <c:numCache>
                <c:formatCode>0%</c:formatCode>
                <c:ptCount val="5"/>
                <c:pt idx="0">
                  <c:v>0.3</c:v>
                </c:pt>
                <c:pt idx="1">
                  <c:v>0.9</c:v>
                </c:pt>
                <c:pt idx="2">
                  <c:v>0.7</c:v>
                </c:pt>
              </c:numCache>
            </c:numRef>
          </c:val>
          <c:extLst>
            <c:ext xmlns:c16="http://schemas.microsoft.com/office/drawing/2014/chart" uri="{C3380CC4-5D6E-409C-BE32-E72D297353CC}">
              <c16:uniqueId val="{00000000-0554-4991-BBFC-543DCF17731E}"/>
            </c:ext>
          </c:extLst>
        </c:ser>
        <c:dLbls>
          <c:dLblPos val="outEnd"/>
          <c:showLegendKey val="0"/>
          <c:showVal val="1"/>
          <c:showCatName val="0"/>
          <c:showSerName val="0"/>
          <c:showPercent val="0"/>
          <c:showBubbleSize val="0"/>
        </c:dLbls>
        <c:gapWidth val="227"/>
        <c:overlap val="-48"/>
        <c:axId val="137393344"/>
        <c:axId val="137396704"/>
      </c:barChart>
      <c:catAx>
        <c:axId val="1373933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7396704"/>
        <c:crosses val="autoZero"/>
        <c:auto val="1"/>
        <c:lblAlgn val="ctr"/>
        <c:lblOffset val="100"/>
        <c:noMultiLvlLbl val="0"/>
      </c:catAx>
      <c:valAx>
        <c:axId val="137396704"/>
        <c:scaling>
          <c:orientation val="minMax"/>
        </c:scaling>
        <c:delete val="0"/>
        <c:axPos val="b"/>
        <c:numFmt formatCode="0%"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7393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'Students in that Level'!$B$1</c:f>
              <c:strCache>
                <c:ptCount val="1"/>
                <c:pt idx="0">
                  <c:v>Female %</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'Students in that Level'!$A$2:$A$7</c:f>
              <c:strCache>
                <c:ptCount val="6"/>
                <c:pt idx="0">
                  <c:v>some high school</c:v>
                </c:pt>
                <c:pt idx="1">
                  <c:v>high school</c:v>
                </c:pt>
                <c:pt idx="2">
                  <c:v>some college</c:v>
                </c:pt>
                <c:pt idx="3">
                  <c:v>associate's degree</c:v>
                </c:pt>
                <c:pt idx="4">
                  <c:v>bachelor's degree</c:v>
                </c:pt>
                <c:pt idx="5">
                  <c:v>master's degree</c:v>
                </c:pt>
              </c:strCache>
            </c:strRef>
          </c:cat>
          <c:val>
            <c:numRef>
              <c:f>'Students in that Level'!$B$2:$B$7</c:f>
              <c:numCache>
                <c:formatCode>0%</c:formatCode>
                <c:ptCount val="6"/>
                <c:pt idx="0">
                  <c:v>0.50800000000000001</c:v>
                </c:pt>
                <c:pt idx="1">
                  <c:v>0.48</c:v>
                </c:pt>
                <c:pt idx="2">
                  <c:v>0.52200000000000002</c:v>
                </c:pt>
                <c:pt idx="3">
                  <c:v>0.52300000000000002</c:v>
                </c:pt>
                <c:pt idx="4">
                  <c:v>0.53400000000000003</c:v>
                </c:pt>
                <c:pt idx="5">
                  <c:v>0.61</c:v>
                </c:pt>
              </c:numCache>
            </c:numRef>
          </c:val>
          <c:extLst>
            <c:ext xmlns:c16="http://schemas.microsoft.com/office/drawing/2014/chart" uri="{C3380CC4-5D6E-409C-BE32-E72D297353CC}">
              <c16:uniqueId val="{00000000-00AB-4C6F-B534-7CECE9F1C588}"/>
            </c:ext>
          </c:extLst>
        </c:ser>
        <c:ser>
          <c:idx val="1"/>
          <c:order val="1"/>
          <c:tx>
            <c:strRef>
              <c:f>'Students in that Level'!$C$1</c:f>
              <c:strCache>
                <c:ptCount val="1"/>
                <c:pt idx="0">
                  <c:v>Male %</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'Students in that Level'!$A$2:$A$7</c:f>
              <c:strCache>
                <c:ptCount val="6"/>
                <c:pt idx="0">
                  <c:v>some high school</c:v>
                </c:pt>
                <c:pt idx="1">
                  <c:v>high school</c:v>
                </c:pt>
                <c:pt idx="2">
                  <c:v>some college</c:v>
                </c:pt>
                <c:pt idx="3">
                  <c:v>associate's degree</c:v>
                </c:pt>
                <c:pt idx="4">
                  <c:v>bachelor's degree</c:v>
                </c:pt>
                <c:pt idx="5">
                  <c:v>master's degree</c:v>
                </c:pt>
              </c:strCache>
            </c:strRef>
          </c:cat>
          <c:val>
            <c:numRef>
              <c:f>'Students in that Level'!$C$2:$C$7</c:f>
              <c:numCache>
                <c:formatCode>0%</c:formatCode>
                <c:ptCount val="6"/>
                <c:pt idx="0">
                  <c:v>0.49199999999999999</c:v>
                </c:pt>
                <c:pt idx="1">
                  <c:v>0.52</c:v>
                </c:pt>
                <c:pt idx="2">
                  <c:v>0.47799999999999998</c:v>
                </c:pt>
                <c:pt idx="3">
                  <c:v>0.47699999999999998</c:v>
                </c:pt>
                <c:pt idx="4">
                  <c:v>0.46600000000000003</c:v>
                </c:pt>
                <c:pt idx="5">
                  <c:v>0.39</c:v>
                </c:pt>
              </c:numCache>
            </c:numRef>
          </c:val>
          <c:extLst>
            <c:ext xmlns:c16="http://schemas.microsoft.com/office/drawing/2014/chart" uri="{C3380CC4-5D6E-409C-BE32-E72D297353CC}">
              <c16:uniqueId val="{00000001-00AB-4C6F-B534-7CECE9F1C588}"/>
            </c:ext>
          </c:extLst>
        </c:ser>
        <c:dLbls>
          <c:dLblPos val="ctr"/>
          <c:showLegendKey val="0"/>
          <c:showVal val="1"/>
          <c:showCatName val="0"/>
          <c:showSerName val="0"/>
          <c:showPercent val="0"/>
          <c:showBubbleSize val="0"/>
        </c:dLbls>
        <c:gapWidth val="50"/>
        <c:overlap val="100"/>
        <c:axId val="1850476192"/>
        <c:axId val="1850477152"/>
      </c:barChart>
      <c:catAx>
        <c:axId val="1850476192"/>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477152"/>
        <c:crosses val="autoZero"/>
        <c:auto val="1"/>
        <c:lblAlgn val="ctr"/>
        <c:lblOffset val="100"/>
        <c:noMultiLvlLbl val="0"/>
      </c:catAx>
      <c:valAx>
        <c:axId val="18504771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476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a:t>
            </a:r>
            <a:r>
              <a:rPr lang="en-US" baseline="0"/>
              <a:t> of Females and Males within Parental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'Students in that Level'!$B$1</c:f>
              <c:strCache>
                <c:ptCount val="1"/>
                <c:pt idx="0">
                  <c:v>Female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'Students in that Level'!$A$2:$A$7</c:f>
              <c:strCache>
                <c:ptCount val="6"/>
                <c:pt idx="0">
                  <c:v>some high school</c:v>
                </c:pt>
                <c:pt idx="1">
                  <c:v>high school</c:v>
                </c:pt>
                <c:pt idx="2">
                  <c:v>some college</c:v>
                </c:pt>
                <c:pt idx="3">
                  <c:v>associate's degree</c:v>
                </c:pt>
                <c:pt idx="4">
                  <c:v>bachelor's degree</c:v>
                </c:pt>
                <c:pt idx="5">
                  <c:v>master's degree</c:v>
                </c:pt>
              </c:strCache>
            </c:strRef>
          </c:cat>
          <c:val>
            <c:numRef>
              <c:f>'Students in that Level'!$B$2:$B$7</c:f>
              <c:numCache>
                <c:formatCode>0%</c:formatCode>
                <c:ptCount val="6"/>
                <c:pt idx="0">
                  <c:v>0.50800000000000001</c:v>
                </c:pt>
                <c:pt idx="1">
                  <c:v>0.48</c:v>
                </c:pt>
                <c:pt idx="2">
                  <c:v>0.52200000000000002</c:v>
                </c:pt>
                <c:pt idx="3">
                  <c:v>0.52300000000000002</c:v>
                </c:pt>
                <c:pt idx="4">
                  <c:v>0.53400000000000003</c:v>
                </c:pt>
                <c:pt idx="5">
                  <c:v>0.61</c:v>
                </c:pt>
              </c:numCache>
            </c:numRef>
          </c:val>
          <c:extLst>
            <c:ext xmlns:c16="http://schemas.microsoft.com/office/drawing/2014/chart" uri="{C3380CC4-5D6E-409C-BE32-E72D297353CC}">
              <c16:uniqueId val="{00000000-C8DD-4DBD-A1B8-8CEAC756E4FC}"/>
            </c:ext>
          </c:extLst>
        </c:ser>
        <c:ser>
          <c:idx val="1"/>
          <c:order val="1"/>
          <c:tx>
            <c:strRef>
              <c:f>'Students in that Level'!$C$1</c:f>
              <c:strCache>
                <c:ptCount val="1"/>
                <c:pt idx="0">
                  <c:v>Male %</c:v>
                </c:pt>
              </c:strCache>
            </c:strRef>
          </c:tx>
          <c:spPr>
            <a:solidFill>
              <a:schemeClr val="accent2"/>
            </a:solidFill>
            <a:ln>
              <a:noFill/>
            </a:ln>
            <a:effectLst/>
          </c:spPr>
          <c:invertIfNegative val="0"/>
          <c:dLbls>
            <c:dLbl>
              <c:idx val="0"/>
              <c:layout>
                <c:manualLayout>
                  <c:x val="7.7972709551656916E-3"/>
                  <c:y val="-8.314087759815241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DD-4DBD-A1B8-8CEAC756E4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'Students in that Level'!$A$2:$A$7</c:f>
              <c:strCache>
                <c:ptCount val="6"/>
                <c:pt idx="0">
                  <c:v>some high school</c:v>
                </c:pt>
                <c:pt idx="1">
                  <c:v>high school</c:v>
                </c:pt>
                <c:pt idx="2">
                  <c:v>some college</c:v>
                </c:pt>
                <c:pt idx="3">
                  <c:v>associate's degree</c:v>
                </c:pt>
                <c:pt idx="4">
                  <c:v>bachelor's degree</c:v>
                </c:pt>
                <c:pt idx="5">
                  <c:v>master's degree</c:v>
                </c:pt>
              </c:strCache>
            </c:strRef>
          </c:cat>
          <c:val>
            <c:numRef>
              <c:f>'Students in that Level'!$C$2:$C$7</c:f>
              <c:numCache>
                <c:formatCode>0%</c:formatCode>
                <c:ptCount val="6"/>
                <c:pt idx="0">
                  <c:v>0.49199999999999999</c:v>
                </c:pt>
                <c:pt idx="1">
                  <c:v>0.52</c:v>
                </c:pt>
                <c:pt idx="2">
                  <c:v>0.47799999999999998</c:v>
                </c:pt>
                <c:pt idx="3">
                  <c:v>0.47699999999999998</c:v>
                </c:pt>
                <c:pt idx="4">
                  <c:v>0.46600000000000003</c:v>
                </c:pt>
                <c:pt idx="5">
                  <c:v>0.39</c:v>
                </c:pt>
              </c:numCache>
            </c:numRef>
          </c:val>
          <c:extLst>
            <c:ext xmlns:c16="http://schemas.microsoft.com/office/drawing/2014/chart" uri="{C3380CC4-5D6E-409C-BE32-E72D297353CC}">
              <c16:uniqueId val="{00000001-C8DD-4DBD-A1B8-8CEAC756E4FC}"/>
            </c:ext>
          </c:extLst>
        </c:ser>
        <c:dLbls>
          <c:dLblPos val="outEnd"/>
          <c:showLegendKey val="0"/>
          <c:showVal val="1"/>
          <c:showCatName val="0"/>
          <c:showSerName val="0"/>
          <c:showPercent val="0"/>
          <c:showBubbleSize val="0"/>
        </c:dLbls>
        <c:gapWidth val="219"/>
        <c:overlap val="-27"/>
        <c:axId val="137410144"/>
        <c:axId val="137409184"/>
      </c:barChart>
      <c:catAx>
        <c:axId val="13741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09184"/>
        <c:crosses val="autoZero"/>
        <c:auto val="1"/>
        <c:lblAlgn val="ctr"/>
        <c:lblOffset val="100"/>
        <c:noMultiLvlLbl val="0"/>
      </c:catAx>
      <c:valAx>
        <c:axId val="1374091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1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'Students in that Level'!$B$1</c:f>
              <c:strCache>
                <c:ptCount val="1"/>
                <c:pt idx="0">
                  <c:v>Female %</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D62-4B88-A271-3826FA4A771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D62-4B88-A271-3826FA4A771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1D62-4B88-A271-3826FA4A771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1D62-4B88-A271-3826FA4A771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1D62-4B88-A271-3826FA4A771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1D62-4B88-A271-3826FA4A771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1D62-4B88-A271-3826FA4A771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1D62-4B88-A271-3826FA4A771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1D62-4B88-A271-3826FA4A771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6-1D62-4B88-A271-3826FA4A771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1D62-4B88-A271-3826FA4A771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8-1D62-4B88-A271-3826FA4A771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'Students in that Level'!$A$2:$A$7</c:f>
              <c:strCache>
                <c:ptCount val="6"/>
                <c:pt idx="0">
                  <c:v>some high school</c:v>
                </c:pt>
                <c:pt idx="1">
                  <c:v>high school</c:v>
                </c:pt>
                <c:pt idx="2">
                  <c:v>some college</c:v>
                </c:pt>
                <c:pt idx="3">
                  <c:v>associate's degree</c:v>
                </c:pt>
                <c:pt idx="4">
                  <c:v>bachelor's degree</c:v>
                </c:pt>
                <c:pt idx="5">
                  <c:v>master's degree</c:v>
                </c:pt>
              </c:strCache>
            </c:strRef>
          </c:cat>
          <c:val>
            <c:numRef>
              <c:f>'Students in that Level'!$B$2:$B$7</c:f>
              <c:numCache>
                <c:formatCode>0%</c:formatCode>
                <c:ptCount val="6"/>
                <c:pt idx="0">
                  <c:v>0.50800000000000001</c:v>
                </c:pt>
                <c:pt idx="1">
                  <c:v>0.48</c:v>
                </c:pt>
                <c:pt idx="2">
                  <c:v>0.52200000000000002</c:v>
                </c:pt>
                <c:pt idx="3">
                  <c:v>0.52300000000000002</c:v>
                </c:pt>
                <c:pt idx="4">
                  <c:v>0.53400000000000003</c:v>
                </c:pt>
                <c:pt idx="5">
                  <c:v>0.61</c:v>
                </c:pt>
              </c:numCache>
            </c:numRef>
          </c:val>
          <c:extLst>
            <c:ext xmlns:c16="http://schemas.microsoft.com/office/drawing/2014/chart" uri="{C3380CC4-5D6E-409C-BE32-E72D297353CC}">
              <c16:uniqueId val="{00000000-1D62-4B88-A271-3826FA4A7710}"/>
            </c:ext>
          </c:extLst>
        </c:ser>
        <c:ser>
          <c:idx val="1"/>
          <c:order val="1"/>
          <c:tx>
            <c:strRef>
              <c:f>'Students in that Level'!$C$1</c:f>
              <c:strCache>
                <c:ptCount val="1"/>
                <c:pt idx="0">
                  <c:v>Male %</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1D62-4B88-A271-3826FA4A771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1D62-4B88-A271-3826FA4A771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1D62-4B88-A271-3826FA4A771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1D62-4B88-A271-3826FA4A771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1D62-4B88-A271-3826FA4A771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1D62-4B88-A271-3826FA4A771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1D62-4B88-A271-3826FA4A771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A-1D62-4B88-A271-3826FA4A771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1D62-4B88-A271-3826FA4A771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1D62-4B88-A271-3826FA4A771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1D62-4B88-A271-3826FA4A771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E-1D62-4B88-A271-3826FA4A7710}"/>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'Students in that Level'!$A$2:$A$7</c:f>
              <c:strCache>
                <c:ptCount val="6"/>
                <c:pt idx="0">
                  <c:v>some high school</c:v>
                </c:pt>
                <c:pt idx="1">
                  <c:v>high school</c:v>
                </c:pt>
                <c:pt idx="2">
                  <c:v>some college</c:v>
                </c:pt>
                <c:pt idx="3">
                  <c:v>associate's degree</c:v>
                </c:pt>
                <c:pt idx="4">
                  <c:v>bachelor's degree</c:v>
                </c:pt>
                <c:pt idx="5">
                  <c:v>master's degree</c:v>
                </c:pt>
              </c:strCache>
            </c:strRef>
          </c:cat>
          <c:val>
            <c:numRef>
              <c:f>'Students in that Level'!$C$2:$C$7</c:f>
              <c:numCache>
                <c:formatCode>0%</c:formatCode>
                <c:ptCount val="6"/>
                <c:pt idx="0">
                  <c:v>0.49199999999999999</c:v>
                </c:pt>
                <c:pt idx="1">
                  <c:v>0.52</c:v>
                </c:pt>
                <c:pt idx="2">
                  <c:v>0.47799999999999998</c:v>
                </c:pt>
                <c:pt idx="3">
                  <c:v>0.47699999999999998</c:v>
                </c:pt>
                <c:pt idx="4">
                  <c:v>0.46600000000000003</c:v>
                </c:pt>
                <c:pt idx="5">
                  <c:v>0.39</c:v>
                </c:pt>
              </c:numCache>
            </c:numRef>
          </c:val>
          <c:extLst>
            <c:ext xmlns:c16="http://schemas.microsoft.com/office/drawing/2014/chart" uri="{C3380CC4-5D6E-409C-BE32-E72D297353CC}">
              <c16:uniqueId val="{00000001-1D62-4B88-A271-3826FA4A7710}"/>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chartData>
  <cx:chart>
    <cx:plotArea>
      <cx:plotAreaRegion>
        <cx:series layoutId="waterfall" uniqueId="{806505D4-E5DB-4CCD-9292-08EF33F1E4CF}" formatIdx="0">
          <cx:tx>
            <cx:txData>
              <cx:f>_xlchart.v1.1</cx:f>
              <cx:v>Female %</cx:v>
            </cx:txData>
          </cx:tx>
          <cx:dataLabels pos="inEnd">
            <cx:visibility seriesName="0" categoryName="0" value="0"/>
          </cx:dataLabels>
          <cx:dataId val="0"/>
          <cx:layoutPr>
            <cx:subtotals/>
          </cx:layoutPr>
        </cx:series>
        <cx:series layoutId="waterfall" hidden="1" uniqueId="{0FADB9E4-CCBA-40F6-B73E-05B5E0593E3C}" formatIdx="1">
          <cx:tx>
            <cx:txData>
              <cx:f>_xlchart.v1.3</cx:f>
              <cx:v>Male %</cx:v>
            </cx:txData>
          </cx:tx>
          <cx:dataLabels pos="inEnd">
            <cx:visibility seriesName="0" categoryName="0" value="0"/>
          </cx:dataLabels>
          <cx:dataId val="1"/>
          <cx:layoutPr>
            <cx:subtotals/>
          </cx:layoutPr>
        </cx:series>
      </cx:plotAreaRegion>
      <cx:axis id="0">
        <cx:catScaling/>
        <cx:tickLabels/>
      </cx:axis>
      <cx:axis id="1">
        <cx:valScaling/>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5">
  <a:schemeClr val="accent2"/>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0.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11.xml.rels><?xml version="1.0" encoding="UTF-8" standalone="yes"?>
<Relationships xmlns="http://schemas.openxmlformats.org/package/2006/relationships"><Relationship Id="rId3" Type="http://schemas.openxmlformats.org/officeDocument/2006/relationships/customXml" Target="../ink/ink3.xml"/><Relationship Id="rId2" Type="http://schemas.openxmlformats.org/officeDocument/2006/relationships/image" Target="../media/image1.png"/><Relationship Id="rId1" Type="http://schemas.openxmlformats.org/officeDocument/2006/relationships/customXml" Target="../ink/ink2.xml"/><Relationship Id="rId5" Type="http://schemas.openxmlformats.org/officeDocument/2006/relationships/customXml" Target="../ink/ink4.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38101</xdr:rowOff>
    </xdr:from>
    <xdr:to>
      <xdr:col>2</xdr:col>
      <xdr:colOff>762000</xdr:colOff>
      <xdr:row>4</xdr:row>
      <xdr:rowOff>1</xdr:rowOff>
    </xdr:to>
    <mc:AlternateContent xmlns:mc="http://schemas.openxmlformats.org/markup-compatibility/2006" xmlns:sle15="http://schemas.microsoft.com/office/drawing/2012/slicer">
      <mc:Choice Requires="sle15">
        <xdr:graphicFrame macro="">
          <xdr:nvGraphicFramePr>
            <xdr:cNvPr id="2" name="gender">
              <a:extLst>
                <a:ext uri="{FF2B5EF4-FFF2-40B4-BE49-F238E27FC236}">
                  <a16:creationId xmlns:a16="http://schemas.microsoft.com/office/drawing/2014/main" id="{7AE47699-1C29-CB06-722F-BB5F12C473C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38100"/>
              <a:ext cx="2384778" cy="10251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164630</xdr:colOff>
      <xdr:row>0</xdr:row>
      <xdr:rowOff>25400</xdr:rowOff>
    </xdr:from>
    <xdr:to>
      <xdr:col>7</xdr:col>
      <xdr:colOff>987777</xdr:colOff>
      <xdr:row>4</xdr:row>
      <xdr:rowOff>47037</xdr:rowOff>
    </xdr:to>
    <mc:AlternateContent xmlns:mc="http://schemas.openxmlformats.org/markup-compatibility/2006" xmlns:sle15="http://schemas.microsoft.com/office/drawing/2012/slicer">
      <mc:Choice Requires="sle15">
        <xdr:graphicFrame macro="">
          <xdr:nvGraphicFramePr>
            <xdr:cNvPr id="3" name="race/ethnicity">
              <a:extLst>
                <a:ext uri="{FF2B5EF4-FFF2-40B4-BE49-F238E27FC236}">
                  <a16:creationId xmlns:a16="http://schemas.microsoft.com/office/drawing/2014/main" id="{7818F2E2-65D3-1E20-6C73-426541150A63}"/>
                </a:ext>
              </a:extLst>
            </xdr:cNvPr>
            <xdr:cNvGraphicFramePr/>
          </xdr:nvGraphicFramePr>
          <xdr:xfrm>
            <a:off x="0" y="0"/>
            <a:ext cx="0" cy="0"/>
          </xdr:xfrm>
          <a:graphic>
            <a:graphicData uri="http://schemas.microsoft.com/office/drawing/2010/slicer">
              <sle:slicer xmlns:sle="http://schemas.microsoft.com/office/drawing/2010/slicer" name="race/ethnicity"/>
            </a:graphicData>
          </a:graphic>
        </xdr:graphicFrame>
      </mc:Choice>
      <mc:Fallback xmlns="">
        <xdr:sp macro="" textlink="">
          <xdr:nvSpPr>
            <xdr:cNvPr id="0" name=""/>
            <xdr:cNvSpPr>
              <a:spLocks noTextEdit="1"/>
            </xdr:cNvSpPr>
          </xdr:nvSpPr>
          <xdr:spPr>
            <a:xfrm>
              <a:off x="5334706" y="25400"/>
              <a:ext cx="1833033" cy="159455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108264</xdr:colOff>
      <xdr:row>0</xdr:row>
      <xdr:rowOff>100112</xdr:rowOff>
    </xdr:from>
    <xdr:to>
      <xdr:col>10</xdr:col>
      <xdr:colOff>1033875</xdr:colOff>
      <xdr:row>4</xdr:row>
      <xdr:rowOff>54878</xdr:rowOff>
    </xdr:to>
    <mc:AlternateContent xmlns:mc="http://schemas.openxmlformats.org/markup-compatibility/2006" xmlns:sle15="http://schemas.microsoft.com/office/drawing/2012/slicer">
      <mc:Choice Requires="sle15">
        <xdr:graphicFrame macro="">
          <xdr:nvGraphicFramePr>
            <xdr:cNvPr id="4" name="parental level of education">
              <a:extLst>
                <a:ext uri="{FF2B5EF4-FFF2-40B4-BE49-F238E27FC236}">
                  <a16:creationId xmlns:a16="http://schemas.microsoft.com/office/drawing/2014/main" id="{8E2B503D-3EB1-C37B-9D0F-7A4275E8EC82}"/>
                </a:ext>
              </a:extLst>
            </xdr:cNvPr>
            <xdr:cNvGraphicFramePr/>
          </xdr:nvGraphicFramePr>
          <xdr:xfrm>
            <a:off x="0" y="0"/>
            <a:ext cx="0" cy="0"/>
          </xdr:xfrm>
          <a:graphic>
            <a:graphicData uri="http://schemas.microsoft.com/office/drawing/2010/slicer">
              <sle:slicer xmlns:sle="http://schemas.microsoft.com/office/drawing/2010/slicer" name="parental level of education"/>
            </a:graphicData>
          </a:graphic>
        </xdr:graphicFrame>
      </mc:Choice>
      <mc:Fallback xmlns="">
        <xdr:sp macro="" textlink="">
          <xdr:nvSpPr>
            <xdr:cNvPr id="0" name=""/>
            <xdr:cNvSpPr>
              <a:spLocks noTextEdit="1"/>
            </xdr:cNvSpPr>
          </xdr:nvSpPr>
          <xdr:spPr>
            <a:xfrm>
              <a:off x="8810116" y="100112"/>
              <a:ext cx="3057957" cy="6838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absoluteAnchor>
    <xdr:pos x="2530313" y="66418"/>
    <xdr:ext cx="1832328" cy="654817"/>
    <mc:AlternateContent xmlns:mc="http://schemas.openxmlformats.org/markup-compatibility/2006" xmlns:sle15="http://schemas.microsoft.com/office/drawing/2012/slicer">
      <mc:Choice Requires="sle15">
        <xdr:graphicFrame macro="">
          <xdr:nvGraphicFramePr>
            <xdr:cNvPr id="5" name="test preparation course">
              <a:extLst>
                <a:ext uri="{FF2B5EF4-FFF2-40B4-BE49-F238E27FC236}">
                  <a16:creationId xmlns:a16="http://schemas.microsoft.com/office/drawing/2014/main" id="{EC1E0E1F-7B07-4842-AA16-03A863E61DD2}"/>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mlns="">
        <xdr:sp macro="" textlink="">
          <xdr:nvSpPr>
            <xdr:cNvPr id="0" name=""/>
            <xdr:cNvSpPr>
              <a:spLocks noTextEdit="1"/>
            </xdr:cNvSpPr>
          </xdr:nvSpPr>
          <xdr:spPr>
            <a:xfrm>
              <a:off x="2530313" y="66418"/>
              <a:ext cx="1832328" cy="10771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wsDr>
</file>

<file path=xl/drawings/drawing2.xml><?xml version="1.0" encoding="utf-8"?>
<xdr:wsDr xmlns:xdr="http://schemas.openxmlformats.org/drawingml/2006/spreadsheetDrawing" xmlns:a="http://schemas.openxmlformats.org/drawingml/2006/main">
  <xdr:twoCellAnchor>
    <xdr:from>
      <xdr:col>21</xdr:col>
      <xdr:colOff>53094</xdr:colOff>
      <xdr:row>4</xdr:row>
      <xdr:rowOff>69711</xdr:rowOff>
    </xdr:from>
    <xdr:to>
      <xdr:col>30</xdr:col>
      <xdr:colOff>116781</xdr:colOff>
      <xdr:row>15</xdr:row>
      <xdr:rowOff>198943</xdr:rowOff>
    </xdr:to>
    <xdr:graphicFrame macro="">
      <xdr:nvGraphicFramePr>
        <xdr:cNvPr id="2" name="Chart 1">
          <a:extLst>
            <a:ext uri="{FF2B5EF4-FFF2-40B4-BE49-F238E27FC236}">
              <a16:creationId xmlns:a16="http://schemas.microsoft.com/office/drawing/2014/main" id="{730258BD-32F9-06B9-7D67-7549BE7DF9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63500</xdr:colOff>
      <xdr:row>0</xdr:row>
      <xdr:rowOff>90713</xdr:rowOff>
    </xdr:from>
    <xdr:to>
      <xdr:col>30</xdr:col>
      <xdr:colOff>65056</xdr:colOff>
      <xdr:row>4</xdr:row>
      <xdr:rowOff>19438</xdr:rowOff>
    </xdr:to>
    <mc:AlternateContent xmlns:mc="http://schemas.openxmlformats.org/markup-compatibility/2006" xmlns:a14="http://schemas.microsoft.com/office/drawing/2010/main">
      <mc:Choice Requires="a14">
        <xdr:graphicFrame macro="">
          <xdr:nvGraphicFramePr>
            <xdr:cNvPr id="3" name="Gender 8">
              <a:extLst>
                <a:ext uri="{FF2B5EF4-FFF2-40B4-BE49-F238E27FC236}">
                  <a16:creationId xmlns:a16="http://schemas.microsoft.com/office/drawing/2014/main" id="{BF9226E2-C081-4232-8371-154D744742D3}"/>
                </a:ext>
              </a:extLst>
            </xdr:cNvPr>
            <xdr:cNvGraphicFramePr/>
          </xdr:nvGraphicFramePr>
          <xdr:xfrm>
            <a:off x="0" y="0"/>
            <a:ext cx="0" cy="0"/>
          </xdr:xfrm>
          <a:graphic>
            <a:graphicData uri="http://schemas.microsoft.com/office/drawing/2010/slicer">
              <sle:slicer xmlns:sle="http://schemas.microsoft.com/office/drawing/2010/slicer" name="Gender 8"/>
            </a:graphicData>
          </a:graphic>
        </xdr:graphicFrame>
      </mc:Choice>
      <mc:Fallback xmlns="">
        <xdr:sp macro="" textlink="">
          <xdr:nvSpPr>
            <xdr:cNvPr id="0" name=""/>
            <xdr:cNvSpPr>
              <a:spLocks noTextEdit="1"/>
            </xdr:cNvSpPr>
          </xdr:nvSpPr>
          <xdr:spPr>
            <a:xfrm>
              <a:off x="17814305" y="90713"/>
              <a:ext cx="1840866" cy="658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500872</xdr:colOff>
      <xdr:row>0</xdr:row>
      <xdr:rowOff>0</xdr:rowOff>
    </xdr:from>
    <xdr:to>
      <xdr:col>20</xdr:col>
      <xdr:colOff>722095</xdr:colOff>
      <xdr:row>4</xdr:row>
      <xdr:rowOff>160575</xdr:rowOff>
    </xdr:to>
    <mc:AlternateContent xmlns:mc="http://schemas.openxmlformats.org/markup-compatibility/2006" xmlns:a14="http://schemas.microsoft.com/office/drawing/2010/main">
      <mc:Choice Requires="a14">
        <xdr:graphicFrame macro="">
          <xdr:nvGraphicFramePr>
            <xdr:cNvPr id="4" name="Race/ethnicity 7">
              <a:extLst>
                <a:ext uri="{FF2B5EF4-FFF2-40B4-BE49-F238E27FC236}">
                  <a16:creationId xmlns:a16="http://schemas.microsoft.com/office/drawing/2014/main" id="{981E7212-49F7-2C5F-9E46-B95DF8F6C543}"/>
                </a:ext>
              </a:extLst>
            </xdr:cNvPr>
            <xdr:cNvGraphicFramePr/>
          </xdr:nvGraphicFramePr>
          <xdr:xfrm>
            <a:off x="0" y="0"/>
            <a:ext cx="0" cy="0"/>
          </xdr:xfrm>
          <a:graphic>
            <a:graphicData uri="http://schemas.microsoft.com/office/drawing/2010/slicer">
              <sle:slicer xmlns:sle="http://schemas.microsoft.com/office/drawing/2010/slicer" name="Race/ethnicity 7"/>
            </a:graphicData>
          </a:graphic>
        </xdr:graphicFrame>
      </mc:Choice>
      <mc:Fallback xmlns="">
        <xdr:sp macro="" textlink="">
          <xdr:nvSpPr>
            <xdr:cNvPr id="0" name=""/>
            <xdr:cNvSpPr>
              <a:spLocks noTextEdit="1"/>
            </xdr:cNvSpPr>
          </xdr:nvSpPr>
          <xdr:spPr>
            <a:xfrm>
              <a:off x="10142654" y="0"/>
              <a:ext cx="3914441" cy="8904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50539</xdr:colOff>
      <xdr:row>0</xdr:row>
      <xdr:rowOff>100303</xdr:rowOff>
    </xdr:from>
    <xdr:to>
      <xdr:col>27</xdr:col>
      <xdr:colOff>52094</xdr:colOff>
      <xdr:row>3</xdr:row>
      <xdr:rowOff>181428</xdr:rowOff>
    </xdr:to>
    <mc:AlternateContent xmlns:mc="http://schemas.openxmlformats.org/markup-compatibility/2006" xmlns:a14="http://schemas.microsoft.com/office/drawing/2010/main">
      <mc:Choice Requires="a14">
        <xdr:graphicFrame macro="">
          <xdr:nvGraphicFramePr>
            <xdr:cNvPr id="5" name="Lunch">
              <a:extLst>
                <a:ext uri="{FF2B5EF4-FFF2-40B4-BE49-F238E27FC236}">
                  <a16:creationId xmlns:a16="http://schemas.microsoft.com/office/drawing/2014/main" id="{1FE72497-F80E-5051-F43A-6E62284D6B34}"/>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mlns="">
        <xdr:sp macro="" textlink="">
          <xdr:nvSpPr>
            <xdr:cNvPr id="0" name=""/>
            <xdr:cNvSpPr>
              <a:spLocks noTextEdit="1"/>
            </xdr:cNvSpPr>
          </xdr:nvSpPr>
          <xdr:spPr>
            <a:xfrm>
              <a:off x="15962033" y="100303"/>
              <a:ext cx="1840866" cy="628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14902</xdr:colOff>
      <xdr:row>0</xdr:row>
      <xdr:rowOff>77625</xdr:rowOff>
    </xdr:from>
    <xdr:to>
      <xdr:col>24</xdr:col>
      <xdr:colOff>16457</xdr:colOff>
      <xdr:row>4</xdr:row>
      <xdr:rowOff>19439</xdr:rowOff>
    </xdr:to>
    <mc:AlternateContent xmlns:mc="http://schemas.openxmlformats.org/markup-compatibility/2006" xmlns:a14="http://schemas.microsoft.com/office/drawing/2010/main">
      <mc:Choice Requires="a14">
        <xdr:graphicFrame macro="">
          <xdr:nvGraphicFramePr>
            <xdr:cNvPr id="6" name="Test prep 2">
              <a:extLst>
                <a:ext uri="{FF2B5EF4-FFF2-40B4-BE49-F238E27FC236}">
                  <a16:creationId xmlns:a16="http://schemas.microsoft.com/office/drawing/2014/main" id="{C3D92A6E-5DDF-4B83-2600-ABC60E86E99C}"/>
                </a:ext>
              </a:extLst>
            </xdr:cNvPr>
            <xdr:cNvGraphicFramePr/>
          </xdr:nvGraphicFramePr>
          <xdr:xfrm>
            <a:off x="0" y="0"/>
            <a:ext cx="0" cy="0"/>
          </xdr:xfrm>
          <a:graphic>
            <a:graphicData uri="http://schemas.microsoft.com/office/drawing/2010/slicer">
              <sle:slicer xmlns:sle="http://schemas.microsoft.com/office/drawing/2010/slicer" name="Test prep 2"/>
            </a:graphicData>
          </a:graphic>
        </xdr:graphicFrame>
      </mc:Choice>
      <mc:Fallback xmlns="">
        <xdr:sp macro="" textlink="">
          <xdr:nvSpPr>
            <xdr:cNvPr id="0" name=""/>
            <xdr:cNvSpPr>
              <a:spLocks noTextEdit="1"/>
            </xdr:cNvSpPr>
          </xdr:nvSpPr>
          <xdr:spPr>
            <a:xfrm>
              <a:off x="14087086" y="77625"/>
              <a:ext cx="1840865" cy="671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101728</xdr:colOff>
      <xdr:row>16</xdr:row>
      <xdr:rowOff>43793</xdr:rowOff>
    </xdr:from>
    <xdr:to>
      <xdr:col>30</xdr:col>
      <xdr:colOff>145977</xdr:colOff>
      <xdr:row>27</xdr:row>
      <xdr:rowOff>56243</xdr:rowOff>
    </xdr:to>
    <xdr:graphicFrame macro="">
      <xdr:nvGraphicFramePr>
        <xdr:cNvPr id="7" name="Chart 6">
          <a:extLst>
            <a:ext uri="{FF2B5EF4-FFF2-40B4-BE49-F238E27FC236}">
              <a16:creationId xmlns:a16="http://schemas.microsoft.com/office/drawing/2014/main" id="{0074C410-F4BC-4158-E339-66F541578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xdr:col>
      <xdr:colOff>3067</xdr:colOff>
      <xdr:row>0</xdr:row>
      <xdr:rowOff>0</xdr:rowOff>
    </xdr:from>
    <xdr:to>
      <xdr:col>4</xdr:col>
      <xdr:colOff>153131</xdr:colOff>
      <xdr:row>4</xdr:row>
      <xdr:rowOff>124080</xdr:rowOff>
    </xdr:to>
    <mc:AlternateContent xmlns:mc="http://schemas.openxmlformats.org/markup-compatibility/2006" xmlns:sle15="http://schemas.microsoft.com/office/drawing/2012/slicer">
      <mc:Choice Requires="sle15">
        <xdr:graphicFrame macro="">
          <xdr:nvGraphicFramePr>
            <xdr:cNvPr id="8" name="Gender 9">
              <a:extLst>
                <a:ext uri="{FF2B5EF4-FFF2-40B4-BE49-F238E27FC236}">
                  <a16:creationId xmlns:a16="http://schemas.microsoft.com/office/drawing/2014/main" id="{DF3303A9-2FD7-FA80-802F-5883154E26B5}"/>
                </a:ext>
              </a:extLst>
            </xdr:cNvPr>
            <xdr:cNvGraphicFramePr/>
          </xdr:nvGraphicFramePr>
          <xdr:xfrm>
            <a:off x="0" y="0"/>
            <a:ext cx="0" cy="0"/>
          </xdr:xfrm>
          <a:graphic>
            <a:graphicData uri="http://schemas.microsoft.com/office/drawing/2010/slicer">
              <sle:slicer xmlns:sle="http://schemas.microsoft.com/office/drawing/2010/slicer" name="Gender 9"/>
            </a:graphicData>
          </a:graphic>
        </xdr:graphicFrame>
      </mc:Choice>
      <mc:Fallback xmlns="">
        <xdr:sp macro="" textlink="">
          <xdr:nvSpPr>
            <xdr:cNvPr id="0" name=""/>
            <xdr:cNvSpPr>
              <a:spLocks noTextEdit="1"/>
            </xdr:cNvSpPr>
          </xdr:nvSpPr>
          <xdr:spPr>
            <a:xfrm>
              <a:off x="616170" y="0"/>
              <a:ext cx="1828800" cy="85396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296844</xdr:colOff>
      <xdr:row>0</xdr:row>
      <xdr:rowOff>0</xdr:rowOff>
    </xdr:from>
    <xdr:to>
      <xdr:col>8</xdr:col>
      <xdr:colOff>759080</xdr:colOff>
      <xdr:row>4</xdr:row>
      <xdr:rowOff>109483</xdr:rowOff>
    </xdr:to>
    <mc:AlternateContent xmlns:mc="http://schemas.openxmlformats.org/markup-compatibility/2006" xmlns:sle15="http://schemas.microsoft.com/office/drawing/2012/slicer">
      <mc:Choice Requires="sle15">
        <xdr:graphicFrame macro="">
          <xdr:nvGraphicFramePr>
            <xdr:cNvPr id="9" name="Race/ethnicity 8">
              <a:extLst>
                <a:ext uri="{FF2B5EF4-FFF2-40B4-BE49-F238E27FC236}">
                  <a16:creationId xmlns:a16="http://schemas.microsoft.com/office/drawing/2014/main" id="{9A3355A0-E570-54B3-4A48-173B1B48B140}"/>
                </a:ext>
              </a:extLst>
            </xdr:cNvPr>
            <xdr:cNvGraphicFramePr/>
          </xdr:nvGraphicFramePr>
          <xdr:xfrm>
            <a:off x="0" y="0"/>
            <a:ext cx="0" cy="0"/>
          </xdr:xfrm>
          <a:graphic>
            <a:graphicData uri="http://schemas.microsoft.com/office/drawing/2010/slicer">
              <sle:slicer xmlns:sle="http://schemas.microsoft.com/office/drawing/2010/slicer" name="Race/ethnicity 8"/>
            </a:graphicData>
          </a:graphic>
        </xdr:graphicFrame>
      </mc:Choice>
      <mc:Fallback xmlns="">
        <xdr:sp macro="" textlink="">
          <xdr:nvSpPr>
            <xdr:cNvPr id="0" name=""/>
            <xdr:cNvSpPr>
              <a:spLocks noTextEdit="1"/>
            </xdr:cNvSpPr>
          </xdr:nvSpPr>
          <xdr:spPr>
            <a:xfrm>
              <a:off x="2588683" y="0"/>
              <a:ext cx="3892696" cy="83936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87000</xdr:colOff>
      <xdr:row>0</xdr:row>
      <xdr:rowOff>14599</xdr:rowOff>
    </xdr:from>
    <xdr:to>
      <xdr:col>14</xdr:col>
      <xdr:colOff>1379483</xdr:colOff>
      <xdr:row>4</xdr:row>
      <xdr:rowOff>94886</xdr:rowOff>
    </xdr:to>
    <mc:AlternateContent xmlns:mc="http://schemas.openxmlformats.org/markup-compatibility/2006" xmlns:sle15="http://schemas.microsoft.com/office/drawing/2012/slicer">
      <mc:Choice Requires="sle15">
        <xdr:graphicFrame macro="">
          <xdr:nvGraphicFramePr>
            <xdr:cNvPr id="10" name="Grade">
              <a:extLst>
                <a:ext uri="{FF2B5EF4-FFF2-40B4-BE49-F238E27FC236}">
                  <a16:creationId xmlns:a16="http://schemas.microsoft.com/office/drawing/2014/main" id="{7B5DB42C-4B02-D8D9-3596-1ACF95551E1A}"/>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6648667" y="14599"/>
              <a:ext cx="2642770" cy="8101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34423</xdr:colOff>
      <xdr:row>0</xdr:row>
      <xdr:rowOff>101600</xdr:rowOff>
    </xdr:from>
    <xdr:to>
      <xdr:col>3</xdr:col>
      <xdr:colOff>178802</xdr:colOff>
      <xdr:row>4</xdr:row>
      <xdr:rowOff>133683</xdr:rowOff>
    </xdr:to>
    <mc:AlternateContent xmlns:mc="http://schemas.openxmlformats.org/markup-compatibility/2006" xmlns:sle15="http://schemas.microsoft.com/office/drawing/2012/slicer">
      <mc:Choice Requires="sle15">
        <xdr:graphicFrame macro="">
          <xdr:nvGraphicFramePr>
            <xdr:cNvPr id="7" name="Gender 7">
              <a:extLst>
                <a:ext uri="{FF2B5EF4-FFF2-40B4-BE49-F238E27FC236}">
                  <a16:creationId xmlns:a16="http://schemas.microsoft.com/office/drawing/2014/main" id="{C0E7248E-219F-AF03-DF0D-72F0D76E29FF}"/>
                </a:ext>
              </a:extLst>
            </xdr:cNvPr>
            <xdr:cNvGraphicFramePr/>
          </xdr:nvGraphicFramePr>
          <xdr:xfrm>
            <a:off x="0" y="0"/>
            <a:ext cx="0" cy="0"/>
          </xdr:xfrm>
          <a:graphic>
            <a:graphicData uri="http://schemas.microsoft.com/office/drawing/2010/slicer">
              <sle:slicer xmlns:sle="http://schemas.microsoft.com/office/drawing/2010/slicer" name="Gender 7"/>
            </a:graphicData>
          </a:graphic>
        </xdr:graphicFrame>
      </mc:Choice>
      <mc:Fallback xmlns="">
        <xdr:sp macro="" textlink="">
          <xdr:nvSpPr>
            <xdr:cNvPr id="0" name=""/>
            <xdr:cNvSpPr>
              <a:spLocks noTextEdit="1"/>
            </xdr:cNvSpPr>
          </xdr:nvSpPr>
          <xdr:spPr>
            <a:xfrm>
              <a:off x="642686" y="101600"/>
              <a:ext cx="1828800" cy="78071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206542</xdr:colOff>
      <xdr:row>0</xdr:row>
      <xdr:rowOff>140033</xdr:rowOff>
    </xdr:from>
    <xdr:to>
      <xdr:col>5</xdr:col>
      <xdr:colOff>177131</xdr:colOff>
      <xdr:row>4</xdr:row>
      <xdr:rowOff>140368</xdr:rowOff>
    </xdr:to>
    <mc:AlternateContent xmlns:mc="http://schemas.openxmlformats.org/markup-compatibility/2006" xmlns:sle15="http://schemas.microsoft.com/office/drawing/2012/slicer">
      <mc:Choice Requires="sle15">
        <xdr:graphicFrame macro="">
          <xdr:nvGraphicFramePr>
            <xdr:cNvPr id="10" name="Test prep 1">
              <a:extLst>
                <a:ext uri="{FF2B5EF4-FFF2-40B4-BE49-F238E27FC236}">
                  <a16:creationId xmlns:a16="http://schemas.microsoft.com/office/drawing/2014/main" id="{D1AD7F54-B133-DCA6-B8AA-CE0872746F67}"/>
                </a:ext>
              </a:extLst>
            </xdr:cNvPr>
            <xdr:cNvGraphicFramePr/>
          </xdr:nvGraphicFramePr>
          <xdr:xfrm>
            <a:off x="0" y="0"/>
            <a:ext cx="0" cy="0"/>
          </xdr:xfrm>
          <a:graphic>
            <a:graphicData uri="http://schemas.microsoft.com/office/drawing/2010/slicer">
              <sle:slicer xmlns:sle="http://schemas.microsoft.com/office/drawing/2010/slicer" name="Test prep 1"/>
            </a:graphicData>
          </a:graphic>
        </xdr:graphicFrame>
      </mc:Choice>
      <mc:Fallback xmlns="">
        <xdr:sp macro="" textlink="">
          <xdr:nvSpPr>
            <xdr:cNvPr id="0" name=""/>
            <xdr:cNvSpPr>
              <a:spLocks noTextEdit="1"/>
            </xdr:cNvSpPr>
          </xdr:nvSpPr>
          <xdr:spPr>
            <a:xfrm>
              <a:off x="2499226" y="140033"/>
              <a:ext cx="1828800" cy="74896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14</xdr:col>
      <xdr:colOff>106885</xdr:colOff>
      <xdr:row>19</xdr:row>
      <xdr:rowOff>109980</xdr:rowOff>
    </xdr:from>
    <xdr:to>
      <xdr:col>18</xdr:col>
      <xdr:colOff>880807</xdr:colOff>
      <xdr:row>34</xdr:row>
      <xdr:rowOff>150215</xdr:rowOff>
    </xdr:to>
    <xdr:graphicFrame macro="">
      <xdr:nvGraphicFramePr>
        <xdr:cNvPr id="3" name="Chart 2">
          <a:extLst>
            <a:ext uri="{FF2B5EF4-FFF2-40B4-BE49-F238E27FC236}">
              <a16:creationId xmlns:a16="http://schemas.microsoft.com/office/drawing/2014/main" id="{E91256DD-06EF-9110-E8AE-67F3AD472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92294</xdr:colOff>
      <xdr:row>5</xdr:row>
      <xdr:rowOff>6829</xdr:rowOff>
    </xdr:from>
    <xdr:to>
      <xdr:col>18</xdr:col>
      <xdr:colOff>887635</xdr:colOff>
      <xdr:row>19</xdr:row>
      <xdr:rowOff>80264</xdr:rowOff>
    </xdr:to>
    <xdr:graphicFrame macro="">
      <xdr:nvGraphicFramePr>
        <xdr:cNvPr id="4" name="Chart 3">
          <a:extLst>
            <a:ext uri="{FF2B5EF4-FFF2-40B4-BE49-F238E27FC236}">
              <a16:creationId xmlns:a16="http://schemas.microsoft.com/office/drawing/2014/main" id="{8E10F7A8-ABB6-B99A-3DEF-44A1BC37B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0</xdr:colOff>
      <xdr:row>0</xdr:row>
      <xdr:rowOff>54669</xdr:rowOff>
    </xdr:from>
    <xdr:to>
      <xdr:col>12</xdr:col>
      <xdr:colOff>698162</xdr:colOff>
      <xdr:row>4</xdr:row>
      <xdr:rowOff>146909</xdr:rowOff>
    </xdr:to>
    <mc:AlternateContent xmlns:mc="http://schemas.openxmlformats.org/markup-compatibility/2006" xmlns:a14="http://schemas.microsoft.com/office/drawing/2010/main">
      <mc:Choice Requires="a14">
        <xdr:graphicFrame macro="">
          <xdr:nvGraphicFramePr>
            <xdr:cNvPr id="5" name="Gender 6">
              <a:extLst>
                <a:ext uri="{FF2B5EF4-FFF2-40B4-BE49-F238E27FC236}">
                  <a16:creationId xmlns:a16="http://schemas.microsoft.com/office/drawing/2014/main" id="{4608753A-9BB5-233B-3FA0-1C74EAFD40FD}"/>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mlns="">
        <xdr:sp macro="" textlink="">
          <xdr:nvSpPr>
            <xdr:cNvPr id="0" name=""/>
            <xdr:cNvSpPr>
              <a:spLocks noTextEdit="1"/>
            </xdr:cNvSpPr>
          </xdr:nvSpPr>
          <xdr:spPr>
            <a:xfrm>
              <a:off x="6466075" y="54669"/>
              <a:ext cx="1831603" cy="829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814804</xdr:colOff>
      <xdr:row>0</xdr:row>
      <xdr:rowOff>96587</xdr:rowOff>
    </xdr:from>
    <xdr:to>
      <xdr:col>14</xdr:col>
      <xdr:colOff>323177</xdr:colOff>
      <xdr:row>4</xdr:row>
      <xdr:rowOff>153737</xdr:rowOff>
    </xdr:to>
    <mc:AlternateContent xmlns:mc="http://schemas.openxmlformats.org/markup-compatibility/2006" xmlns:a14="http://schemas.microsoft.com/office/drawing/2010/main">
      <mc:Choice Requires="a14">
        <xdr:graphicFrame macro="">
          <xdr:nvGraphicFramePr>
            <xdr:cNvPr id="6" name="Race/ethnicity 6">
              <a:extLst>
                <a:ext uri="{FF2B5EF4-FFF2-40B4-BE49-F238E27FC236}">
                  <a16:creationId xmlns:a16="http://schemas.microsoft.com/office/drawing/2014/main" id="{D9439299-23DE-71D1-0980-595E8FDA5E6E}"/>
                </a:ext>
              </a:extLst>
            </xdr:cNvPr>
            <xdr:cNvGraphicFramePr/>
          </xdr:nvGraphicFramePr>
          <xdr:xfrm>
            <a:off x="0" y="0"/>
            <a:ext cx="0" cy="0"/>
          </xdr:xfrm>
          <a:graphic>
            <a:graphicData uri="http://schemas.microsoft.com/office/drawing/2010/slicer">
              <sle:slicer xmlns:sle="http://schemas.microsoft.com/office/drawing/2010/slicer" name="Race/ethnicity 6"/>
            </a:graphicData>
          </a:graphic>
        </xdr:graphicFrame>
      </mc:Choice>
      <mc:Fallback xmlns="">
        <xdr:sp macro="" textlink="">
          <xdr:nvSpPr>
            <xdr:cNvPr id="0" name=""/>
            <xdr:cNvSpPr>
              <a:spLocks noTextEdit="1"/>
            </xdr:cNvSpPr>
          </xdr:nvSpPr>
          <xdr:spPr>
            <a:xfrm>
              <a:off x="8414320" y="96587"/>
              <a:ext cx="1829879" cy="7945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17</xdr:col>
      <xdr:colOff>41272</xdr:colOff>
      <xdr:row>4</xdr:row>
      <xdr:rowOff>16282</xdr:rowOff>
    </xdr:from>
    <xdr:to>
      <xdr:col>26</xdr:col>
      <xdr:colOff>543512</xdr:colOff>
      <xdr:row>20</xdr:row>
      <xdr:rowOff>89096</xdr:rowOff>
    </xdr:to>
    <xdr:graphicFrame macro="">
      <xdr:nvGraphicFramePr>
        <xdr:cNvPr id="2" name="Chart 1">
          <a:extLst>
            <a:ext uri="{FF2B5EF4-FFF2-40B4-BE49-F238E27FC236}">
              <a16:creationId xmlns:a16="http://schemas.microsoft.com/office/drawing/2014/main" id="{FDEB8583-46F0-BEE5-E6FF-EE2F4B769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25400</xdr:colOff>
      <xdr:row>20</xdr:row>
      <xdr:rowOff>130174</xdr:rowOff>
    </xdr:from>
    <xdr:to>
      <xdr:col>26</xdr:col>
      <xdr:colOff>556213</xdr:colOff>
      <xdr:row>39</xdr:row>
      <xdr:rowOff>107949</xdr:rowOff>
    </xdr:to>
    <xdr:graphicFrame macro="">
      <xdr:nvGraphicFramePr>
        <xdr:cNvPr id="5" name="Chart 4">
          <a:extLst>
            <a:ext uri="{FF2B5EF4-FFF2-40B4-BE49-F238E27FC236}">
              <a16:creationId xmlns:a16="http://schemas.microsoft.com/office/drawing/2014/main" id="{734B92EB-DC0B-175C-B230-62F646190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88898</xdr:colOff>
      <xdr:row>0</xdr:row>
      <xdr:rowOff>0</xdr:rowOff>
    </xdr:from>
    <xdr:to>
      <xdr:col>23</xdr:col>
      <xdr:colOff>256189</xdr:colOff>
      <xdr:row>3</xdr:row>
      <xdr:rowOff>132940</xdr:rowOff>
    </xdr:to>
    <mc:AlternateContent xmlns:mc="http://schemas.openxmlformats.org/markup-compatibility/2006" xmlns:a14="http://schemas.microsoft.com/office/drawing/2010/main">
      <mc:Choice Requires="a14">
        <xdr:graphicFrame macro="">
          <xdr:nvGraphicFramePr>
            <xdr:cNvPr id="6" name="Gender 5">
              <a:extLst>
                <a:ext uri="{FF2B5EF4-FFF2-40B4-BE49-F238E27FC236}">
                  <a16:creationId xmlns:a16="http://schemas.microsoft.com/office/drawing/2014/main" id="{60CCE6D7-78A5-8244-8B3D-A83FBE965B58}"/>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17730855" y="0"/>
              <a:ext cx="1382074" cy="782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30362</xdr:colOff>
      <xdr:row>0</xdr:row>
      <xdr:rowOff>0</xdr:rowOff>
    </xdr:from>
    <xdr:to>
      <xdr:col>21</xdr:col>
      <xdr:colOff>8982</xdr:colOff>
      <xdr:row>3</xdr:row>
      <xdr:rowOff>139290</xdr:rowOff>
    </xdr:to>
    <mc:AlternateContent xmlns:mc="http://schemas.openxmlformats.org/markup-compatibility/2006" xmlns:a14="http://schemas.microsoft.com/office/drawing/2010/main">
      <mc:Choice Requires="a14">
        <xdr:graphicFrame macro="">
          <xdr:nvGraphicFramePr>
            <xdr:cNvPr id="7" name="Race/ethnicity 5">
              <a:extLst>
                <a:ext uri="{FF2B5EF4-FFF2-40B4-BE49-F238E27FC236}">
                  <a16:creationId xmlns:a16="http://schemas.microsoft.com/office/drawing/2014/main" id="{A4D03CE4-E7F8-B516-7787-EE5065BE0CD6}"/>
                </a:ext>
              </a:extLst>
            </xdr:cNvPr>
            <xdr:cNvGraphicFramePr/>
          </xdr:nvGraphicFramePr>
          <xdr:xfrm>
            <a:off x="0" y="0"/>
            <a:ext cx="0" cy="0"/>
          </xdr:xfrm>
          <a:graphic>
            <a:graphicData uri="http://schemas.microsoft.com/office/drawing/2010/slicer">
              <sle:slicer xmlns:sle="http://schemas.microsoft.com/office/drawing/2010/slicer" name="Race/ethnicity 5"/>
            </a:graphicData>
          </a:graphic>
        </xdr:graphicFrame>
      </mc:Choice>
      <mc:Fallback xmlns="">
        <xdr:sp macro="" textlink="">
          <xdr:nvSpPr>
            <xdr:cNvPr id="0" name=""/>
            <xdr:cNvSpPr>
              <a:spLocks noTextEdit="1"/>
            </xdr:cNvSpPr>
          </xdr:nvSpPr>
          <xdr:spPr>
            <a:xfrm>
              <a:off x="15242753" y="0"/>
              <a:ext cx="2408185" cy="789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13</xdr:col>
      <xdr:colOff>64927</xdr:colOff>
      <xdr:row>3</xdr:row>
      <xdr:rowOff>71348</xdr:rowOff>
    </xdr:from>
    <xdr:to>
      <xdr:col>20</xdr:col>
      <xdr:colOff>206910</xdr:colOff>
      <xdr:row>17</xdr:row>
      <xdr:rowOff>64213</xdr:rowOff>
    </xdr:to>
    <xdr:graphicFrame macro="">
      <xdr:nvGraphicFramePr>
        <xdr:cNvPr id="2" name="Chart 1">
          <a:extLst>
            <a:ext uri="{FF2B5EF4-FFF2-40B4-BE49-F238E27FC236}">
              <a16:creationId xmlns:a16="http://schemas.microsoft.com/office/drawing/2014/main" id="{E916248E-4E8C-9029-B243-E45AB7607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305014</xdr:colOff>
      <xdr:row>0</xdr:row>
      <xdr:rowOff>0</xdr:rowOff>
    </xdr:from>
    <xdr:to>
      <xdr:col>14</xdr:col>
      <xdr:colOff>264488</xdr:colOff>
      <xdr:row>2</xdr:row>
      <xdr:rowOff>214045</xdr:rowOff>
    </xdr:to>
    <mc:AlternateContent xmlns:mc="http://schemas.openxmlformats.org/markup-compatibility/2006" xmlns:a14="http://schemas.microsoft.com/office/drawing/2010/main">
      <mc:Choice Requires="a14">
        <xdr:graphicFrame macro="">
          <xdr:nvGraphicFramePr>
            <xdr:cNvPr id="3" name="Gender 4">
              <a:extLst>
                <a:ext uri="{FF2B5EF4-FFF2-40B4-BE49-F238E27FC236}">
                  <a16:creationId xmlns:a16="http://schemas.microsoft.com/office/drawing/2014/main" id="{4DDC1463-13C1-095B-A1CB-8005980CC14B}"/>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8253216" y="0"/>
              <a:ext cx="1828800" cy="742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53510</xdr:colOff>
      <xdr:row>0</xdr:row>
      <xdr:rowOff>21405</xdr:rowOff>
    </xdr:from>
    <xdr:to>
      <xdr:col>11</xdr:col>
      <xdr:colOff>249719</xdr:colOff>
      <xdr:row>2</xdr:row>
      <xdr:rowOff>228315</xdr:rowOff>
    </xdr:to>
    <mc:AlternateContent xmlns:mc="http://schemas.openxmlformats.org/markup-compatibility/2006" xmlns:a14="http://schemas.microsoft.com/office/drawing/2010/main">
      <mc:Choice Requires="a14">
        <xdr:graphicFrame macro="">
          <xdr:nvGraphicFramePr>
            <xdr:cNvPr id="4" name="Race/ethnicity 4">
              <a:extLst>
                <a:ext uri="{FF2B5EF4-FFF2-40B4-BE49-F238E27FC236}">
                  <a16:creationId xmlns:a16="http://schemas.microsoft.com/office/drawing/2014/main" id="{E178D502-5AC6-F376-08BD-B718BA7010D2}"/>
                </a:ext>
              </a:extLst>
            </xdr:cNvPr>
            <xdr:cNvGraphicFramePr/>
          </xdr:nvGraphicFramePr>
          <xdr:xfrm>
            <a:off x="0" y="0"/>
            <a:ext cx="0" cy="0"/>
          </xdr:xfrm>
          <a:graphic>
            <a:graphicData uri="http://schemas.microsoft.com/office/drawing/2010/slicer">
              <sle:slicer xmlns:sle="http://schemas.microsoft.com/office/drawing/2010/slicer" name="Race/ethnicity 4"/>
            </a:graphicData>
          </a:graphic>
        </xdr:graphicFrame>
      </mc:Choice>
      <mc:Fallback xmlns="">
        <xdr:sp macro="" textlink="">
          <xdr:nvSpPr>
            <xdr:cNvPr id="0" name=""/>
            <xdr:cNvSpPr>
              <a:spLocks noTextEdit="1"/>
            </xdr:cNvSpPr>
          </xdr:nvSpPr>
          <xdr:spPr>
            <a:xfrm>
              <a:off x="5739971" y="21405"/>
              <a:ext cx="2457950" cy="734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75629</xdr:colOff>
      <xdr:row>17</xdr:row>
      <xdr:rowOff>140984</xdr:rowOff>
    </xdr:from>
    <xdr:to>
      <xdr:col>20</xdr:col>
      <xdr:colOff>214045</xdr:colOff>
      <xdr:row>26</xdr:row>
      <xdr:rowOff>301375</xdr:rowOff>
    </xdr:to>
    <xdr:graphicFrame macro="">
      <xdr:nvGraphicFramePr>
        <xdr:cNvPr id="5" name="Chart 4">
          <a:extLst>
            <a:ext uri="{FF2B5EF4-FFF2-40B4-BE49-F238E27FC236}">
              <a16:creationId xmlns:a16="http://schemas.microsoft.com/office/drawing/2014/main" id="{BDC4FA90-4356-512B-465F-39F6E6E85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14</xdr:col>
      <xdr:colOff>25400</xdr:colOff>
      <xdr:row>4</xdr:row>
      <xdr:rowOff>0</xdr:rowOff>
    </xdr:from>
    <xdr:to>
      <xdr:col>17</xdr:col>
      <xdr:colOff>590550</xdr:colOff>
      <xdr:row>6</xdr:row>
      <xdr:rowOff>213946</xdr:rowOff>
    </xdr:to>
    <mc:AlternateContent xmlns:mc="http://schemas.openxmlformats.org/markup-compatibility/2006" xmlns:a14="http://schemas.microsoft.com/office/drawing/2010/main">
      <mc:Choice Requires="a14">
        <xdr:graphicFrame macro="">
          <xdr:nvGraphicFramePr>
            <xdr:cNvPr id="8" name="Gender 1">
              <a:extLst>
                <a:ext uri="{FF2B5EF4-FFF2-40B4-BE49-F238E27FC236}">
                  <a16:creationId xmlns:a16="http://schemas.microsoft.com/office/drawing/2014/main" id="{8C86B563-BA2B-E4DE-FE8F-7A780EEA85A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407400" y="733778"/>
              <a:ext cx="2385483" cy="750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44450</xdr:colOff>
      <xdr:row>6</xdr:row>
      <xdr:rowOff>146050</xdr:rowOff>
    </xdr:from>
    <xdr:to>
      <xdr:col>17</xdr:col>
      <xdr:colOff>590551</xdr:colOff>
      <xdr:row>9</xdr:row>
      <xdr:rowOff>99808</xdr:rowOff>
    </xdr:to>
    <mc:AlternateContent xmlns:mc="http://schemas.openxmlformats.org/markup-compatibility/2006" xmlns:a14="http://schemas.microsoft.com/office/drawing/2010/main">
      <mc:Choice Requires="a14">
        <xdr:graphicFrame macro="">
          <xdr:nvGraphicFramePr>
            <xdr:cNvPr id="9" name="Race/ethnicity 1">
              <a:extLst>
                <a:ext uri="{FF2B5EF4-FFF2-40B4-BE49-F238E27FC236}">
                  <a16:creationId xmlns:a16="http://schemas.microsoft.com/office/drawing/2014/main" id="{3E200438-7191-E7BB-BB6E-25E1DE8A0B7A}"/>
                </a:ext>
              </a:extLst>
            </xdr:cNvPr>
            <xdr:cNvGraphicFramePr/>
          </xdr:nvGraphicFramePr>
          <xdr:xfrm>
            <a:off x="0" y="0"/>
            <a:ext cx="0" cy="0"/>
          </xdr:xfrm>
          <a:graphic>
            <a:graphicData uri="http://schemas.microsoft.com/office/drawing/2010/slicer">
              <sle:slicer xmlns:sle="http://schemas.microsoft.com/office/drawing/2010/slicer" name="Race/ethnicity 1"/>
            </a:graphicData>
          </a:graphic>
        </xdr:graphicFrame>
      </mc:Choice>
      <mc:Fallback xmlns="">
        <xdr:sp macro="" textlink="">
          <xdr:nvSpPr>
            <xdr:cNvPr id="0" name=""/>
            <xdr:cNvSpPr>
              <a:spLocks noTextEdit="1"/>
            </xdr:cNvSpPr>
          </xdr:nvSpPr>
          <xdr:spPr>
            <a:xfrm>
              <a:off x="7742061" y="1416050"/>
              <a:ext cx="3050822" cy="758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44450</xdr:colOff>
      <xdr:row>13</xdr:row>
      <xdr:rowOff>9525</xdr:rowOff>
    </xdr:from>
    <xdr:to>
      <xdr:col>25</xdr:col>
      <xdr:colOff>203200</xdr:colOff>
      <xdr:row>23</xdr:row>
      <xdr:rowOff>3175</xdr:rowOff>
    </xdr:to>
    <xdr:graphicFrame macro="">
      <xdr:nvGraphicFramePr>
        <xdr:cNvPr id="10" name="Chart 9">
          <a:extLst>
            <a:ext uri="{FF2B5EF4-FFF2-40B4-BE49-F238E27FC236}">
              <a16:creationId xmlns:a16="http://schemas.microsoft.com/office/drawing/2014/main" id="{2C51F614-97AA-7CF7-D5F1-76B05081D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44450</xdr:colOff>
      <xdr:row>13</xdr:row>
      <xdr:rowOff>3175</xdr:rowOff>
    </xdr:from>
    <xdr:to>
      <xdr:col>18</xdr:col>
      <xdr:colOff>19050</xdr:colOff>
      <xdr:row>22</xdr:row>
      <xdr:rowOff>346075</xdr:rowOff>
    </xdr:to>
    <xdr:graphicFrame macro="">
      <xdr:nvGraphicFramePr>
        <xdr:cNvPr id="11" name="Chart 10">
          <a:extLst>
            <a:ext uri="{FF2B5EF4-FFF2-40B4-BE49-F238E27FC236}">
              <a16:creationId xmlns:a16="http://schemas.microsoft.com/office/drawing/2014/main" id="{26DECB2E-C5CB-C7B1-AC59-BBB69E002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27059</xdr:colOff>
      <xdr:row>0</xdr:row>
      <xdr:rowOff>38534</xdr:rowOff>
    </xdr:from>
    <xdr:to>
      <xdr:col>3</xdr:col>
      <xdr:colOff>170519</xdr:colOff>
      <xdr:row>3</xdr:row>
      <xdr:rowOff>54816</xdr:rowOff>
    </xdr:to>
    <mc:AlternateContent xmlns:mc="http://schemas.openxmlformats.org/markup-compatibility/2006" xmlns:sle15="http://schemas.microsoft.com/office/drawing/2012/slicer">
      <mc:Choice Requires="sle15">
        <xdr:graphicFrame macro="">
          <xdr:nvGraphicFramePr>
            <xdr:cNvPr id="14" name="Gender 2">
              <a:extLst>
                <a:ext uri="{FF2B5EF4-FFF2-40B4-BE49-F238E27FC236}">
                  <a16:creationId xmlns:a16="http://schemas.microsoft.com/office/drawing/2014/main" id="{FA70451F-6019-62D2-69EA-AB25D1A255F9}"/>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28705" y="38534"/>
              <a:ext cx="1827172" cy="56661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218225</xdr:colOff>
      <xdr:row>0</xdr:row>
      <xdr:rowOff>33107</xdr:rowOff>
    </xdr:from>
    <xdr:to>
      <xdr:col>6</xdr:col>
      <xdr:colOff>604310</xdr:colOff>
      <xdr:row>3</xdr:row>
      <xdr:rowOff>106376</xdr:rowOff>
    </xdr:to>
    <mc:AlternateContent xmlns:mc="http://schemas.openxmlformats.org/markup-compatibility/2006" xmlns:sle15="http://schemas.microsoft.com/office/drawing/2012/slicer">
      <mc:Choice Requires="sle15">
        <xdr:graphicFrame macro="">
          <xdr:nvGraphicFramePr>
            <xdr:cNvPr id="15" name="Race/ethnicity 2">
              <a:extLst>
                <a:ext uri="{FF2B5EF4-FFF2-40B4-BE49-F238E27FC236}">
                  <a16:creationId xmlns:a16="http://schemas.microsoft.com/office/drawing/2014/main" id="{CD55E34F-3ACC-0612-647E-0390BEFB9FD0}"/>
                </a:ext>
              </a:extLst>
            </xdr:cNvPr>
            <xdr:cNvGraphicFramePr/>
          </xdr:nvGraphicFramePr>
          <xdr:xfrm>
            <a:off x="0" y="0"/>
            <a:ext cx="0" cy="0"/>
          </xdr:xfrm>
          <a:graphic>
            <a:graphicData uri="http://schemas.microsoft.com/office/drawing/2010/slicer">
              <sle:slicer xmlns:sle="http://schemas.microsoft.com/office/drawing/2010/slicer" name="Race/ethnicity 2"/>
            </a:graphicData>
          </a:graphic>
        </xdr:graphicFrame>
      </mc:Choice>
      <mc:Fallback xmlns="">
        <xdr:sp macro="" textlink="">
          <xdr:nvSpPr>
            <xdr:cNvPr id="0" name=""/>
            <xdr:cNvSpPr>
              <a:spLocks noTextEdit="1"/>
            </xdr:cNvSpPr>
          </xdr:nvSpPr>
          <xdr:spPr>
            <a:xfrm>
              <a:off x="2503583" y="33107"/>
              <a:ext cx="3034485" cy="62360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614839</xdr:colOff>
      <xdr:row>0</xdr:row>
      <xdr:rowOff>49661</xdr:rowOff>
    </xdr:from>
    <xdr:to>
      <xdr:col>12</xdr:col>
      <xdr:colOff>223705</xdr:colOff>
      <xdr:row>3</xdr:row>
      <xdr:rowOff>130257</xdr:rowOff>
    </xdr:to>
    <mc:AlternateContent xmlns:mc="http://schemas.openxmlformats.org/markup-compatibility/2006" xmlns:sle15="http://schemas.microsoft.com/office/drawing/2012/slicer">
      <mc:Choice Requires="sle15">
        <xdr:graphicFrame macro="">
          <xdr:nvGraphicFramePr>
            <xdr:cNvPr id="16" name="Test prep">
              <a:extLst>
                <a:ext uri="{FF2B5EF4-FFF2-40B4-BE49-F238E27FC236}">
                  <a16:creationId xmlns:a16="http://schemas.microsoft.com/office/drawing/2014/main" id="{E056B9A1-12E3-3BB1-58C8-DE4CF879C9CE}"/>
                </a:ext>
              </a:extLst>
            </xdr:cNvPr>
            <xdr:cNvGraphicFramePr/>
          </xdr:nvGraphicFramePr>
          <xdr:xfrm>
            <a:off x="0" y="0"/>
            <a:ext cx="0" cy="0"/>
          </xdr:xfrm>
          <a:graphic>
            <a:graphicData uri="http://schemas.microsoft.com/office/drawing/2010/slicer">
              <sle:slicer xmlns:sle="http://schemas.microsoft.com/office/drawing/2010/slicer" name="Test prep"/>
            </a:graphicData>
          </a:graphic>
        </xdr:graphicFrame>
      </mc:Choice>
      <mc:Fallback xmlns="">
        <xdr:sp macro="" textlink="">
          <xdr:nvSpPr>
            <xdr:cNvPr id="0" name=""/>
            <xdr:cNvSpPr>
              <a:spLocks noTextEdit="1"/>
            </xdr:cNvSpPr>
          </xdr:nvSpPr>
          <xdr:spPr>
            <a:xfrm>
              <a:off x="5548597" y="49661"/>
              <a:ext cx="1835856" cy="63092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16</xdr:col>
      <xdr:colOff>44303</xdr:colOff>
      <xdr:row>13</xdr:row>
      <xdr:rowOff>14768</xdr:rowOff>
    </xdr:from>
    <xdr:to>
      <xdr:col>21</xdr:col>
      <xdr:colOff>879739</xdr:colOff>
      <xdr:row>23</xdr:row>
      <xdr:rowOff>0</xdr:rowOff>
    </xdr:to>
    <xdr:graphicFrame macro="">
      <xdr:nvGraphicFramePr>
        <xdr:cNvPr id="10" name="Chart 9">
          <a:extLst>
            <a:ext uri="{FF2B5EF4-FFF2-40B4-BE49-F238E27FC236}">
              <a16:creationId xmlns:a16="http://schemas.microsoft.com/office/drawing/2014/main" id="{4574B92F-4909-BAEC-3ADB-5C7A4382A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81221</xdr:colOff>
      <xdr:row>12</xdr:row>
      <xdr:rowOff>184592</xdr:rowOff>
    </xdr:from>
    <xdr:to>
      <xdr:col>15</xdr:col>
      <xdr:colOff>1107558</xdr:colOff>
      <xdr:row>22</xdr:row>
      <xdr:rowOff>339650</xdr:rowOff>
    </xdr:to>
    <xdr:graphicFrame macro="">
      <xdr:nvGraphicFramePr>
        <xdr:cNvPr id="11" name="Chart 10">
          <a:extLst>
            <a:ext uri="{FF2B5EF4-FFF2-40B4-BE49-F238E27FC236}">
              <a16:creationId xmlns:a16="http://schemas.microsoft.com/office/drawing/2014/main" id="{39468B73-B379-49A5-AE94-FD6338D04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809086</xdr:colOff>
      <xdr:row>0</xdr:row>
      <xdr:rowOff>15680</xdr:rowOff>
    </xdr:from>
    <xdr:to>
      <xdr:col>18</xdr:col>
      <xdr:colOff>133368</xdr:colOff>
      <xdr:row>2</xdr:row>
      <xdr:rowOff>162279</xdr:rowOff>
    </xdr:to>
    <mc:AlternateContent xmlns:mc="http://schemas.openxmlformats.org/markup-compatibility/2006" xmlns:a14="http://schemas.microsoft.com/office/drawing/2010/main">
      <mc:Choice Requires="a14">
        <xdr:graphicFrame macro="">
          <xdr:nvGraphicFramePr>
            <xdr:cNvPr id="12" name="Gender 3">
              <a:extLst>
                <a:ext uri="{FF2B5EF4-FFF2-40B4-BE49-F238E27FC236}">
                  <a16:creationId xmlns:a16="http://schemas.microsoft.com/office/drawing/2014/main" id="{FB0AF471-F451-477E-890C-F581737B0C49}"/>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9149567" y="15679"/>
              <a:ext cx="2436325" cy="656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29533</xdr:colOff>
      <xdr:row>0</xdr:row>
      <xdr:rowOff>0</xdr:rowOff>
    </xdr:from>
    <xdr:to>
      <xdr:col>14</xdr:col>
      <xdr:colOff>779638</xdr:colOff>
      <xdr:row>3</xdr:row>
      <xdr:rowOff>29535</xdr:rowOff>
    </xdr:to>
    <mc:AlternateContent xmlns:mc="http://schemas.openxmlformats.org/markup-compatibility/2006" xmlns:a14="http://schemas.microsoft.com/office/drawing/2010/main">
      <mc:Choice Requires="a14">
        <xdr:graphicFrame macro="">
          <xdr:nvGraphicFramePr>
            <xdr:cNvPr id="13" name="Race/ethnicity 3">
              <a:extLst>
                <a:ext uri="{FF2B5EF4-FFF2-40B4-BE49-F238E27FC236}">
                  <a16:creationId xmlns:a16="http://schemas.microsoft.com/office/drawing/2014/main" id="{A2949EE9-4791-4A91-AA69-1E0D1EE6B000}"/>
                </a:ext>
              </a:extLst>
            </xdr:cNvPr>
            <xdr:cNvGraphicFramePr/>
          </xdr:nvGraphicFramePr>
          <xdr:xfrm>
            <a:off x="0" y="0"/>
            <a:ext cx="0" cy="0"/>
          </xdr:xfrm>
          <a:graphic>
            <a:graphicData uri="http://schemas.microsoft.com/office/drawing/2010/slicer">
              <sle:slicer xmlns:sle="http://schemas.microsoft.com/office/drawing/2010/slicer" name="Race/ethnicity 3"/>
            </a:graphicData>
          </a:graphic>
        </xdr:graphicFrame>
      </mc:Choice>
      <mc:Fallback xmlns="">
        <xdr:sp macro="" textlink="">
          <xdr:nvSpPr>
            <xdr:cNvPr id="0" name=""/>
            <xdr:cNvSpPr>
              <a:spLocks noTextEdit="1"/>
            </xdr:cNvSpPr>
          </xdr:nvSpPr>
          <xdr:spPr>
            <a:xfrm>
              <a:off x="5915495" y="0"/>
              <a:ext cx="3211681" cy="676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85327</xdr:colOff>
      <xdr:row>23</xdr:row>
      <xdr:rowOff>26464</xdr:rowOff>
    </xdr:from>
    <xdr:to>
      <xdr:col>18</xdr:col>
      <xdr:colOff>720988</xdr:colOff>
      <xdr:row>32</xdr:row>
      <xdr:rowOff>361956</xdr:rowOff>
    </xdr:to>
    <xdr:graphicFrame macro="">
      <xdr:nvGraphicFramePr>
        <xdr:cNvPr id="14" name="Chart 13">
          <a:extLst>
            <a:ext uri="{FF2B5EF4-FFF2-40B4-BE49-F238E27FC236}">
              <a16:creationId xmlns:a16="http://schemas.microsoft.com/office/drawing/2014/main" id="{7ECF24E9-1610-4FB8-180C-8DF7C984E9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5954</xdr:colOff>
      <xdr:row>23</xdr:row>
      <xdr:rowOff>39693</xdr:rowOff>
    </xdr:from>
    <xdr:to>
      <xdr:col>23</xdr:col>
      <xdr:colOff>489479</xdr:colOff>
      <xdr:row>33</xdr:row>
      <xdr:rowOff>4768</xdr:rowOff>
    </xdr:to>
    <xdr:graphicFrame macro="">
      <xdr:nvGraphicFramePr>
        <xdr:cNvPr id="15" name="Chart 14">
          <a:extLst>
            <a:ext uri="{FF2B5EF4-FFF2-40B4-BE49-F238E27FC236}">
              <a16:creationId xmlns:a16="http://schemas.microsoft.com/office/drawing/2014/main" id="{4BD4E29C-2046-4C78-8564-B051DD9B1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263524</xdr:colOff>
      <xdr:row>0</xdr:row>
      <xdr:rowOff>76200</xdr:rowOff>
    </xdr:from>
    <xdr:to>
      <xdr:col>8</xdr:col>
      <xdr:colOff>679449</xdr:colOff>
      <xdr:row>8</xdr:row>
      <xdr:rowOff>44450</xdr:rowOff>
    </xdr:to>
    <xdr:graphicFrame macro="">
      <xdr:nvGraphicFramePr>
        <xdr:cNvPr id="3" name="Chart 2">
          <a:extLst>
            <a:ext uri="{FF2B5EF4-FFF2-40B4-BE49-F238E27FC236}">
              <a16:creationId xmlns:a16="http://schemas.microsoft.com/office/drawing/2014/main" id="{65E0E468-9A73-4544-41E6-F27C7B30C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260350</xdr:colOff>
      <xdr:row>8</xdr:row>
      <xdr:rowOff>95250</xdr:rowOff>
    </xdr:from>
    <xdr:to>
      <xdr:col>8</xdr:col>
      <xdr:colOff>727075</xdr:colOff>
      <xdr:row>21</xdr:row>
      <xdr:rowOff>63500</xdr:rowOff>
    </xdr:to>
    <xdr:graphicFrame macro="">
      <xdr:nvGraphicFramePr>
        <xdr:cNvPr id="5" name="Chart 4">
          <a:extLst>
            <a:ext uri="{FF2B5EF4-FFF2-40B4-BE49-F238E27FC236}">
              <a16:creationId xmlns:a16="http://schemas.microsoft.com/office/drawing/2014/main" id="{49381BAC-C4AB-2D4B-35F4-2583FC855B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8</xdr:row>
      <xdr:rowOff>0</xdr:rowOff>
    </xdr:from>
    <xdr:to>
      <xdr:col>3</xdr:col>
      <xdr:colOff>1219200</xdr:colOff>
      <xdr:row>20</xdr:row>
      <xdr:rowOff>158750</xdr:rowOff>
    </xdr:to>
    <xdr:graphicFrame macro="">
      <xdr:nvGraphicFramePr>
        <xdr:cNvPr id="6" name="Chart 5">
          <a:extLst>
            <a:ext uri="{FF2B5EF4-FFF2-40B4-BE49-F238E27FC236}">
              <a16:creationId xmlns:a16="http://schemas.microsoft.com/office/drawing/2014/main" id="{03882A47-468E-5E40-A597-5B04A6469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377824</xdr:colOff>
      <xdr:row>11</xdr:row>
      <xdr:rowOff>146050</xdr:rowOff>
    </xdr:from>
    <xdr:to>
      <xdr:col>11</xdr:col>
      <xdr:colOff>368299</xdr:colOff>
      <xdr:row>26</xdr:row>
      <xdr:rowOff>127000</xdr:rowOff>
    </xdr:to>
    <xdr:graphicFrame macro="">
      <xdr:nvGraphicFramePr>
        <xdr:cNvPr id="2" name="Chart 1">
          <a:extLst>
            <a:ext uri="{FF2B5EF4-FFF2-40B4-BE49-F238E27FC236}">
              <a16:creationId xmlns:a16="http://schemas.microsoft.com/office/drawing/2014/main" id="{6D570C68-7EDA-22E6-6FE0-48CC14B06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371474</xdr:colOff>
      <xdr:row>0</xdr:row>
      <xdr:rowOff>3175</xdr:rowOff>
    </xdr:from>
    <xdr:to>
      <xdr:col>11</xdr:col>
      <xdr:colOff>380999</xdr:colOff>
      <xdr:row>11</xdr:row>
      <xdr:rowOff>111125</xdr:rowOff>
    </xdr:to>
    <xdr:graphicFrame macro="">
      <xdr:nvGraphicFramePr>
        <xdr:cNvPr id="3" name="Chart 2">
          <a:extLst>
            <a:ext uri="{FF2B5EF4-FFF2-40B4-BE49-F238E27FC236}">
              <a16:creationId xmlns:a16="http://schemas.microsoft.com/office/drawing/2014/main" id="{E94BB85C-4CFD-A469-19CB-B9A1E8071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473075</xdr:colOff>
      <xdr:row>0</xdr:row>
      <xdr:rowOff>0</xdr:rowOff>
    </xdr:from>
    <xdr:to>
      <xdr:col>19</xdr:col>
      <xdr:colOff>168275</xdr:colOff>
      <xdr:row>11</xdr:row>
      <xdr:rowOff>101600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6957BD8-0C3F-0BBB-7D7C-4FDC3120C2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039225" y="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485775</xdr:colOff>
      <xdr:row>11</xdr:row>
      <xdr:rowOff>155575</xdr:rowOff>
    </xdr:from>
    <xdr:to>
      <xdr:col>19</xdr:col>
      <xdr:colOff>180975</xdr:colOff>
      <xdr:row>26</xdr:row>
      <xdr:rowOff>136525</xdr:rowOff>
    </xdr:to>
    <xdr:graphicFrame macro="">
      <xdr:nvGraphicFramePr>
        <xdr:cNvPr id="5" name="Chart 4">
          <a:extLst>
            <a:ext uri="{FF2B5EF4-FFF2-40B4-BE49-F238E27FC236}">
              <a16:creationId xmlns:a16="http://schemas.microsoft.com/office/drawing/2014/main" id="{A6885C45-A16E-2EEC-C0D5-B887C40B5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44066</xdr:colOff>
      <xdr:row>21</xdr:row>
      <xdr:rowOff>220920</xdr:rowOff>
    </xdr:from>
    <xdr:to>
      <xdr:col>10</xdr:col>
      <xdr:colOff>44426</xdr:colOff>
      <xdr:row>21</xdr:row>
      <xdr:rowOff>258660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D55776A-E4E5-4251-89F5-99C30A12D254}"/>
                </a:ext>
              </a:extLst>
            </xdr14:cNvPr>
            <xdr14:cNvContentPartPr/>
          </xdr14:nvContentPartPr>
          <xdr14:nvPr macro=""/>
          <xdr14:xfrm>
            <a:off x="13393833" y="2960280"/>
            <a:ext cx="360" cy="360"/>
          </xdr14:xfrm>
        </xdr:contentPart>
      </mc:Choice>
      <mc:Fallback xmlns="">
        <xdr:pic>
          <xdr:nvPicPr>
            <xdr:cNvPr id="2" name="Ink 1">
              <a:extLst>
                <a:ext uri="{FF2B5EF4-FFF2-40B4-BE49-F238E27FC236}">
                  <a16:creationId xmlns:a16="http://schemas.microsoft.com/office/drawing/2014/main" id="{4D55776A-E4E5-4251-89F5-99C30A12D254}"/>
                </a:ext>
              </a:extLst>
            </xdr:cNvPr>
            <xdr:cNvPicPr/>
          </xdr:nvPicPr>
          <xdr:blipFill>
            <a:blip xmlns:r="http://schemas.openxmlformats.org/officeDocument/2006/relationships" r:embed="rId2"/>
            <a:stretch>
              <a:fillRect/>
            </a:stretch>
          </xdr:blipFill>
          <xdr:spPr>
            <a:xfrm>
              <a:off x="13387713" y="2954160"/>
              <a:ext cx="12600" cy="12600"/>
            </a:xfrm>
            <a:prstGeom prst="rect">
              <a:avLst/>
            </a:prstGeom>
          </xdr:spPr>
        </xdr:pic>
      </mc:Fallback>
    </mc:AlternateContent>
    <xdr:clientData/>
  </xdr:twoCellAnchor>
  <xdr:twoCellAnchor>
    <xdr:from>
      <xdr:col>1</xdr:col>
      <xdr:colOff>840947</xdr:colOff>
      <xdr:row>0</xdr:row>
      <xdr:rowOff>102973</xdr:rowOff>
    </xdr:from>
    <xdr:to>
      <xdr:col>10</xdr:col>
      <xdr:colOff>300337</xdr:colOff>
      <xdr:row>21</xdr:row>
      <xdr:rowOff>214527</xdr:rowOff>
    </xdr:to>
    <xdr:sp macro="" textlink="">
      <xdr:nvSpPr>
        <xdr:cNvPr id="5" name="Rectangle 4">
          <a:extLst>
            <a:ext uri="{FF2B5EF4-FFF2-40B4-BE49-F238E27FC236}">
              <a16:creationId xmlns:a16="http://schemas.microsoft.com/office/drawing/2014/main" id="{0A68DB67-271F-6CED-CC44-6B56E7D27F23}"/>
            </a:ext>
          </a:extLst>
        </xdr:cNvPr>
        <xdr:cNvSpPr/>
      </xdr:nvSpPr>
      <xdr:spPr>
        <a:xfrm>
          <a:off x="2806015" y="102973"/>
          <a:ext cx="11412836" cy="4161824"/>
        </a:xfrm>
        <a:custGeom>
          <a:avLst/>
          <a:gdLst>
            <a:gd name="connsiteX0" fmla="*/ 0 w 11412836"/>
            <a:gd name="connsiteY0" fmla="*/ 0 h 4161824"/>
            <a:gd name="connsiteX1" fmla="*/ 228257 w 11412836"/>
            <a:gd name="connsiteY1" fmla="*/ 0 h 4161824"/>
            <a:gd name="connsiteX2" fmla="*/ 684770 w 11412836"/>
            <a:gd name="connsiteY2" fmla="*/ 0 h 4161824"/>
            <a:gd name="connsiteX3" fmla="*/ 1483669 w 11412836"/>
            <a:gd name="connsiteY3" fmla="*/ 0 h 4161824"/>
            <a:gd name="connsiteX4" fmla="*/ 2282567 w 11412836"/>
            <a:gd name="connsiteY4" fmla="*/ 0 h 4161824"/>
            <a:gd name="connsiteX5" fmla="*/ 3081466 w 11412836"/>
            <a:gd name="connsiteY5" fmla="*/ 0 h 4161824"/>
            <a:gd name="connsiteX6" fmla="*/ 3652108 w 11412836"/>
            <a:gd name="connsiteY6" fmla="*/ 0 h 4161824"/>
            <a:gd name="connsiteX7" fmla="*/ 4336878 w 11412836"/>
            <a:gd name="connsiteY7" fmla="*/ 0 h 4161824"/>
            <a:gd name="connsiteX8" fmla="*/ 4565134 w 11412836"/>
            <a:gd name="connsiteY8" fmla="*/ 0 h 4161824"/>
            <a:gd name="connsiteX9" fmla="*/ 5021648 w 11412836"/>
            <a:gd name="connsiteY9" fmla="*/ 0 h 4161824"/>
            <a:gd name="connsiteX10" fmla="*/ 5478161 w 11412836"/>
            <a:gd name="connsiteY10" fmla="*/ 0 h 4161824"/>
            <a:gd name="connsiteX11" fmla="*/ 5706418 w 11412836"/>
            <a:gd name="connsiteY11" fmla="*/ 0 h 4161824"/>
            <a:gd name="connsiteX12" fmla="*/ 6162931 w 11412836"/>
            <a:gd name="connsiteY12" fmla="*/ 0 h 4161824"/>
            <a:gd name="connsiteX13" fmla="*/ 6733573 w 11412836"/>
            <a:gd name="connsiteY13" fmla="*/ 0 h 4161824"/>
            <a:gd name="connsiteX14" fmla="*/ 7075958 w 11412836"/>
            <a:gd name="connsiteY14" fmla="*/ 0 h 4161824"/>
            <a:gd name="connsiteX15" fmla="*/ 7532472 w 11412836"/>
            <a:gd name="connsiteY15" fmla="*/ 0 h 4161824"/>
            <a:gd name="connsiteX16" fmla="*/ 7760728 w 11412836"/>
            <a:gd name="connsiteY16" fmla="*/ 0 h 4161824"/>
            <a:gd name="connsiteX17" fmla="*/ 8331370 w 11412836"/>
            <a:gd name="connsiteY17" fmla="*/ 0 h 4161824"/>
            <a:gd name="connsiteX18" fmla="*/ 8559627 w 11412836"/>
            <a:gd name="connsiteY18" fmla="*/ 0 h 4161824"/>
            <a:gd name="connsiteX19" fmla="*/ 8787884 w 11412836"/>
            <a:gd name="connsiteY19" fmla="*/ 0 h 4161824"/>
            <a:gd name="connsiteX20" fmla="*/ 9244397 w 11412836"/>
            <a:gd name="connsiteY20" fmla="*/ 0 h 4161824"/>
            <a:gd name="connsiteX21" fmla="*/ 9929167 w 11412836"/>
            <a:gd name="connsiteY21" fmla="*/ 0 h 4161824"/>
            <a:gd name="connsiteX22" fmla="*/ 10271552 w 11412836"/>
            <a:gd name="connsiteY22" fmla="*/ 0 h 4161824"/>
            <a:gd name="connsiteX23" fmla="*/ 10842194 w 11412836"/>
            <a:gd name="connsiteY23" fmla="*/ 0 h 4161824"/>
            <a:gd name="connsiteX24" fmla="*/ 11412836 w 11412836"/>
            <a:gd name="connsiteY24" fmla="*/ 0 h 4161824"/>
            <a:gd name="connsiteX25" fmla="*/ 11412836 w 11412836"/>
            <a:gd name="connsiteY25" fmla="*/ 636165 h 4161824"/>
            <a:gd name="connsiteX26" fmla="*/ 11412836 w 11412836"/>
            <a:gd name="connsiteY26" fmla="*/ 1105856 h 4161824"/>
            <a:gd name="connsiteX27" fmla="*/ 11412836 w 11412836"/>
            <a:gd name="connsiteY27" fmla="*/ 1617166 h 4161824"/>
            <a:gd name="connsiteX28" fmla="*/ 11412836 w 11412836"/>
            <a:gd name="connsiteY28" fmla="*/ 2086857 h 4161824"/>
            <a:gd name="connsiteX29" fmla="*/ 11412836 w 11412836"/>
            <a:gd name="connsiteY29" fmla="*/ 2639786 h 4161824"/>
            <a:gd name="connsiteX30" fmla="*/ 11412836 w 11412836"/>
            <a:gd name="connsiteY30" fmla="*/ 3109477 h 4161824"/>
            <a:gd name="connsiteX31" fmla="*/ 11412836 w 11412836"/>
            <a:gd name="connsiteY31" fmla="*/ 4161824 h 4161824"/>
            <a:gd name="connsiteX32" fmla="*/ 10842194 w 11412836"/>
            <a:gd name="connsiteY32" fmla="*/ 4161824 h 4161824"/>
            <a:gd name="connsiteX33" fmla="*/ 10043296 w 11412836"/>
            <a:gd name="connsiteY33" fmla="*/ 4161824 h 4161824"/>
            <a:gd name="connsiteX34" fmla="*/ 9472654 w 11412836"/>
            <a:gd name="connsiteY34" fmla="*/ 4161824 h 4161824"/>
            <a:gd name="connsiteX35" fmla="*/ 9016140 w 11412836"/>
            <a:gd name="connsiteY35" fmla="*/ 4161824 h 4161824"/>
            <a:gd name="connsiteX36" fmla="*/ 8217242 w 11412836"/>
            <a:gd name="connsiteY36" fmla="*/ 4161824 h 4161824"/>
            <a:gd name="connsiteX37" fmla="*/ 7418343 w 11412836"/>
            <a:gd name="connsiteY37" fmla="*/ 4161824 h 4161824"/>
            <a:gd name="connsiteX38" fmla="*/ 6847702 w 11412836"/>
            <a:gd name="connsiteY38" fmla="*/ 4161824 h 4161824"/>
            <a:gd name="connsiteX39" fmla="*/ 6277060 w 11412836"/>
            <a:gd name="connsiteY39" fmla="*/ 4161824 h 4161824"/>
            <a:gd name="connsiteX40" fmla="*/ 5706418 w 11412836"/>
            <a:gd name="connsiteY40" fmla="*/ 4161824 h 4161824"/>
            <a:gd name="connsiteX41" fmla="*/ 5021648 w 11412836"/>
            <a:gd name="connsiteY41" fmla="*/ 4161824 h 4161824"/>
            <a:gd name="connsiteX42" fmla="*/ 4336878 w 11412836"/>
            <a:gd name="connsiteY42" fmla="*/ 4161824 h 4161824"/>
            <a:gd name="connsiteX43" fmla="*/ 3537979 w 11412836"/>
            <a:gd name="connsiteY43" fmla="*/ 4161824 h 4161824"/>
            <a:gd name="connsiteX44" fmla="*/ 2853209 w 11412836"/>
            <a:gd name="connsiteY44" fmla="*/ 4161824 h 4161824"/>
            <a:gd name="connsiteX45" fmla="*/ 2282567 w 11412836"/>
            <a:gd name="connsiteY45" fmla="*/ 4161824 h 4161824"/>
            <a:gd name="connsiteX46" fmla="*/ 2054310 w 11412836"/>
            <a:gd name="connsiteY46" fmla="*/ 4161824 h 4161824"/>
            <a:gd name="connsiteX47" fmla="*/ 1597797 w 11412836"/>
            <a:gd name="connsiteY47" fmla="*/ 4161824 h 4161824"/>
            <a:gd name="connsiteX48" fmla="*/ 913027 w 11412836"/>
            <a:gd name="connsiteY48" fmla="*/ 4161824 h 4161824"/>
            <a:gd name="connsiteX49" fmla="*/ 684770 w 11412836"/>
            <a:gd name="connsiteY49" fmla="*/ 4161824 h 4161824"/>
            <a:gd name="connsiteX50" fmla="*/ 0 w 11412836"/>
            <a:gd name="connsiteY50" fmla="*/ 4161824 h 4161824"/>
            <a:gd name="connsiteX51" fmla="*/ 0 w 11412836"/>
            <a:gd name="connsiteY51" fmla="*/ 3608896 h 4161824"/>
            <a:gd name="connsiteX52" fmla="*/ 0 w 11412836"/>
            <a:gd name="connsiteY52" fmla="*/ 3139204 h 4161824"/>
            <a:gd name="connsiteX53" fmla="*/ 0 w 11412836"/>
            <a:gd name="connsiteY53" fmla="*/ 2586276 h 4161824"/>
            <a:gd name="connsiteX54" fmla="*/ 0 w 11412836"/>
            <a:gd name="connsiteY54" fmla="*/ 2033348 h 4161824"/>
            <a:gd name="connsiteX55" fmla="*/ 0 w 11412836"/>
            <a:gd name="connsiteY55" fmla="*/ 1355566 h 4161824"/>
            <a:gd name="connsiteX56" fmla="*/ 0 w 11412836"/>
            <a:gd name="connsiteY56" fmla="*/ 802637 h 4161824"/>
            <a:gd name="connsiteX57" fmla="*/ 0 w 11412836"/>
            <a:gd name="connsiteY57" fmla="*/ 0 h 416182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11412836" h="4161824" extrusionOk="0">
              <a:moveTo>
                <a:pt x="0" y="0"/>
              </a:moveTo>
              <a:cubicBezTo>
                <a:pt x="101451" y="-17212"/>
                <a:pt x="173642" y="4521"/>
                <a:pt x="228257" y="0"/>
              </a:cubicBezTo>
              <a:cubicBezTo>
                <a:pt x="282872" y="-4521"/>
                <a:pt x="510725" y="41593"/>
                <a:pt x="684770" y="0"/>
              </a:cubicBezTo>
              <a:cubicBezTo>
                <a:pt x="858815" y="-41593"/>
                <a:pt x="1130294" y="46025"/>
                <a:pt x="1483669" y="0"/>
              </a:cubicBezTo>
              <a:cubicBezTo>
                <a:pt x="1837044" y="-46025"/>
                <a:pt x="1884364" y="76908"/>
                <a:pt x="2282567" y="0"/>
              </a:cubicBezTo>
              <a:cubicBezTo>
                <a:pt x="2680770" y="-76908"/>
                <a:pt x="2721364" y="60742"/>
                <a:pt x="3081466" y="0"/>
              </a:cubicBezTo>
              <a:cubicBezTo>
                <a:pt x="3441568" y="-60742"/>
                <a:pt x="3486084" y="46625"/>
                <a:pt x="3652108" y="0"/>
              </a:cubicBezTo>
              <a:cubicBezTo>
                <a:pt x="3818132" y="-46625"/>
                <a:pt x="4140034" y="79266"/>
                <a:pt x="4336878" y="0"/>
              </a:cubicBezTo>
              <a:cubicBezTo>
                <a:pt x="4533722" y="-79266"/>
                <a:pt x="4457274" y="24129"/>
                <a:pt x="4565134" y="0"/>
              </a:cubicBezTo>
              <a:cubicBezTo>
                <a:pt x="4672994" y="-24129"/>
                <a:pt x="4928628" y="34656"/>
                <a:pt x="5021648" y="0"/>
              </a:cubicBezTo>
              <a:cubicBezTo>
                <a:pt x="5114668" y="-34656"/>
                <a:pt x="5385510" y="17274"/>
                <a:pt x="5478161" y="0"/>
              </a:cubicBezTo>
              <a:cubicBezTo>
                <a:pt x="5570812" y="-17274"/>
                <a:pt x="5627866" y="17975"/>
                <a:pt x="5706418" y="0"/>
              </a:cubicBezTo>
              <a:cubicBezTo>
                <a:pt x="5784970" y="-17975"/>
                <a:pt x="5999613" y="18020"/>
                <a:pt x="6162931" y="0"/>
              </a:cubicBezTo>
              <a:cubicBezTo>
                <a:pt x="6326249" y="-18020"/>
                <a:pt x="6618781" y="13360"/>
                <a:pt x="6733573" y="0"/>
              </a:cubicBezTo>
              <a:cubicBezTo>
                <a:pt x="6848365" y="-13360"/>
                <a:pt x="6906554" y="29920"/>
                <a:pt x="7075958" y="0"/>
              </a:cubicBezTo>
              <a:cubicBezTo>
                <a:pt x="7245363" y="-29920"/>
                <a:pt x="7344358" y="25396"/>
                <a:pt x="7532472" y="0"/>
              </a:cubicBezTo>
              <a:cubicBezTo>
                <a:pt x="7720586" y="-25396"/>
                <a:pt x="7667602" y="11754"/>
                <a:pt x="7760728" y="0"/>
              </a:cubicBezTo>
              <a:cubicBezTo>
                <a:pt x="7853854" y="-11754"/>
                <a:pt x="8169460" y="51958"/>
                <a:pt x="8331370" y="0"/>
              </a:cubicBezTo>
              <a:cubicBezTo>
                <a:pt x="8493280" y="-51958"/>
                <a:pt x="8465494" y="4428"/>
                <a:pt x="8559627" y="0"/>
              </a:cubicBezTo>
              <a:cubicBezTo>
                <a:pt x="8653760" y="-4428"/>
                <a:pt x="8681808" y="23812"/>
                <a:pt x="8787884" y="0"/>
              </a:cubicBezTo>
              <a:cubicBezTo>
                <a:pt x="8893960" y="-23812"/>
                <a:pt x="9017531" y="36816"/>
                <a:pt x="9244397" y="0"/>
              </a:cubicBezTo>
              <a:cubicBezTo>
                <a:pt x="9471263" y="-36816"/>
                <a:pt x="9599735" y="29578"/>
                <a:pt x="9929167" y="0"/>
              </a:cubicBezTo>
              <a:cubicBezTo>
                <a:pt x="10258599" y="-29578"/>
                <a:pt x="10197234" y="25432"/>
                <a:pt x="10271552" y="0"/>
              </a:cubicBezTo>
              <a:cubicBezTo>
                <a:pt x="10345871" y="-25432"/>
                <a:pt x="10682096" y="58501"/>
                <a:pt x="10842194" y="0"/>
              </a:cubicBezTo>
              <a:cubicBezTo>
                <a:pt x="11002292" y="-58501"/>
                <a:pt x="11293112" y="45382"/>
                <a:pt x="11412836" y="0"/>
              </a:cubicBezTo>
              <a:cubicBezTo>
                <a:pt x="11414243" y="239636"/>
                <a:pt x="11398047" y="396065"/>
                <a:pt x="11412836" y="636165"/>
              </a:cubicBezTo>
              <a:cubicBezTo>
                <a:pt x="11427625" y="876266"/>
                <a:pt x="11369399" y="992383"/>
                <a:pt x="11412836" y="1105856"/>
              </a:cubicBezTo>
              <a:cubicBezTo>
                <a:pt x="11456273" y="1219329"/>
                <a:pt x="11403596" y="1498210"/>
                <a:pt x="11412836" y="1617166"/>
              </a:cubicBezTo>
              <a:cubicBezTo>
                <a:pt x="11422076" y="1736122"/>
                <a:pt x="11378041" y="1948979"/>
                <a:pt x="11412836" y="2086857"/>
              </a:cubicBezTo>
              <a:cubicBezTo>
                <a:pt x="11447631" y="2224735"/>
                <a:pt x="11353184" y="2393458"/>
                <a:pt x="11412836" y="2639786"/>
              </a:cubicBezTo>
              <a:cubicBezTo>
                <a:pt x="11472488" y="2886114"/>
                <a:pt x="11386446" y="2916523"/>
                <a:pt x="11412836" y="3109477"/>
              </a:cubicBezTo>
              <a:cubicBezTo>
                <a:pt x="11439226" y="3302431"/>
                <a:pt x="11288524" y="3718253"/>
                <a:pt x="11412836" y="4161824"/>
              </a:cubicBezTo>
              <a:cubicBezTo>
                <a:pt x="11144883" y="4222670"/>
                <a:pt x="11034865" y="4138156"/>
                <a:pt x="10842194" y="4161824"/>
              </a:cubicBezTo>
              <a:cubicBezTo>
                <a:pt x="10649523" y="4185492"/>
                <a:pt x="10219860" y="4083160"/>
                <a:pt x="10043296" y="4161824"/>
              </a:cubicBezTo>
              <a:cubicBezTo>
                <a:pt x="9866732" y="4240488"/>
                <a:pt x="9598752" y="4110431"/>
                <a:pt x="9472654" y="4161824"/>
              </a:cubicBezTo>
              <a:cubicBezTo>
                <a:pt x="9346556" y="4213217"/>
                <a:pt x="9230290" y="4145573"/>
                <a:pt x="9016140" y="4161824"/>
              </a:cubicBezTo>
              <a:cubicBezTo>
                <a:pt x="8801990" y="4178075"/>
                <a:pt x="8389645" y="4072411"/>
                <a:pt x="8217242" y="4161824"/>
              </a:cubicBezTo>
              <a:cubicBezTo>
                <a:pt x="8044839" y="4251237"/>
                <a:pt x="7625717" y="4150396"/>
                <a:pt x="7418343" y="4161824"/>
              </a:cubicBezTo>
              <a:cubicBezTo>
                <a:pt x="7210969" y="4173252"/>
                <a:pt x="7056163" y="4128238"/>
                <a:pt x="6847702" y="4161824"/>
              </a:cubicBezTo>
              <a:cubicBezTo>
                <a:pt x="6639241" y="4195410"/>
                <a:pt x="6557712" y="4115986"/>
                <a:pt x="6277060" y="4161824"/>
              </a:cubicBezTo>
              <a:cubicBezTo>
                <a:pt x="5996408" y="4207662"/>
                <a:pt x="5828160" y="4112049"/>
                <a:pt x="5706418" y="4161824"/>
              </a:cubicBezTo>
              <a:cubicBezTo>
                <a:pt x="5584676" y="4211599"/>
                <a:pt x="5349659" y="4141063"/>
                <a:pt x="5021648" y="4161824"/>
              </a:cubicBezTo>
              <a:cubicBezTo>
                <a:pt x="4693637" y="4182585"/>
                <a:pt x="4500484" y="4141651"/>
                <a:pt x="4336878" y="4161824"/>
              </a:cubicBezTo>
              <a:cubicBezTo>
                <a:pt x="4173272" y="4181997"/>
                <a:pt x="3703231" y="4067455"/>
                <a:pt x="3537979" y="4161824"/>
              </a:cubicBezTo>
              <a:cubicBezTo>
                <a:pt x="3372727" y="4256193"/>
                <a:pt x="3037503" y="4120152"/>
                <a:pt x="2853209" y="4161824"/>
              </a:cubicBezTo>
              <a:cubicBezTo>
                <a:pt x="2668915" y="4203496"/>
                <a:pt x="2527498" y="4106440"/>
                <a:pt x="2282567" y="4161824"/>
              </a:cubicBezTo>
              <a:cubicBezTo>
                <a:pt x="2037636" y="4217208"/>
                <a:pt x="2150377" y="4137863"/>
                <a:pt x="2054310" y="4161824"/>
              </a:cubicBezTo>
              <a:cubicBezTo>
                <a:pt x="1958243" y="4185785"/>
                <a:pt x="1736861" y="4152103"/>
                <a:pt x="1597797" y="4161824"/>
              </a:cubicBezTo>
              <a:cubicBezTo>
                <a:pt x="1458733" y="4171545"/>
                <a:pt x="1081046" y="4097790"/>
                <a:pt x="913027" y="4161824"/>
              </a:cubicBezTo>
              <a:cubicBezTo>
                <a:pt x="745008" y="4225858"/>
                <a:pt x="797394" y="4155360"/>
                <a:pt x="684770" y="4161824"/>
              </a:cubicBezTo>
              <a:cubicBezTo>
                <a:pt x="572146" y="4168288"/>
                <a:pt x="341991" y="4121841"/>
                <a:pt x="0" y="4161824"/>
              </a:cubicBezTo>
              <a:cubicBezTo>
                <a:pt x="-8222" y="4051194"/>
                <a:pt x="31648" y="3775416"/>
                <a:pt x="0" y="3608896"/>
              </a:cubicBezTo>
              <a:cubicBezTo>
                <a:pt x="-31648" y="3442376"/>
                <a:pt x="39612" y="3249362"/>
                <a:pt x="0" y="3139204"/>
              </a:cubicBezTo>
              <a:cubicBezTo>
                <a:pt x="-39612" y="3029046"/>
                <a:pt x="51954" y="2824686"/>
                <a:pt x="0" y="2586276"/>
              </a:cubicBezTo>
              <a:cubicBezTo>
                <a:pt x="-51954" y="2347866"/>
                <a:pt x="50688" y="2147329"/>
                <a:pt x="0" y="2033348"/>
              </a:cubicBezTo>
              <a:cubicBezTo>
                <a:pt x="-50688" y="1919367"/>
                <a:pt x="53923" y="1662482"/>
                <a:pt x="0" y="1355566"/>
              </a:cubicBezTo>
              <a:cubicBezTo>
                <a:pt x="-53923" y="1048650"/>
                <a:pt x="17860" y="971491"/>
                <a:pt x="0" y="802637"/>
              </a:cubicBezTo>
              <a:cubicBezTo>
                <a:pt x="-17860" y="633783"/>
                <a:pt x="12234" y="245602"/>
                <a:pt x="0" y="0"/>
              </a:cubicBezTo>
              <a:close/>
            </a:path>
          </a:pathLst>
        </a:custGeom>
        <a:noFill/>
        <a:ln>
          <a:solidFill>
            <a:schemeClr val="tx1"/>
          </a:solidFill>
          <a:extLst>
            <a:ext uri="{C807C97D-BFC1-408E-A445-0C87EB9F89A2}">
              <ask:lineSketchStyleProps xmlns:ask="http://schemas.microsoft.com/office/drawing/2018/sketchyshapes" sd="3516105897">
                <a:prstGeom prst="rect">
                  <a:avLst/>
                </a:prstGeom>
                <ask:type>
                  <ask:lineSketchScribble/>
                </ask:type>
              </ask:lineSketchStyleProps>
            </a:ext>
          </a:extLst>
        </a:ln>
        <a:effectLst>
          <a:glow rad="139700">
            <a:schemeClr val="accent1">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rtl="0"/>
          <a:r>
            <a:rPr lang="en-US" sz="1400" b="1" u="sng">
              <a:effectLst/>
              <a:latin typeface="Dubai" panose="020B0503030403030204" pitchFamily="34" charset="-78"/>
              <a:cs typeface="Dubai" panose="020B0503030403030204" pitchFamily="34" charset="-78"/>
            </a:rPr>
            <a:t>Parental Education Impact: The </a:t>
          </a:r>
          <a:r>
            <a:rPr lang="en-US" sz="1400" b="1" i="1" u="sng">
              <a:effectLst/>
              <a:latin typeface="Dubai" panose="020B0503030403030204" pitchFamily="34" charset="-78"/>
              <a:cs typeface="Dubai" panose="020B0503030403030204" pitchFamily="34" charset="-78"/>
            </a:rPr>
            <a:t>University Readiness KPIs</a:t>
          </a:r>
          <a:r>
            <a:rPr lang="en-US" sz="1400" b="1" u="sng">
              <a:effectLst/>
              <a:latin typeface="Dubai" panose="020B0503030403030204" pitchFamily="34" charset="-78"/>
              <a:cs typeface="Dubai" panose="020B0503030403030204" pitchFamily="34" charset="-78"/>
            </a:rPr>
            <a:t> table summarizes, for each parental education level, the average total score, pass rate, and the effect of lunch type and test preparation on performance.</a:t>
          </a:r>
          <a:endParaRPr lang="en-US" sz="1400" b="1" u="sng">
            <a:latin typeface="Dubai" panose="020B0503030403030204" pitchFamily="34" charset="-78"/>
            <a:cs typeface="Dubai" panose="020B0503030403030204" pitchFamily="34" charset="-78"/>
          </a:endParaRPr>
        </a:p>
        <a:p>
          <a:pPr rtl="0"/>
          <a:r>
            <a:rPr lang="en-US" sz="1600" b="0" i="0">
              <a:effectLst/>
              <a:latin typeface="Dubai" panose="020B0503030403030204" pitchFamily="34" charset="-78"/>
              <a:cs typeface="Dubai" panose="020B0503030403030204" pitchFamily="34" charset="-78"/>
            </a:rPr>
            <a:t>Gender vs Education: The Gender vs Parental Education % table shows, within each parental education level, the share of female vs male students. This helps spot gender concentration at different education levels.</a:t>
          </a:r>
          <a:endParaRPr lang="en-US" sz="1600" b="0" i="0">
            <a:latin typeface="Dubai" panose="020B0503030403030204" pitchFamily="34" charset="-78"/>
            <a:cs typeface="Dubai" panose="020B0503030403030204" pitchFamily="34" charset="-78"/>
          </a:endParaRPr>
        </a:p>
        <a:p>
          <a:pPr rtl="0"/>
          <a:r>
            <a:rPr lang="en-US" sz="1600" b="0" i="0">
              <a:effectLst/>
              <a:latin typeface="Dubai" panose="020B0503030403030204" pitchFamily="34" charset="-78"/>
              <a:cs typeface="Dubai" panose="020B0503030403030204" pitchFamily="34" charset="-78"/>
            </a:rPr>
            <a:t>Gender &amp; Race vs. Education: The Gender &amp; Race vs. Parental Education % table goes deeper, showing for each education level the gender split and race/ethnicity mix (groups A–E). Each row adds up to ~100%, so you read it as “composition of that education group.”</a:t>
          </a:r>
          <a:endParaRPr lang="en-US" sz="1600" b="0" i="0">
            <a:latin typeface="Dubai" panose="020B0503030403030204" pitchFamily="34" charset="-78"/>
            <a:cs typeface="Dubai" panose="020B0503030403030204" pitchFamily="34" charset="-78"/>
          </a:endParaRPr>
        </a:p>
        <a:p>
          <a:pPr rtl="0"/>
          <a:r>
            <a:rPr lang="en-US" sz="1600" b="0" i="0">
              <a:effectLst/>
              <a:latin typeface="Dubai" panose="020B0503030403030204" pitchFamily="34" charset="-78"/>
              <a:cs typeface="Dubai" panose="020B0503030403030204" pitchFamily="34" charset="-78"/>
            </a:rPr>
            <a:t>Sector vs. Highest Education &amp; Pass/Grading: This table (and its chart) combines race/ethnicity (sector) with the highest parental education in that sector, plus the pass rate and average grade for that combination.</a:t>
          </a:r>
          <a:endParaRPr lang="en-US" sz="1600" b="0" i="0">
            <a:latin typeface="Dubai" panose="020B0503030403030204" pitchFamily="34" charset="-78"/>
            <a:cs typeface="Dubai" panose="020B0503030403030204" pitchFamily="34" charset="-78"/>
          </a:endParaRPr>
        </a:p>
        <a:p>
          <a:pPr rtl="0"/>
          <a:r>
            <a:rPr lang="en-US" sz="1600" b="0" i="0">
              <a:effectLst/>
              <a:latin typeface="Dubai" panose="020B0503030403030204" pitchFamily="34" charset="-78"/>
              <a:cs typeface="Dubai" panose="020B0503030403030204" pitchFamily="34" charset="-78"/>
            </a:rPr>
            <a:t>This</a:t>
          </a:r>
          <a:r>
            <a:rPr lang="en-US" sz="1600" b="0" i="0" baseline="0">
              <a:effectLst/>
              <a:latin typeface="Dubai" panose="020B0503030403030204" pitchFamily="34" charset="-78"/>
              <a:cs typeface="Dubai" panose="020B0503030403030204" pitchFamily="34" charset="-78"/>
            </a:rPr>
            <a:t> heips to</a:t>
          </a:r>
          <a:r>
            <a:rPr lang="en-US" sz="1600" b="0" i="0">
              <a:effectLst/>
              <a:latin typeface="Dubai" panose="020B0503030403030204" pitchFamily="34" charset="-78"/>
              <a:cs typeface="Dubai" panose="020B0503030403030204" pitchFamily="34" charset="-78"/>
            </a:rPr>
            <a:t> filter/sort by parental education, gender, race, lunch, and test prep to answer questions like</a:t>
          </a:r>
          <a:endParaRPr lang="en-US" sz="1600" b="0" i="0">
            <a:latin typeface="Dubai" panose="020B0503030403030204" pitchFamily="34" charset="-78"/>
            <a:cs typeface="Dubai" panose="020B0503030403030204" pitchFamily="34" charset="-78"/>
          </a:endParaRPr>
        </a:p>
        <a:p>
          <a:pPr algn="ctr" rtl="0"/>
          <a:r>
            <a:rPr lang="en-US" sz="1400" b="0" i="1">
              <a:solidFill>
                <a:schemeClr val="accent2"/>
              </a:solidFill>
              <a:effectLst/>
              <a:latin typeface="Dubai" panose="020B0503030403030204" pitchFamily="34" charset="-78"/>
              <a:cs typeface="Dubai" panose="020B0503030403030204" pitchFamily="34" charset="-78"/>
            </a:rPr>
            <a:t>Which parental education levels have the strongest pass rates?</a:t>
          </a:r>
          <a:endParaRPr lang="en-US" sz="1400" b="0">
            <a:solidFill>
              <a:schemeClr val="accent2"/>
            </a:solidFill>
            <a:latin typeface="Dubai" panose="020B0503030403030204" pitchFamily="34" charset="-78"/>
            <a:cs typeface="Dubai" panose="020B0503030403030204" pitchFamily="34" charset="-78"/>
          </a:endParaRPr>
        </a:p>
        <a:p>
          <a:pPr algn="ctr" rtl="0"/>
          <a:r>
            <a:rPr lang="en-US" sz="1400" b="0" i="1">
              <a:solidFill>
                <a:schemeClr val="accent2"/>
              </a:solidFill>
              <a:effectLst/>
              <a:latin typeface="Dubai" panose="020B0503030403030204" pitchFamily="34" charset="-78"/>
              <a:cs typeface="Dubai" panose="020B0503030403030204" pitchFamily="34" charset="-78"/>
            </a:rPr>
            <a:t>Does test prep help more for some education levels than others?</a:t>
          </a:r>
          <a:endParaRPr lang="en-US" sz="1400" b="0">
            <a:solidFill>
              <a:schemeClr val="accent2"/>
            </a:solidFill>
            <a:latin typeface="Dubai" panose="020B0503030403030204" pitchFamily="34" charset="-78"/>
            <a:cs typeface="Dubai" panose="020B0503030403030204" pitchFamily="34" charset="-78"/>
          </a:endParaRPr>
        </a:p>
        <a:p>
          <a:pPr algn="ctr" rtl="0"/>
          <a:r>
            <a:rPr lang="en-US" sz="1400" b="0" i="1">
              <a:solidFill>
                <a:schemeClr val="accent2"/>
              </a:solidFill>
              <a:effectLst/>
              <a:latin typeface="Dubai" panose="020B0503030403030204" pitchFamily="34" charset="-78"/>
              <a:cs typeface="Dubai" panose="020B0503030403030204" pitchFamily="34" charset="-78"/>
            </a:rPr>
            <a:t>How do gender and race distributions differ across parental education levels?</a:t>
          </a:r>
          <a:endParaRPr lang="en-US" sz="1400" b="0">
            <a:solidFill>
              <a:schemeClr val="accent2"/>
            </a:solidFill>
            <a:latin typeface="Dubai" panose="020B0503030403030204" pitchFamily="34" charset="-78"/>
            <a:cs typeface="Dubai" panose="020B0503030403030204" pitchFamily="34" charset="-78"/>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1</xdr:col>
      <xdr:colOff>360</xdr:colOff>
      <xdr:row>11</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Ink 3">
              <a:extLst>
                <a:ext uri="{FF2B5EF4-FFF2-40B4-BE49-F238E27FC236}">
                  <a16:creationId xmlns:a16="http://schemas.microsoft.com/office/drawing/2014/main" id="{65BADB99-8354-91C7-2431-D4F78DEA4C2D}"/>
                </a:ext>
              </a:extLst>
            </xdr14:cNvPr>
            <xdr14:cNvContentPartPr/>
          </xdr14:nvContentPartPr>
          <xdr14:nvPr macro=""/>
          <xdr14:xfrm>
            <a:off x="13393833" y="2960280"/>
            <a:ext cx="360" cy="360"/>
          </xdr14:xfrm>
        </xdr:contentPart>
      </mc:Choice>
      <mc:Fallback xmlns="">
        <xdr:pic>
          <xdr:nvPicPr>
            <xdr:cNvPr id="4" name="Ink 3">
              <a:extLst>
                <a:ext uri="{FF2B5EF4-FFF2-40B4-BE49-F238E27FC236}">
                  <a16:creationId xmlns:a16="http://schemas.microsoft.com/office/drawing/2014/main" id="{65BADB99-8354-91C7-2431-D4F78DEA4C2D}"/>
                </a:ext>
              </a:extLst>
            </xdr:cNvPr>
            <xdr:cNvPicPr/>
          </xdr:nvPicPr>
          <xdr:blipFill>
            <a:blip xmlns:r="http://schemas.openxmlformats.org/officeDocument/2006/relationships" r:embed="rId2"/>
            <a:stretch>
              <a:fillRect/>
            </a:stretch>
          </xdr:blipFill>
          <xdr:spPr>
            <a:xfrm>
              <a:off x="13387713" y="2954160"/>
              <a:ext cx="12600" cy="12600"/>
            </a:xfrm>
            <a:prstGeom prst="rect">
              <a:avLst/>
            </a:prstGeom>
          </xdr:spPr>
        </xdr:pic>
      </mc:Fallback>
    </mc:AlternateContent>
    <xdr:clientData/>
  </xdr:twoCellAnchor>
  <xdr:twoCellAnchor editAs="oneCell">
    <xdr:from>
      <xdr:col>1</xdr:col>
      <xdr:colOff>0</xdr:colOff>
      <xdr:row>11</xdr:row>
      <xdr:rowOff>0</xdr:rowOff>
    </xdr:from>
    <xdr:to>
      <xdr:col>1</xdr:col>
      <xdr:colOff>360</xdr:colOff>
      <xdr:row>11</xdr:row>
      <xdr:rowOff>7920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5" name="Ink 4">
              <a:extLst>
                <a:ext uri="{FF2B5EF4-FFF2-40B4-BE49-F238E27FC236}">
                  <a16:creationId xmlns:a16="http://schemas.microsoft.com/office/drawing/2014/main" id="{89E1DC15-8DB8-4450-0EDB-7FC7C4E92C7A}"/>
                </a:ext>
              </a:extLst>
            </xdr14:cNvPr>
            <xdr14:cNvContentPartPr/>
          </xdr14:nvContentPartPr>
          <xdr14:nvPr macro=""/>
          <xdr14:xfrm>
            <a:off x="13393833" y="3226320"/>
            <a:ext cx="360" cy="7920"/>
          </xdr14:xfrm>
        </xdr:contentPart>
      </mc:Choice>
      <mc:Fallback xmlns="">
        <xdr:pic>
          <xdr:nvPicPr>
            <xdr:cNvPr id="5" name="Ink 4">
              <a:extLst>
                <a:ext uri="{FF2B5EF4-FFF2-40B4-BE49-F238E27FC236}">
                  <a16:creationId xmlns:a16="http://schemas.microsoft.com/office/drawing/2014/main" id="{89E1DC15-8DB8-4450-0EDB-7FC7C4E92C7A}"/>
                </a:ext>
              </a:extLst>
            </xdr:cNvPr>
            <xdr:cNvPicPr/>
          </xdr:nvPicPr>
          <xdr:blipFill>
            <a:blip xmlns:r="http://schemas.openxmlformats.org/officeDocument/2006/relationships" r:embed="rId4"/>
            <a:stretch>
              <a:fillRect/>
            </a:stretch>
          </xdr:blipFill>
          <xdr:spPr>
            <a:xfrm>
              <a:off x="13387713" y="3220200"/>
              <a:ext cx="12600" cy="20160"/>
            </a:xfrm>
            <a:prstGeom prst="rect">
              <a:avLst/>
            </a:prstGeom>
          </xdr:spPr>
        </xdr:pic>
      </mc:Fallback>
    </mc:AlternateContent>
    <xdr:clientData/>
  </xdr:twoCellAnchor>
  <xdr:twoCellAnchor editAs="oneCell">
    <xdr:from>
      <xdr:col>1</xdr:col>
      <xdr:colOff>0</xdr:colOff>
      <xdr:row>11</xdr:row>
      <xdr:rowOff>0</xdr:rowOff>
    </xdr:from>
    <xdr:to>
      <xdr:col>1</xdr:col>
      <xdr:colOff>360</xdr:colOff>
      <xdr:row>11</xdr:row>
      <xdr:rowOff>360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Ink 5">
              <a:extLst>
                <a:ext uri="{FF2B5EF4-FFF2-40B4-BE49-F238E27FC236}">
                  <a16:creationId xmlns:a16="http://schemas.microsoft.com/office/drawing/2014/main" id="{105611D8-EE31-1737-AB0D-5576693678BB}"/>
                </a:ext>
              </a:extLst>
            </xdr14:cNvPr>
            <xdr14:cNvContentPartPr/>
          </xdr14:nvContentPartPr>
          <xdr14:nvPr macro=""/>
          <xdr14:xfrm>
            <a:off x="13401393" y="3477240"/>
            <a:ext cx="360" cy="360"/>
          </xdr14:xfrm>
        </xdr:contentPart>
      </mc:Choice>
      <mc:Fallback xmlns="">
        <xdr:pic>
          <xdr:nvPicPr>
            <xdr:cNvPr id="6" name="Ink 5">
              <a:extLst>
                <a:ext uri="{FF2B5EF4-FFF2-40B4-BE49-F238E27FC236}">
                  <a16:creationId xmlns:a16="http://schemas.microsoft.com/office/drawing/2014/main" id="{105611D8-EE31-1737-AB0D-5576693678BB}"/>
                </a:ext>
              </a:extLst>
            </xdr:cNvPr>
            <xdr:cNvPicPr/>
          </xdr:nvPicPr>
          <xdr:blipFill>
            <a:blip xmlns:r="http://schemas.openxmlformats.org/officeDocument/2006/relationships" r:embed="rId2"/>
            <a:stretch>
              <a:fillRect/>
            </a:stretch>
          </xdr:blipFill>
          <xdr:spPr>
            <a:xfrm>
              <a:off x="13395273" y="347112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6T23:58:11.101"/>
    </inkml:context>
    <inkml:brush xml:id="br0">
      <inkml:brushProperty name="width" value="0.035" units="cm"/>
      <inkml:brushProperty name="height" value="0.035" units="cm"/>
      <inkml:brushProperty name="color" value="#E71224"/>
    </inkml:brush>
  </inkml:definitions>
  <inkml:trace contextRef="#ctx0" brushRef="#br0">0 3496 24575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6T23:54:24.619"/>
    </inkml:context>
    <inkml:brush xml:id="br0">
      <inkml:brushProperty name="width" value="0.035" units="cm"/>
      <inkml:brushProperty name="height" value="0.035" units="cm"/>
      <inkml:brushProperty name="color" value="#E71224"/>
    </inkml:brush>
  </inkml:definitions>
  <inkml:trace contextRef="#ctx0" brushRef="#br0">0 1 24575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6T23:54:27.726"/>
    </inkml:context>
    <inkml:brush xml:id="br0">
      <inkml:brushProperty name="width" value="0.035" units="cm"/>
      <inkml:brushProperty name="height" value="0.035" units="cm"/>
      <inkml:brushProperty name="color" value="#E71224"/>
    </inkml:brush>
  </inkml:definitions>
  <inkml:trace contextRef="#ctx0" brushRef="#br0">0 21 24575,'0'-4'0,"0"-4"0,0-1-8191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2-06T23:54:29.814"/>
    </inkml:context>
    <inkml:brush xml:id="br0">
      <inkml:brushProperty name="width" value="0.035" units="cm"/>
      <inkml:brushProperty name="height" value="0.035" units="cm"/>
      <inkml:brushProperty name="color" value="#E71224"/>
    </inkml:brush>
  </inkml:definitions>
  <inkml:trace contextRef="#ctx0" brushRef="#br0">0 1 24575,'0'0'-8191</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4.15949351852" createdVersion="8" refreshedVersion="8" minRefreshableVersion="3" recordCount="196" xr:uid="{8EB9F682-77AD-4720-84E2-A8DF303B3E3C}">
  <cacheSource type="worksheet">
    <worksheetSource name="Table5"/>
  </cacheSource>
  <cacheFields count="6">
    <cacheField name="Gender" numFmtId="0">
      <sharedItems count="2">
        <s v="male"/>
        <s v="female"/>
      </sharedItems>
    </cacheField>
    <cacheField name="Race/ethnicity" numFmtId="0">
      <sharedItems count="5">
        <s v="group D"/>
        <s v="group B"/>
        <s v="group C"/>
        <s v="group E"/>
        <s v="group A"/>
      </sharedItems>
    </cacheField>
    <cacheField name="Lunch" numFmtId="0">
      <sharedItems/>
    </cacheField>
    <cacheField name="Test prep" numFmtId="0">
      <sharedItems/>
    </cacheField>
    <cacheField name="Total Score" numFmtId="0">
      <sharedItems containsSemiMixedTypes="0" containsString="0" containsNumber="1" containsInteger="1" minValue="55" maxValue="287"/>
    </cacheField>
    <cacheField name="Grading" numFmtId="0">
      <sharedItems/>
    </cacheField>
  </cacheFields>
  <extLst>
    <ext xmlns:x14="http://schemas.microsoft.com/office/spreadsheetml/2009/9/main" uri="{725AE2AE-9491-48be-B2B4-4EB974FC3084}">
      <x14:pivotCacheDefinition pivotCacheId="102260975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4.853323611111" createdVersion="8" refreshedVersion="8" minRefreshableVersion="3" recordCount="59" xr:uid="{FD61250F-05A0-4AA1-B346-11899A7C756E}">
  <cacheSource type="worksheet">
    <worksheetSource name="Table3"/>
  </cacheSource>
  <cacheFields count="7">
    <cacheField name="Gender" numFmtId="0">
      <sharedItems count="2">
        <s v="female"/>
        <s v="male"/>
      </sharedItems>
    </cacheField>
    <cacheField name="Race/ethnicity" numFmtId="0">
      <sharedItems count="5">
        <s v="group B"/>
        <s v="group A"/>
        <s v="group C"/>
        <s v="group D"/>
        <s v="group E"/>
      </sharedItems>
    </cacheField>
    <cacheField name="Lunch" numFmtId="0">
      <sharedItems count="2">
        <s v="standard"/>
        <s v="free/reduced"/>
      </sharedItems>
    </cacheField>
    <cacheField name="Test prep" numFmtId="0">
      <sharedItems/>
    </cacheField>
    <cacheField name="Total Score" numFmtId="0">
      <sharedItems containsSemiMixedTypes="0" containsString="0" containsNumber="1" containsInteger="1" minValue="134" maxValue="293"/>
    </cacheField>
    <cacheField name="Rank" numFmtId="0">
      <sharedItems containsSemiMixedTypes="0" containsString="0" containsNumber="1" containsInteger="1" minValue="1" maxValue="59"/>
    </cacheField>
    <cacheField name="Grading" numFmtId="0">
      <sharedItems/>
    </cacheField>
  </cacheFields>
  <extLst>
    <ext xmlns:x14="http://schemas.microsoft.com/office/spreadsheetml/2009/9/main" uri="{725AE2AE-9491-48be-B2B4-4EB974FC3084}">
      <x14:pivotCacheDefinition pivotCacheId="147285209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4.928059027778" createdVersion="8" refreshedVersion="8" minRefreshableVersion="3" recordCount="222" xr:uid="{5C299820-4770-40A7-A912-6AD184CB751A}">
  <cacheSource type="worksheet">
    <worksheetSource name="Table9"/>
  </cacheSource>
  <cacheFields count="7">
    <cacheField name="Gender" numFmtId="0">
      <sharedItems count="2">
        <s v="male"/>
        <s v="female"/>
      </sharedItems>
    </cacheField>
    <cacheField name="Race/ethnicity" numFmtId="0">
      <sharedItems count="5">
        <s v="group A"/>
        <s v="group B"/>
        <s v="group C"/>
        <s v="group D"/>
        <s v="group E"/>
      </sharedItems>
    </cacheField>
    <cacheField name="Lunch" numFmtId="0">
      <sharedItems count="2">
        <s v="free/reduced"/>
        <s v="standard"/>
      </sharedItems>
    </cacheField>
    <cacheField name="Test prep" numFmtId="0">
      <sharedItems/>
    </cacheField>
    <cacheField name="Total Score" numFmtId="0">
      <sharedItems containsSemiMixedTypes="0" containsString="0" containsNumber="1" containsInteger="1" minValue="95" maxValue="300"/>
    </cacheField>
    <cacheField name="POSITION" numFmtId="0">
      <sharedItems containsSemiMixedTypes="0" containsString="0" containsNumber="1" containsInteger="1" minValue="1" maxValue="222"/>
    </cacheField>
    <cacheField name="Grading" numFmtId="0">
      <sharedItems count="5">
        <s v="F"/>
        <s v="C"/>
        <s v="B"/>
        <s v="P"/>
        <s v="A"/>
      </sharedItems>
    </cacheField>
  </cacheFields>
  <extLst>
    <ext xmlns:x14="http://schemas.microsoft.com/office/spreadsheetml/2009/9/main" uri="{725AE2AE-9491-48be-B2B4-4EB974FC3084}">
      <x14:pivotCacheDefinition pivotCacheId="206957522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5.784165393517" createdVersion="8" refreshedVersion="8" minRefreshableVersion="3" recordCount="118" xr:uid="{4F77D6F5-5FB9-4F06-83BB-1E5A9255AB42}">
  <cacheSource type="worksheet">
    <worksheetSource name="Table6"/>
  </cacheSource>
  <cacheFields count="6">
    <cacheField name="Gender" numFmtId="0">
      <sharedItems count="2">
        <s v="female"/>
        <s v="male"/>
      </sharedItems>
    </cacheField>
    <cacheField name="Race/ethnicity" numFmtId="0">
      <sharedItems count="5">
        <s v="group B"/>
        <s v="group D"/>
        <s v="group C"/>
        <s v="group E"/>
        <s v="group A"/>
      </sharedItems>
    </cacheField>
    <cacheField name="Lunch" numFmtId="0">
      <sharedItems count="2">
        <s v="standard"/>
        <s v="free/reduced"/>
      </sharedItems>
    </cacheField>
    <cacheField name="Test prep" numFmtId="0">
      <sharedItems count="2">
        <s v="none"/>
        <s v="completed"/>
      </sharedItems>
    </cacheField>
    <cacheField name="Total Score" numFmtId="0">
      <sharedItems containsSemiMixedTypes="0" containsString="0" containsNumber="1" containsInteger="1" minValue="117" maxValue="300"/>
    </cacheField>
    <cacheField name="Grading" numFmtId="0">
      <sharedItems/>
    </cacheField>
  </cacheFields>
  <extLst>
    <ext xmlns:x14="http://schemas.microsoft.com/office/spreadsheetml/2009/9/main" uri="{725AE2AE-9491-48be-B2B4-4EB974FC3084}">
      <x14:pivotCacheDefinition pivotCacheId="28080988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8.090517245371" createdVersion="8" refreshedVersion="8" minRefreshableVersion="3" recordCount="226" xr:uid="{44A10126-D8F9-4A1C-9FE9-65F6278065E0}">
  <cacheSource type="worksheet">
    <worksheetSource name="Table11"/>
  </cacheSource>
  <cacheFields count="7">
    <cacheField name="Gender" numFmtId="0">
      <sharedItems count="2">
        <s v="female"/>
        <s v="male"/>
      </sharedItems>
    </cacheField>
    <cacheField name="Race/ethnicity" numFmtId="0">
      <sharedItems count="5">
        <s v="group C"/>
        <s v="group B"/>
        <s v="group A"/>
        <s v="group D"/>
        <s v="group E"/>
      </sharedItems>
    </cacheField>
    <cacheField name="Lunch" numFmtId="0">
      <sharedItems count="2">
        <s v="standard"/>
        <s v="free/reduced"/>
      </sharedItems>
    </cacheField>
    <cacheField name="Test prep" numFmtId="0">
      <sharedItems/>
    </cacheField>
    <cacheField name="Total Score" numFmtId="0">
      <sharedItems containsSemiMixedTypes="0" containsString="0" containsNumber="1" containsInteger="1" minValue="70" maxValue="297"/>
    </cacheField>
    <cacheField name="RANK" numFmtId="0">
      <sharedItems containsSemiMixedTypes="0" containsString="0" containsNumber="1" containsInteger="1" minValue="1" maxValue="226" count="114">
        <n v="36"/>
        <n v="65"/>
        <n v="7"/>
        <n v="218"/>
        <n v="87"/>
        <n v="106"/>
        <n v="208"/>
        <n v="172"/>
        <n v="93"/>
        <n v="147"/>
        <n v="220"/>
        <n v="15"/>
        <n v="146"/>
        <n v="200"/>
        <n v="214"/>
        <n v="181"/>
        <n v="113"/>
        <n v="139"/>
        <n v="167"/>
        <n v="54"/>
        <n v="135"/>
        <n v="23"/>
        <n v="116"/>
        <n v="151"/>
        <n v="99"/>
        <n v="9"/>
        <n v="130"/>
        <n v="196"/>
        <n v="50"/>
        <n v="96"/>
        <n v="62"/>
        <n v="45"/>
        <n v="124"/>
        <n v="156"/>
        <n v="47"/>
        <n v="223"/>
        <n v="169"/>
        <n v="35"/>
        <n v="103"/>
        <n v="41"/>
        <n v="179"/>
        <n v="48"/>
        <n v="202"/>
        <n v="76"/>
        <n v="213"/>
        <n v="224"/>
        <n v="98"/>
        <n v="6"/>
        <n v="198"/>
        <n v="49"/>
        <n v="212"/>
        <n v="33"/>
        <n v="73"/>
        <n v="13"/>
        <n v="60"/>
        <n v="158"/>
        <n v="226"/>
        <n v="89"/>
        <n v="86"/>
        <n v="128"/>
        <n v="176"/>
        <n v="164"/>
        <n v="21"/>
        <n v="190"/>
        <n v="150"/>
        <n v="91"/>
        <n v="84"/>
        <n v="188"/>
        <n v="42"/>
        <n v="221"/>
        <n v="143"/>
        <n v="69"/>
        <n v="57"/>
        <n v="3"/>
        <n v="185"/>
        <n v="22"/>
        <n v="19"/>
        <n v="44"/>
        <n v="194"/>
        <n v="25"/>
        <n v="201"/>
        <n v="123"/>
        <n v="222"/>
        <n v="67"/>
        <n v="104"/>
        <n v="187"/>
        <n v="197"/>
        <n v="161"/>
        <n v="141"/>
        <n v="4"/>
        <n v="2"/>
        <n v="206"/>
        <n v="12"/>
        <n v="132"/>
        <n v="75"/>
        <n v="112"/>
        <n v="109"/>
        <n v="27"/>
        <n v="1"/>
        <n v="120"/>
        <n v="216"/>
        <n v="217"/>
        <n v="11"/>
        <n v="193"/>
        <n v="59"/>
        <n v="225"/>
        <n v="64"/>
        <n v="18"/>
        <n v="30"/>
        <n v="43"/>
        <n v="5"/>
        <n v="32"/>
        <n v="192"/>
        <n v="155"/>
      </sharedItems>
    </cacheField>
    <cacheField name="Grading" numFmtId="0">
      <sharedItems count="5">
        <s v="Very Good"/>
        <s v="Good"/>
        <s v="Excellent"/>
        <s v="Poor"/>
        <s v="Fair"/>
      </sharedItems>
    </cacheField>
  </cacheFields>
  <extLst>
    <ext xmlns:x14="http://schemas.microsoft.com/office/spreadsheetml/2009/9/main" uri="{725AE2AE-9491-48be-B2B4-4EB974FC3084}">
      <x14:pivotCacheDefinition pivotCacheId="1084594449"/>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98.568532291669" createdVersion="8" refreshedVersion="8" minRefreshableVersion="3" recordCount="179" xr:uid="{2A42A6BE-6F5E-4A73-9E28-E4908632AD80}">
  <cacheSource type="worksheet">
    <worksheetSource name="Table2"/>
  </cacheSource>
  <cacheFields count="7">
    <cacheField name="Gender" numFmtId="0">
      <sharedItems count="2">
        <s v="female"/>
        <s v="male"/>
      </sharedItems>
    </cacheField>
    <cacheField name="Race/ethnicity" numFmtId="0">
      <sharedItems count="5">
        <s v="group C"/>
        <s v="group B"/>
        <s v="group D"/>
        <s v="group A"/>
        <s v="group E"/>
      </sharedItems>
    </cacheField>
    <cacheField name="Lunch" numFmtId="0">
      <sharedItems count="2">
        <s v="standard"/>
        <s v="free/reduced"/>
      </sharedItems>
    </cacheField>
    <cacheField name="Test prep" numFmtId="0">
      <sharedItems count="2">
        <s v="none"/>
        <s v="completed"/>
      </sharedItems>
    </cacheField>
    <cacheField name="Total Score" numFmtId="1">
      <sharedItems containsSemiMixedTypes="0" containsString="0" containsNumber="1" containsInteger="1" minValue="27" maxValue="297"/>
    </cacheField>
    <cacheField name="Rank" numFmtId="1">
      <sharedItems containsSemiMixedTypes="0" containsString="0" containsNumber="1" containsInteger="1" minValue="1" maxValue="179"/>
    </cacheField>
    <cacheField name="Grade" numFmtId="0">
      <sharedItems/>
    </cacheField>
  </cacheFields>
  <extLst>
    <ext xmlns:x14="http://schemas.microsoft.com/office/spreadsheetml/2009/9/main" uri="{725AE2AE-9491-48be-B2B4-4EB974FC3084}">
      <x14:pivotCacheDefinition pivotCacheId="6176085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
  <r>
    <x v="0"/>
    <x v="0"/>
    <s v="free/reduced"/>
    <s v="completed"/>
    <n v="195"/>
    <s v="Fair"/>
  </r>
  <r>
    <x v="1"/>
    <x v="1"/>
    <s v="free/reduced"/>
    <s v="none"/>
    <n v="148"/>
    <s v="Fail"/>
  </r>
  <r>
    <x v="1"/>
    <x v="1"/>
    <s v="standard"/>
    <s v="none"/>
    <n v="219"/>
    <s v="Good"/>
  </r>
  <r>
    <x v="0"/>
    <x v="2"/>
    <s v="standard"/>
    <s v="none"/>
    <n v="263"/>
    <s v="Very Good"/>
  </r>
  <r>
    <x v="0"/>
    <x v="0"/>
    <s v="standard"/>
    <s v="none"/>
    <n v="198"/>
    <s v="Fair"/>
  </r>
  <r>
    <x v="0"/>
    <x v="2"/>
    <s v="standard"/>
    <s v="none"/>
    <n v="205"/>
    <s v="Fair"/>
  </r>
  <r>
    <x v="1"/>
    <x v="2"/>
    <s v="standard"/>
    <s v="none"/>
    <n v="213"/>
    <s v="Good"/>
  </r>
  <r>
    <x v="0"/>
    <x v="2"/>
    <s v="standard"/>
    <s v="completed"/>
    <n v="248"/>
    <s v="Very Good"/>
  </r>
  <r>
    <x v="0"/>
    <x v="0"/>
    <s v="standard"/>
    <s v="none"/>
    <n v="241"/>
    <s v="Very Good"/>
  </r>
  <r>
    <x v="1"/>
    <x v="2"/>
    <s v="free/reduced"/>
    <s v="none"/>
    <n v="117"/>
    <s v="Fail"/>
  </r>
  <r>
    <x v="0"/>
    <x v="1"/>
    <s v="free/reduced"/>
    <s v="none"/>
    <n v="139"/>
    <s v="Fail"/>
  </r>
  <r>
    <x v="0"/>
    <x v="0"/>
    <s v="free/reduced"/>
    <s v="none"/>
    <n v="115"/>
    <s v="Fail"/>
  </r>
  <r>
    <x v="0"/>
    <x v="2"/>
    <s v="free/reduced"/>
    <s v="none"/>
    <n v="97"/>
    <s v="Fail"/>
  </r>
  <r>
    <x v="0"/>
    <x v="2"/>
    <s v="standard"/>
    <s v="none"/>
    <n v="221"/>
    <s v="Good"/>
  </r>
  <r>
    <x v="0"/>
    <x v="1"/>
    <s v="standard"/>
    <s v="completed"/>
    <n v="151"/>
    <s v="Fail"/>
  </r>
  <r>
    <x v="0"/>
    <x v="2"/>
    <s v="standard"/>
    <s v="none"/>
    <n v="166"/>
    <s v="Fail"/>
  </r>
  <r>
    <x v="0"/>
    <x v="2"/>
    <s v="standard"/>
    <s v="none"/>
    <n v="235"/>
    <s v="Good"/>
  </r>
  <r>
    <x v="0"/>
    <x v="0"/>
    <s v="free/reduced"/>
    <s v="none"/>
    <n v="176"/>
    <s v="Fail"/>
  </r>
  <r>
    <x v="1"/>
    <x v="1"/>
    <s v="standard"/>
    <s v="none"/>
    <n v="268"/>
    <s v="Very Good"/>
  </r>
  <r>
    <x v="0"/>
    <x v="3"/>
    <s v="standard"/>
    <s v="none"/>
    <n v="181"/>
    <s v="Fair"/>
  </r>
  <r>
    <x v="0"/>
    <x v="4"/>
    <s v="standard"/>
    <s v="none"/>
    <n v="147"/>
    <s v="Fail"/>
  </r>
  <r>
    <x v="1"/>
    <x v="3"/>
    <s v="free/reduced"/>
    <s v="completed"/>
    <n v="218"/>
    <s v="Good"/>
  </r>
  <r>
    <x v="0"/>
    <x v="2"/>
    <s v="standard"/>
    <s v="none"/>
    <n v="154"/>
    <s v="Fail"/>
  </r>
  <r>
    <x v="0"/>
    <x v="2"/>
    <s v="free/reduced"/>
    <s v="completed"/>
    <n v="155"/>
    <s v="Fail"/>
  </r>
  <r>
    <x v="1"/>
    <x v="1"/>
    <s v="standard"/>
    <s v="completed"/>
    <n v="229"/>
    <s v="Good"/>
  </r>
  <r>
    <x v="0"/>
    <x v="4"/>
    <s v="standard"/>
    <s v="completed"/>
    <n v="219"/>
    <s v="Good"/>
  </r>
  <r>
    <x v="1"/>
    <x v="1"/>
    <s v="free/reduced"/>
    <s v="completed"/>
    <n v="158"/>
    <s v="Fail"/>
  </r>
  <r>
    <x v="1"/>
    <x v="3"/>
    <s v="standard"/>
    <s v="none"/>
    <n v="147"/>
    <s v="Fail"/>
  </r>
  <r>
    <x v="0"/>
    <x v="3"/>
    <s v="standard"/>
    <s v="none"/>
    <n v="221"/>
    <s v="Good"/>
  </r>
  <r>
    <x v="0"/>
    <x v="3"/>
    <s v="free/reduced"/>
    <s v="none"/>
    <n v="162"/>
    <s v="Fail"/>
  </r>
  <r>
    <x v="0"/>
    <x v="3"/>
    <s v="standard"/>
    <s v="completed"/>
    <n v="237"/>
    <s v="Good"/>
  </r>
  <r>
    <x v="1"/>
    <x v="2"/>
    <s v="free/reduced"/>
    <s v="none"/>
    <n v="164"/>
    <s v="Fail"/>
  </r>
  <r>
    <x v="0"/>
    <x v="3"/>
    <s v="standard"/>
    <s v="completed"/>
    <n v="259"/>
    <s v="Very Good"/>
  </r>
  <r>
    <x v="1"/>
    <x v="2"/>
    <s v="free/reduced"/>
    <s v="none"/>
    <n v="115"/>
    <s v="Fail"/>
  </r>
  <r>
    <x v="0"/>
    <x v="1"/>
    <s v="free/reduced"/>
    <s v="none"/>
    <n v="213"/>
    <s v="Good"/>
  </r>
  <r>
    <x v="1"/>
    <x v="0"/>
    <s v="standard"/>
    <s v="completed"/>
    <n v="198"/>
    <s v="Fair"/>
  </r>
  <r>
    <x v="0"/>
    <x v="0"/>
    <s v="standard"/>
    <s v="none"/>
    <n v="161"/>
    <s v="Fail"/>
  </r>
  <r>
    <x v="0"/>
    <x v="0"/>
    <s v="free/reduced"/>
    <s v="completed"/>
    <n v="207"/>
    <s v="Fair"/>
  </r>
  <r>
    <x v="1"/>
    <x v="0"/>
    <s v="standard"/>
    <s v="none"/>
    <n v="163"/>
    <s v="Fail"/>
  </r>
  <r>
    <x v="1"/>
    <x v="1"/>
    <s v="standard"/>
    <s v="completed"/>
    <n v="196"/>
    <s v="Fair"/>
  </r>
  <r>
    <x v="1"/>
    <x v="1"/>
    <s v="standard"/>
    <s v="none"/>
    <n v="191"/>
    <s v="Fair"/>
  </r>
  <r>
    <x v="0"/>
    <x v="2"/>
    <s v="standard"/>
    <s v="none"/>
    <n v="181"/>
    <s v="Fair"/>
  </r>
  <r>
    <x v="0"/>
    <x v="0"/>
    <s v="standard"/>
    <s v="none"/>
    <n v="158"/>
    <s v="Fail"/>
  </r>
  <r>
    <x v="1"/>
    <x v="3"/>
    <s v="standard"/>
    <s v="none"/>
    <n v="282"/>
    <s v="Excellent"/>
  </r>
  <r>
    <x v="0"/>
    <x v="0"/>
    <s v="standard"/>
    <s v="none"/>
    <n v="217"/>
    <s v="Good"/>
  </r>
  <r>
    <x v="1"/>
    <x v="0"/>
    <s v="standard"/>
    <s v="none"/>
    <n v="218"/>
    <s v="Good"/>
  </r>
  <r>
    <x v="1"/>
    <x v="3"/>
    <s v="standard"/>
    <s v="completed"/>
    <n v="197"/>
    <s v="Fair"/>
  </r>
  <r>
    <x v="0"/>
    <x v="0"/>
    <s v="standard"/>
    <s v="none"/>
    <n v="147"/>
    <s v="Fail"/>
  </r>
  <r>
    <x v="0"/>
    <x v="0"/>
    <s v="standard"/>
    <s v="none"/>
    <n v="139"/>
    <s v="Fail"/>
  </r>
  <r>
    <x v="0"/>
    <x v="0"/>
    <s v="free/reduced"/>
    <s v="completed"/>
    <n v="235"/>
    <s v="Good"/>
  </r>
  <r>
    <x v="0"/>
    <x v="2"/>
    <s v="free/reduced"/>
    <s v="completed"/>
    <n v="136"/>
    <s v="Fail"/>
  </r>
  <r>
    <x v="1"/>
    <x v="0"/>
    <s v="free/reduced"/>
    <s v="none"/>
    <n v="158"/>
    <s v="Fail"/>
  </r>
  <r>
    <x v="0"/>
    <x v="2"/>
    <s v="standard"/>
    <s v="none"/>
    <n v="202"/>
    <s v="Fair"/>
  </r>
  <r>
    <x v="1"/>
    <x v="2"/>
    <s v="free/reduced"/>
    <s v="completed"/>
    <n v="230"/>
    <s v="Good"/>
  </r>
  <r>
    <x v="1"/>
    <x v="3"/>
    <s v="standard"/>
    <s v="none"/>
    <n v="240"/>
    <s v="Very Good"/>
  </r>
  <r>
    <x v="1"/>
    <x v="2"/>
    <s v="free/reduced"/>
    <s v="none"/>
    <n v="130"/>
    <s v="Fail"/>
  </r>
  <r>
    <x v="0"/>
    <x v="2"/>
    <s v="standard"/>
    <s v="none"/>
    <n v="192"/>
    <s v="Fair"/>
  </r>
  <r>
    <x v="0"/>
    <x v="2"/>
    <s v="free/reduced"/>
    <s v="none"/>
    <n v="171"/>
    <s v="Fail"/>
  </r>
  <r>
    <x v="1"/>
    <x v="2"/>
    <s v="standard"/>
    <s v="none"/>
    <n v="197"/>
    <s v="Fair"/>
  </r>
  <r>
    <x v="1"/>
    <x v="1"/>
    <s v="standard"/>
    <s v="completed"/>
    <n v="219"/>
    <s v="Good"/>
  </r>
  <r>
    <x v="1"/>
    <x v="2"/>
    <s v="standard"/>
    <s v="none"/>
    <n v="227"/>
    <s v="Good"/>
  </r>
  <r>
    <x v="0"/>
    <x v="0"/>
    <s v="free/reduced"/>
    <s v="none"/>
    <n v="215"/>
    <s v="Good"/>
  </r>
  <r>
    <x v="1"/>
    <x v="1"/>
    <s v="standard"/>
    <s v="none"/>
    <n v="179"/>
    <s v="Fail"/>
  </r>
  <r>
    <x v="0"/>
    <x v="2"/>
    <s v="standard"/>
    <s v="completed"/>
    <n v="180"/>
    <s v="Fair"/>
  </r>
  <r>
    <x v="1"/>
    <x v="0"/>
    <s v="standard"/>
    <s v="none"/>
    <n v="190"/>
    <s v="Fair"/>
  </r>
  <r>
    <x v="0"/>
    <x v="4"/>
    <s v="free/reduced"/>
    <s v="none"/>
    <n v="134"/>
    <s v="Fail"/>
  </r>
  <r>
    <x v="1"/>
    <x v="1"/>
    <s v="free/reduced"/>
    <s v="none"/>
    <n v="180"/>
    <s v="Fair"/>
  </r>
  <r>
    <x v="1"/>
    <x v="0"/>
    <s v="standard"/>
    <s v="completed"/>
    <n v="287"/>
    <s v="Excellent"/>
  </r>
  <r>
    <x v="1"/>
    <x v="2"/>
    <s v="standard"/>
    <s v="none"/>
    <n v="175"/>
    <s v="Fail"/>
  </r>
  <r>
    <x v="1"/>
    <x v="0"/>
    <s v="free/reduced"/>
    <s v="completed"/>
    <n v="165"/>
    <s v="Fail"/>
  </r>
  <r>
    <x v="0"/>
    <x v="3"/>
    <s v="standard"/>
    <s v="none"/>
    <n v="226"/>
    <s v="Good"/>
  </r>
  <r>
    <x v="0"/>
    <x v="3"/>
    <s v="free/reduced"/>
    <s v="completed"/>
    <n v="167"/>
    <s v="Fail"/>
  </r>
  <r>
    <x v="1"/>
    <x v="0"/>
    <s v="standard"/>
    <s v="completed"/>
    <n v="179"/>
    <s v="Fail"/>
  </r>
  <r>
    <x v="1"/>
    <x v="2"/>
    <s v="standard"/>
    <s v="none"/>
    <n v="203"/>
    <s v="Fair"/>
  </r>
  <r>
    <x v="0"/>
    <x v="2"/>
    <s v="standard"/>
    <s v="none"/>
    <n v="172"/>
    <s v="Fail"/>
  </r>
  <r>
    <x v="0"/>
    <x v="2"/>
    <s v="standard"/>
    <s v="none"/>
    <n v="177"/>
    <s v="Fail"/>
  </r>
  <r>
    <x v="1"/>
    <x v="0"/>
    <s v="standard"/>
    <s v="none"/>
    <n v="239"/>
    <s v="Good"/>
  </r>
  <r>
    <x v="0"/>
    <x v="2"/>
    <s v="standard"/>
    <s v="completed"/>
    <n v="247"/>
    <s v="Very Good"/>
  </r>
  <r>
    <x v="0"/>
    <x v="1"/>
    <s v="standard"/>
    <s v="none"/>
    <n v="135"/>
    <s v="Fail"/>
  </r>
  <r>
    <x v="0"/>
    <x v="1"/>
    <s v="standard"/>
    <s v="completed"/>
    <n v="205"/>
    <s v="Fair"/>
  </r>
  <r>
    <x v="0"/>
    <x v="4"/>
    <s v="free/reduced"/>
    <s v="completed"/>
    <n v="204"/>
    <s v="Fair"/>
  </r>
  <r>
    <x v="1"/>
    <x v="4"/>
    <s v="free/reduced"/>
    <s v="completed"/>
    <n v="250"/>
    <s v="Very Good"/>
  </r>
  <r>
    <x v="1"/>
    <x v="2"/>
    <s v="standard"/>
    <s v="none"/>
    <n v="206"/>
    <s v="Fair"/>
  </r>
  <r>
    <x v="0"/>
    <x v="1"/>
    <s v="standard"/>
    <s v="completed"/>
    <n v="212"/>
    <s v="Good"/>
  </r>
  <r>
    <x v="0"/>
    <x v="4"/>
    <s v="standard"/>
    <s v="none"/>
    <n v="157"/>
    <s v="Fail"/>
  </r>
  <r>
    <x v="0"/>
    <x v="2"/>
    <s v="standard"/>
    <s v="none"/>
    <n v="215"/>
    <s v="Good"/>
  </r>
  <r>
    <x v="1"/>
    <x v="1"/>
    <s v="standard"/>
    <s v="none"/>
    <n v="186"/>
    <s v="Fair"/>
  </r>
  <r>
    <x v="0"/>
    <x v="0"/>
    <s v="standard"/>
    <s v="completed"/>
    <n v="198"/>
    <s v="Fair"/>
  </r>
  <r>
    <x v="0"/>
    <x v="4"/>
    <s v="standard"/>
    <s v="none"/>
    <n v="204"/>
    <s v="Fair"/>
  </r>
  <r>
    <x v="1"/>
    <x v="1"/>
    <s v="free/reduced"/>
    <s v="completed"/>
    <n v="224"/>
    <s v="Good"/>
  </r>
  <r>
    <x v="0"/>
    <x v="2"/>
    <s v="standard"/>
    <s v="completed"/>
    <n v="154"/>
    <s v="Fail"/>
  </r>
  <r>
    <x v="1"/>
    <x v="2"/>
    <s v="free/reduced"/>
    <s v="none"/>
    <n v="132"/>
    <s v="Fail"/>
  </r>
  <r>
    <x v="0"/>
    <x v="1"/>
    <s v="standard"/>
    <s v="completed"/>
    <n v="210"/>
    <s v="Good"/>
  </r>
  <r>
    <x v="1"/>
    <x v="0"/>
    <s v="standard"/>
    <s v="none"/>
    <n v="179"/>
    <s v="Fail"/>
  </r>
  <r>
    <x v="0"/>
    <x v="2"/>
    <s v="standard"/>
    <s v="completed"/>
    <n v="212"/>
    <s v="Good"/>
  </r>
  <r>
    <x v="0"/>
    <x v="2"/>
    <s v="standard"/>
    <s v="completed"/>
    <n v="203"/>
    <s v="Fair"/>
  </r>
  <r>
    <x v="1"/>
    <x v="2"/>
    <s v="free/reduced"/>
    <s v="none"/>
    <n v="193"/>
    <s v="Fair"/>
  </r>
  <r>
    <x v="0"/>
    <x v="1"/>
    <s v="free/reduced"/>
    <s v="none"/>
    <n v="158"/>
    <s v="Fail"/>
  </r>
  <r>
    <x v="1"/>
    <x v="2"/>
    <s v="free/reduced"/>
    <s v="completed"/>
    <n v="180"/>
    <s v="Fair"/>
  </r>
  <r>
    <x v="1"/>
    <x v="3"/>
    <s v="standard"/>
    <s v="none"/>
    <n v="226"/>
    <s v="Good"/>
  </r>
  <r>
    <x v="1"/>
    <x v="1"/>
    <s v="standard"/>
    <s v="none"/>
    <n v="261"/>
    <s v="Very Good"/>
  </r>
  <r>
    <x v="1"/>
    <x v="4"/>
    <s v="standard"/>
    <s v="none"/>
    <n v="201"/>
    <s v="Fair"/>
  </r>
  <r>
    <x v="1"/>
    <x v="3"/>
    <s v="standard"/>
    <s v="none"/>
    <n v="223"/>
    <s v="Good"/>
  </r>
  <r>
    <x v="0"/>
    <x v="1"/>
    <s v="free/reduced"/>
    <s v="none"/>
    <n v="69"/>
    <s v="Fail"/>
  </r>
  <r>
    <x v="1"/>
    <x v="0"/>
    <s v="standard"/>
    <s v="none"/>
    <n v="219"/>
    <s v="Good"/>
  </r>
  <r>
    <x v="1"/>
    <x v="2"/>
    <s v="standard"/>
    <s v="none"/>
    <n v="88"/>
    <s v="Fail"/>
  </r>
  <r>
    <x v="0"/>
    <x v="0"/>
    <s v="free/reduced"/>
    <s v="none"/>
    <n v="168"/>
    <s v="Fail"/>
  </r>
  <r>
    <x v="1"/>
    <x v="2"/>
    <s v="standard"/>
    <s v="none"/>
    <n v="200"/>
    <s v="Fair"/>
  </r>
  <r>
    <x v="1"/>
    <x v="2"/>
    <s v="free/reduced"/>
    <s v="none"/>
    <n v="150"/>
    <s v="Fail"/>
  </r>
  <r>
    <x v="0"/>
    <x v="2"/>
    <s v="free/reduced"/>
    <s v="completed"/>
    <n v="161"/>
    <s v="Fail"/>
  </r>
  <r>
    <x v="0"/>
    <x v="1"/>
    <s v="standard"/>
    <s v="none"/>
    <n v="204"/>
    <s v="Fair"/>
  </r>
  <r>
    <x v="1"/>
    <x v="2"/>
    <s v="standard"/>
    <s v="none"/>
    <n v="248"/>
    <s v="Very Good"/>
  </r>
  <r>
    <x v="0"/>
    <x v="4"/>
    <s v="standard"/>
    <s v="none"/>
    <n v="209"/>
    <s v="Fair"/>
  </r>
  <r>
    <x v="1"/>
    <x v="1"/>
    <s v="free/reduced"/>
    <s v="completed"/>
    <n v="228"/>
    <s v="Good"/>
  </r>
  <r>
    <x v="0"/>
    <x v="0"/>
    <s v="standard"/>
    <s v="none"/>
    <n v="144"/>
    <s v="Fail"/>
  </r>
  <r>
    <x v="1"/>
    <x v="3"/>
    <s v="standard"/>
    <s v="completed"/>
    <n v="233"/>
    <s v="Good"/>
  </r>
  <r>
    <x v="0"/>
    <x v="1"/>
    <s v="standard"/>
    <s v="none"/>
    <n v="195"/>
    <s v="Fair"/>
  </r>
  <r>
    <x v="1"/>
    <x v="3"/>
    <s v="free/reduced"/>
    <s v="none"/>
    <n v="194"/>
    <s v="Fair"/>
  </r>
  <r>
    <x v="1"/>
    <x v="1"/>
    <s v="standard"/>
    <s v="none"/>
    <n v="158"/>
    <s v="Fail"/>
  </r>
  <r>
    <x v="1"/>
    <x v="4"/>
    <s v="standard"/>
    <s v="completed"/>
    <n v="224"/>
    <s v="Good"/>
  </r>
  <r>
    <x v="1"/>
    <x v="2"/>
    <s v="standard"/>
    <s v="none"/>
    <n v="201"/>
    <s v="Fair"/>
  </r>
  <r>
    <x v="1"/>
    <x v="2"/>
    <s v="free/reduced"/>
    <s v="none"/>
    <n v="210"/>
    <s v="Good"/>
  </r>
  <r>
    <x v="1"/>
    <x v="0"/>
    <s v="standard"/>
    <s v="completed"/>
    <n v="224"/>
    <s v="Good"/>
  </r>
  <r>
    <x v="1"/>
    <x v="0"/>
    <s v="standard"/>
    <s v="none"/>
    <n v="213"/>
    <s v="Good"/>
  </r>
  <r>
    <x v="0"/>
    <x v="1"/>
    <s v="standard"/>
    <s v="none"/>
    <n v="188"/>
    <s v="Fair"/>
  </r>
  <r>
    <x v="0"/>
    <x v="1"/>
    <s v="standard"/>
    <s v="none"/>
    <n v="171"/>
    <s v="Fail"/>
  </r>
  <r>
    <x v="0"/>
    <x v="4"/>
    <s v="free/reduced"/>
    <s v="none"/>
    <n v="155"/>
    <s v="Fail"/>
  </r>
  <r>
    <x v="0"/>
    <x v="2"/>
    <s v="free/reduced"/>
    <s v="none"/>
    <n v="191"/>
    <s v="Fair"/>
  </r>
  <r>
    <x v="0"/>
    <x v="0"/>
    <s v="standard"/>
    <s v="none"/>
    <n v="116"/>
    <s v="Fail"/>
  </r>
  <r>
    <x v="0"/>
    <x v="0"/>
    <s v="standard"/>
    <s v="none"/>
    <n v="255"/>
    <s v="Very Good"/>
  </r>
  <r>
    <x v="1"/>
    <x v="2"/>
    <s v="standard"/>
    <s v="none"/>
    <n v="226"/>
    <s v="Good"/>
  </r>
  <r>
    <x v="0"/>
    <x v="2"/>
    <s v="standard"/>
    <s v="none"/>
    <n v="140"/>
    <s v="Fail"/>
  </r>
  <r>
    <x v="1"/>
    <x v="0"/>
    <s v="free/reduced"/>
    <s v="none"/>
    <n v="249"/>
    <s v="Very Good"/>
  </r>
  <r>
    <x v="0"/>
    <x v="2"/>
    <s v="free/reduced"/>
    <s v="none"/>
    <n v="176"/>
    <s v="Fail"/>
  </r>
  <r>
    <x v="1"/>
    <x v="2"/>
    <s v="standard"/>
    <s v="none"/>
    <n v="247"/>
    <s v="Very Good"/>
  </r>
  <r>
    <x v="0"/>
    <x v="0"/>
    <s v="standard"/>
    <s v="none"/>
    <n v="215"/>
    <s v="Good"/>
  </r>
  <r>
    <x v="1"/>
    <x v="2"/>
    <s v="free/reduced"/>
    <s v="none"/>
    <n v="189"/>
    <s v="Fair"/>
  </r>
  <r>
    <x v="1"/>
    <x v="1"/>
    <s v="standard"/>
    <s v="none"/>
    <n v="187"/>
    <s v="Fair"/>
  </r>
  <r>
    <x v="1"/>
    <x v="1"/>
    <s v="standard"/>
    <s v="none"/>
    <n v="218"/>
    <s v="Good"/>
  </r>
  <r>
    <x v="1"/>
    <x v="2"/>
    <s v="standard"/>
    <s v="completed"/>
    <n v="210"/>
    <s v="Good"/>
  </r>
  <r>
    <x v="0"/>
    <x v="1"/>
    <s v="standard"/>
    <s v="completed"/>
    <n v="198"/>
    <s v="Fair"/>
  </r>
  <r>
    <x v="0"/>
    <x v="1"/>
    <s v="standard"/>
    <s v="none"/>
    <n v="149"/>
    <s v="Fail"/>
  </r>
  <r>
    <x v="1"/>
    <x v="1"/>
    <s v="standard"/>
    <s v="none"/>
    <n v="208"/>
    <s v="Fair"/>
  </r>
  <r>
    <x v="1"/>
    <x v="1"/>
    <s v="free/reduced"/>
    <s v="completed"/>
    <n v="243"/>
    <s v="Very Good"/>
  </r>
  <r>
    <x v="1"/>
    <x v="1"/>
    <s v="standard"/>
    <s v="none"/>
    <n v="170"/>
    <s v="Fail"/>
  </r>
  <r>
    <x v="0"/>
    <x v="0"/>
    <s v="free/reduced"/>
    <s v="none"/>
    <n v="209"/>
    <s v="Fair"/>
  </r>
  <r>
    <x v="1"/>
    <x v="1"/>
    <s v="standard"/>
    <s v="none"/>
    <n v="145"/>
    <s v="Fail"/>
  </r>
  <r>
    <x v="0"/>
    <x v="0"/>
    <s v="standard"/>
    <s v="none"/>
    <n v="210"/>
    <s v="Good"/>
  </r>
  <r>
    <x v="1"/>
    <x v="3"/>
    <s v="free/reduced"/>
    <s v="none"/>
    <n v="126"/>
    <s v="Fail"/>
  </r>
  <r>
    <x v="0"/>
    <x v="2"/>
    <s v="standard"/>
    <s v="none"/>
    <n v="234"/>
    <s v="Good"/>
  </r>
  <r>
    <x v="0"/>
    <x v="4"/>
    <s v="free/reduced"/>
    <s v="none"/>
    <n v="141"/>
    <s v="Fail"/>
  </r>
  <r>
    <x v="1"/>
    <x v="2"/>
    <s v="standard"/>
    <s v="none"/>
    <n v="235"/>
    <s v="Good"/>
  </r>
  <r>
    <x v="1"/>
    <x v="1"/>
    <s v="free/reduced"/>
    <s v="none"/>
    <n v="200"/>
    <s v="Fair"/>
  </r>
  <r>
    <x v="1"/>
    <x v="1"/>
    <s v="free/reduced"/>
    <s v="none"/>
    <n v="240"/>
    <s v="Very Good"/>
  </r>
  <r>
    <x v="0"/>
    <x v="2"/>
    <s v="standard"/>
    <s v="none"/>
    <n v="187"/>
    <s v="Fair"/>
  </r>
  <r>
    <x v="1"/>
    <x v="1"/>
    <s v="standard"/>
    <s v="completed"/>
    <n v="248"/>
    <s v="Very Good"/>
  </r>
  <r>
    <x v="1"/>
    <x v="2"/>
    <s v="standard"/>
    <s v="completed"/>
    <n v="198"/>
    <s v="Fair"/>
  </r>
  <r>
    <x v="0"/>
    <x v="3"/>
    <s v="standard"/>
    <s v="none"/>
    <n v="194"/>
    <s v="Fair"/>
  </r>
  <r>
    <x v="1"/>
    <x v="4"/>
    <s v="standard"/>
    <s v="completed"/>
    <n v="236"/>
    <s v="Good"/>
  </r>
  <r>
    <x v="1"/>
    <x v="0"/>
    <s v="free/reduced"/>
    <s v="none"/>
    <n v="137"/>
    <s v="Fail"/>
  </r>
  <r>
    <x v="1"/>
    <x v="1"/>
    <s v="free/reduced"/>
    <s v="completed"/>
    <n v="103"/>
    <s v="Fail"/>
  </r>
  <r>
    <x v="0"/>
    <x v="0"/>
    <s v="standard"/>
    <s v="none"/>
    <n v="168"/>
    <s v="Fail"/>
  </r>
  <r>
    <x v="1"/>
    <x v="2"/>
    <s v="standard"/>
    <s v="none"/>
    <n v="199"/>
    <s v="Fair"/>
  </r>
  <r>
    <x v="1"/>
    <x v="4"/>
    <s v="standard"/>
    <s v="none"/>
    <n v="192"/>
    <s v="Fair"/>
  </r>
  <r>
    <x v="0"/>
    <x v="1"/>
    <s v="standard"/>
    <s v="completed"/>
    <n v="147"/>
    <s v="Fail"/>
  </r>
  <r>
    <x v="0"/>
    <x v="2"/>
    <s v="free/reduced"/>
    <s v="none"/>
    <n v="164"/>
    <s v="Fail"/>
  </r>
  <r>
    <x v="0"/>
    <x v="1"/>
    <s v="standard"/>
    <s v="none"/>
    <n v="164"/>
    <s v="Fail"/>
  </r>
  <r>
    <x v="1"/>
    <x v="1"/>
    <s v="free/reduced"/>
    <s v="none"/>
    <n v="208"/>
    <s v="Fair"/>
  </r>
  <r>
    <x v="0"/>
    <x v="2"/>
    <s v="free/reduced"/>
    <s v="none"/>
    <n v="185"/>
    <s v="Fair"/>
  </r>
  <r>
    <x v="0"/>
    <x v="0"/>
    <s v="free/reduced"/>
    <s v="none"/>
    <n v="143"/>
    <s v="Fail"/>
  </r>
  <r>
    <x v="0"/>
    <x v="1"/>
    <s v="free/reduced"/>
    <s v="none"/>
    <n v="92"/>
    <s v="Fail"/>
  </r>
  <r>
    <x v="1"/>
    <x v="4"/>
    <s v="free/reduced"/>
    <s v="completed"/>
    <n v="123"/>
    <s v="Fail"/>
  </r>
  <r>
    <x v="0"/>
    <x v="1"/>
    <s v="standard"/>
    <s v="none"/>
    <n v="156"/>
    <s v="Fail"/>
  </r>
  <r>
    <x v="1"/>
    <x v="2"/>
    <s v="standard"/>
    <s v="none"/>
    <n v="157"/>
    <s v="Fail"/>
  </r>
  <r>
    <x v="0"/>
    <x v="0"/>
    <s v="free/reduced"/>
    <s v="none"/>
    <n v="206"/>
    <s v="Fair"/>
  </r>
  <r>
    <x v="1"/>
    <x v="2"/>
    <s v="free/reduced"/>
    <s v="none"/>
    <n v="134"/>
    <s v="Fail"/>
  </r>
  <r>
    <x v="0"/>
    <x v="0"/>
    <s v="standard"/>
    <s v="none"/>
    <n v="204"/>
    <s v="Fair"/>
  </r>
  <r>
    <x v="0"/>
    <x v="0"/>
    <s v="free/reduced"/>
    <s v="none"/>
    <n v="213"/>
    <s v="Good"/>
  </r>
  <r>
    <x v="1"/>
    <x v="0"/>
    <s v="free/reduced"/>
    <s v="completed"/>
    <n v="197"/>
    <s v="Fair"/>
  </r>
  <r>
    <x v="1"/>
    <x v="3"/>
    <s v="free/reduced"/>
    <s v="none"/>
    <n v="172"/>
    <s v="Fail"/>
  </r>
  <r>
    <x v="0"/>
    <x v="2"/>
    <s v="standard"/>
    <s v="none"/>
    <n v="211"/>
    <s v="Good"/>
  </r>
  <r>
    <x v="1"/>
    <x v="1"/>
    <s v="standard"/>
    <s v="none"/>
    <n v="187"/>
    <s v="Fair"/>
  </r>
  <r>
    <x v="0"/>
    <x v="1"/>
    <s v="standard"/>
    <s v="none"/>
    <n v="244"/>
    <s v="Very Good"/>
  </r>
  <r>
    <x v="1"/>
    <x v="3"/>
    <s v="free/reduced"/>
    <s v="completed"/>
    <n v="205"/>
    <s v="Fair"/>
  </r>
  <r>
    <x v="0"/>
    <x v="3"/>
    <s v="standard"/>
    <s v="none"/>
    <n v="238"/>
    <s v="Good"/>
  </r>
  <r>
    <x v="0"/>
    <x v="2"/>
    <s v="standard"/>
    <s v="completed"/>
    <n v="164"/>
    <s v="Fail"/>
  </r>
  <r>
    <x v="1"/>
    <x v="0"/>
    <s v="standard"/>
    <s v="none"/>
    <n v="167"/>
    <s v="Fail"/>
  </r>
  <r>
    <x v="0"/>
    <x v="2"/>
    <s v="standard"/>
    <s v="none"/>
    <n v="227"/>
    <s v="Good"/>
  </r>
  <r>
    <x v="1"/>
    <x v="4"/>
    <s v="free/reduced"/>
    <s v="completed"/>
    <n v="163"/>
    <s v="Fail"/>
  </r>
  <r>
    <x v="0"/>
    <x v="0"/>
    <s v="standard"/>
    <s v="completed"/>
    <n v="144"/>
    <s v="Fail"/>
  </r>
  <r>
    <x v="1"/>
    <x v="1"/>
    <s v="free/reduced"/>
    <s v="none"/>
    <n v="55"/>
    <s v="Fail"/>
  </r>
  <r>
    <x v="0"/>
    <x v="4"/>
    <s v="standard"/>
    <s v="none"/>
    <n v="162"/>
    <s v="Fail"/>
  </r>
  <r>
    <x v="0"/>
    <x v="3"/>
    <s v="free/reduced"/>
    <s v="completed"/>
    <n v="242"/>
    <s v="Very Good"/>
  </r>
  <r>
    <x v="0"/>
    <x v="4"/>
    <s v="standard"/>
    <s v="none"/>
    <n v="188"/>
    <s v="Fair"/>
  </r>
  <r>
    <x v="0"/>
    <x v="2"/>
    <s v="free/reduced"/>
    <s v="none"/>
    <n v="172"/>
    <s v="Fail"/>
  </r>
  <r>
    <x v="1"/>
    <x v="2"/>
    <s v="free/reduced"/>
    <s v="completed"/>
    <n v="195"/>
    <s v="Fai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x v="0"/>
    <x v="0"/>
    <s v="none"/>
    <n v="278"/>
    <n v="6"/>
    <s v="A"/>
  </r>
  <r>
    <x v="0"/>
    <x v="1"/>
    <x v="0"/>
    <s v="none"/>
    <n v="161"/>
    <n v="54"/>
    <s v="F"/>
  </r>
  <r>
    <x v="1"/>
    <x v="2"/>
    <x v="1"/>
    <s v="completed"/>
    <n v="134"/>
    <n v="59"/>
    <s v="F"/>
  </r>
  <r>
    <x v="1"/>
    <x v="1"/>
    <x v="1"/>
    <s v="none"/>
    <n v="219"/>
    <n v="31"/>
    <s v="C"/>
  </r>
  <r>
    <x v="0"/>
    <x v="3"/>
    <x v="0"/>
    <s v="none"/>
    <n v="207"/>
    <n v="37"/>
    <s v="D"/>
  </r>
  <r>
    <x v="0"/>
    <x v="4"/>
    <x v="1"/>
    <s v="none"/>
    <n v="193"/>
    <n v="42"/>
    <s v="D"/>
  </r>
  <r>
    <x v="0"/>
    <x v="4"/>
    <x v="0"/>
    <s v="none"/>
    <n v="198"/>
    <n v="40"/>
    <s v="D"/>
  </r>
  <r>
    <x v="0"/>
    <x v="3"/>
    <x v="0"/>
    <s v="none"/>
    <n v="287"/>
    <n v="3"/>
    <s v="A"/>
  </r>
  <r>
    <x v="1"/>
    <x v="3"/>
    <x v="0"/>
    <s v="none"/>
    <n v="238"/>
    <n v="21"/>
    <s v="C"/>
  </r>
  <r>
    <x v="1"/>
    <x v="3"/>
    <x v="0"/>
    <s v="none"/>
    <n v="255"/>
    <n v="16"/>
    <s v="B"/>
  </r>
  <r>
    <x v="1"/>
    <x v="0"/>
    <x v="1"/>
    <s v="none"/>
    <n v="154"/>
    <n v="56"/>
    <s v="F"/>
  </r>
  <r>
    <x v="0"/>
    <x v="4"/>
    <x v="0"/>
    <s v="none"/>
    <n v="264"/>
    <n v="9"/>
    <s v="B"/>
  </r>
  <r>
    <x v="0"/>
    <x v="0"/>
    <x v="1"/>
    <s v="completed"/>
    <n v="212"/>
    <n v="34"/>
    <s v="C"/>
  </r>
  <r>
    <x v="0"/>
    <x v="2"/>
    <x v="0"/>
    <s v="completed"/>
    <n v="259"/>
    <n v="13"/>
    <s v="B"/>
  </r>
  <r>
    <x v="0"/>
    <x v="0"/>
    <x v="1"/>
    <s v="completed"/>
    <n v="184"/>
    <n v="47"/>
    <s v="D"/>
  </r>
  <r>
    <x v="1"/>
    <x v="2"/>
    <x v="1"/>
    <s v="completed"/>
    <n v="205"/>
    <n v="38"/>
    <s v="D"/>
  </r>
  <r>
    <x v="0"/>
    <x v="2"/>
    <x v="0"/>
    <s v="completed"/>
    <n v="238"/>
    <n v="21"/>
    <s v="C"/>
  </r>
  <r>
    <x v="0"/>
    <x v="4"/>
    <x v="1"/>
    <s v="none"/>
    <n v="155"/>
    <n v="55"/>
    <s v="F"/>
  </r>
  <r>
    <x v="1"/>
    <x v="3"/>
    <x v="0"/>
    <s v="none"/>
    <n v="232"/>
    <n v="25"/>
    <s v="C"/>
  </r>
  <r>
    <x v="0"/>
    <x v="2"/>
    <x v="1"/>
    <s v="completed"/>
    <n v="227"/>
    <n v="28"/>
    <s v="C"/>
  </r>
  <r>
    <x v="0"/>
    <x v="3"/>
    <x v="0"/>
    <s v="completed"/>
    <n v="250"/>
    <n v="19"/>
    <s v="B"/>
  </r>
  <r>
    <x v="0"/>
    <x v="3"/>
    <x v="1"/>
    <s v="completed"/>
    <n v="280"/>
    <n v="5"/>
    <s v="A"/>
  </r>
  <r>
    <x v="1"/>
    <x v="2"/>
    <x v="1"/>
    <s v="none"/>
    <n v="231"/>
    <n v="26"/>
    <s v="C"/>
  </r>
  <r>
    <x v="1"/>
    <x v="3"/>
    <x v="0"/>
    <s v="none"/>
    <n v="218"/>
    <n v="32"/>
    <s v="C"/>
  </r>
  <r>
    <x v="0"/>
    <x v="3"/>
    <x v="0"/>
    <s v="completed"/>
    <n v="215"/>
    <n v="33"/>
    <s v="C"/>
  </r>
  <r>
    <x v="0"/>
    <x v="3"/>
    <x v="1"/>
    <s v="completed"/>
    <n v="172"/>
    <n v="52"/>
    <s v="F"/>
  </r>
  <r>
    <x v="0"/>
    <x v="3"/>
    <x v="0"/>
    <s v="none"/>
    <n v="189"/>
    <n v="45"/>
    <s v="D"/>
  </r>
  <r>
    <x v="0"/>
    <x v="3"/>
    <x v="0"/>
    <s v="none"/>
    <n v="235"/>
    <n v="23"/>
    <s v="C"/>
  </r>
  <r>
    <x v="0"/>
    <x v="3"/>
    <x v="1"/>
    <s v="none"/>
    <n v="153"/>
    <n v="57"/>
    <s v="F"/>
  </r>
  <r>
    <x v="1"/>
    <x v="2"/>
    <x v="0"/>
    <s v="none"/>
    <n v="234"/>
    <n v="24"/>
    <s v="C"/>
  </r>
  <r>
    <x v="0"/>
    <x v="0"/>
    <x v="1"/>
    <s v="completed"/>
    <n v="268"/>
    <n v="7"/>
    <s v="B"/>
  </r>
  <r>
    <x v="1"/>
    <x v="2"/>
    <x v="1"/>
    <s v="none"/>
    <n v="163"/>
    <n v="53"/>
    <s v="F"/>
  </r>
  <r>
    <x v="0"/>
    <x v="3"/>
    <x v="0"/>
    <s v="none"/>
    <n v="193"/>
    <n v="42"/>
    <s v="D"/>
  </r>
  <r>
    <x v="1"/>
    <x v="2"/>
    <x v="0"/>
    <s v="none"/>
    <n v="220"/>
    <n v="30"/>
    <s v="C"/>
  </r>
  <r>
    <x v="1"/>
    <x v="2"/>
    <x v="1"/>
    <s v="none"/>
    <n v="194"/>
    <n v="41"/>
    <s v="D"/>
  </r>
  <r>
    <x v="0"/>
    <x v="3"/>
    <x v="1"/>
    <s v="completed"/>
    <n v="210"/>
    <n v="35"/>
    <s v="C"/>
  </r>
  <r>
    <x v="0"/>
    <x v="3"/>
    <x v="0"/>
    <s v="none"/>
    <n v="182"/>
    <n v="49"/>
    <s v="D"/>
  </r>
  <r>
    <x v="0"/>
    <x v="3"/>
    <x v="0"/>
    <s v="none"/>
    <n v="177"/>
    <n v="51"/>
    <s v="F"/>
  </r>
  <r>
    <x v="1"/>
    <x v="3"/>
    <x v="1"/>
    <s v="completed"/>
    <n v="263"/>
    <n v="10"/>
    <s v="B"/>
  </r>
  <r>
    <x v="0"/>
    <x v="2"/>
    <x v="1"/>
    <s v="none"/>
    <n v="152"/>
    <n v="58"/>
    <s v="F"/>
  </r>
  <r>
    <x v="1"/>
    <x v="3"/>
    <x v="0"/>
    <s v="none"/>
    <n v="260"/>
    <n v="12"/>
    <s v="B"/>
  </r>
  <r>
    <x v="0"/>
    <x v="4"/>
    <x v="0"/>
    <s v="completed"/>
    <n v="293"/>
    <n v="1"/>
    <s v="A"/>
  </r>
  <r>
    <x v="1"/>
    <x v="3"/>
    <x v="0"/>
    <s v="none"/>
    <n v="246"/>
    <n v="20"/>
    <s v="B"/>
  </r>
  <r>
    <x v="1"/>
    <x v="2"/>
    <x v="0"/>
    <s v="none"/>
    <n v="183"/>
    <n v="48"/>
    <s v="D"/>
  </r>
  <r>
    <x v="1"/>
    <x v="2"/>
    <x v="1"/>
    <s v="completed"/>
    <n v="231"/>
    <n v="26"/>
    <s v="C"/>
  </r>
  <r>
    <x v="0"/>
    <x v="0"/>
    <x v="0"/>
    <s v="none"/>
    <n v="251"/>
    <n v="18"/>
    <s v="B"/>
  </r>
  <r>
    <x v="0"/>
    <x v="2"/>
    <x v="1"/>
    <s v="none"/>
    <n v="178"/>
    <n v="50"/>
    <s v="F"/>
  </r>
  <r>
    <x v="0"/>
    <x v="2"/>
    <x v="0"/>
    <s v="completed"/>
    <n v="185"/>
    <n v="46"/>
    <s v="D"/>
  </r>
  <r>
    <x v="1"/>
    <x v="4"/>
    <x v="0"/>
    <s v="none"/>
    <n v="259"/>
    <n v="13"/>
    <s v="B"/>
  </r>
  <r>
    <x v="1"/>
    <x v="2"/>
    <x v="0"/>
    <s v="completed"/>
    <n v="261"/>
    <n v="11"/>
    <s v="B"/>
  </r>
  <r>
    <x v="1"/>
    <x v="2"/>
    <x v="0"/>
    <s v="none"/>
    <n v="205"/>
    <n v="38"/>
    <s v="D"/>
  </r>
  <r>
    <x v="0"/>
    <x v="4"/>
    <x v="1"/>
    <s v="none"/>
    <n v="254"/>
    <n v="17"/>
    <s v="B"/>
  </r>
  <r>
    <x v="0"/>
    <x v="1"/>
    <x v="1"/>
    <s v="none"/>
    <n v="190"/>
    <n v="44"/>
    <s v="D"/>
  </r>
  <r>
    <x v="1"/>
    <x v="3"/>
    <x v="0"/>
    <s v="none"/>
    <n v="258"/>
    <n v="15"/>
    <s v="B"/>
  </r>
  <r>
    <x v="0"/>
    <x v="2"/>
    <x v="0"/>
    <s v="none"/>
    <n v="225"/>
    <n v="29"/>
    <s v="C"/>
  </r>
  <r>
    <x v="1"/>
    <x v="2"/>
    <x v="1"/>
    <s v="completed"/>
    <n v="210"/>
    <n v="35"/>
    <s v="C"/>
  </r>
  <r>
    <x v="0"/>
    <x v="3"/>
    <x v="0"/>
    <s v="none"/>
    <n v="265"/>
    <n v="8"/>
    <s v="B"/>
  </r>
  <r>
    <x v="0"/>
    <x v="3"/>
    <x v="0"/>
    <s v="none"/>
    <n v="292"/>
    <n v="2"/>
    <s v="A"/>
  </r>
  <r>
    <x v="0"/>
    <x v="4"/>
    <x v="0"/>
    <s v="completed"/>
    <n v="282"/>
    <n v="4"/>
    <s v="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2">
  <r>
    <x v="0"/>
    <x v="0"/>
    <x v="0"/>
    <s v="none"/>
    <n v="148"/>
    <n v="206"/>
    <x v="0"/>
  </r>
  <r>
    <x v="1"/>
    <x v="1"/>
    <x v="1"/>
    <s v="none"/>
    <n v="232"/>
    <n v="66"/>
    <x v="1"/>
  </r>
  <r>
    <x v="0"/>
    <x v="2"/>
    <x v="1"/>
    <s v="none"/>
    <n v="164"/>
    <n v="185"/>
    <x v="0"/>
  </r>
  <r>
    <x v="0"/>
    <x v="3"/>
    <x v="1"/>
    <s v="none"/>
    <n v="135"/>
    <n v="216"/>
    <x v="0"/>
  </r>
  <r>
    <x v="1"/>
    <x v="2"/>
    <x v="0"/>
    <s v="none"/>
    <n v="173"/>
    <n v="170"/>
    <x v="0"/>
  </r>
  <r>
    <x v="0"/>
    <x v="4"/>
    <x v="1"/>
    <s v="completed"/>
    <n v="241"/>
    <n v="49"/>
    <x v="2"/>
  </r>
  <r>
    <x v="1"/>
    <x v="3"/>
    <x v="1"/>
    <s v="none"/>
    <n v="238"/>
    <n v="54"/>
    <x v="1"/>
  </r>
  <r>
    <x v="1"/>
    <x v="3"/>
    <x v="0"/>
    <s v="completed"/>
    <n v="253"/>
    <n v="35"/>
    <x v="2"/>
  </r>
  <r>
    <x v="0"/>
    <x v="1"/>
    <x v="0"/>
    <s v="none"/>
    <n v="170"/>
    <n v="175"/>
    <x v="0"/>
  </r>
  <r>
    <x v="0"/>
    <x v="2"/>
    <x v="0"/>
    <s v="none"/>
    <n v="170"/>
    <n v="175"/>
    <x v="0"/>
  </r>
  <r>
    <x v="1"/>
    <x v="2"/>
    <x v="1"/>
    <s v="none"/>
    <n v="199"/>
    <n v="133"/>
    <x v="3"/>
  </r>
  <r>
    <x v="1"/>
    <x v="1"/>
    <x v="1"/>
    <s v="none"/>
    <n v="176"/>
    <n v="166"/>
    <x v="0"/>
  </r>
  <r>
    <x v="1"/>
    <x v="4"/>
    <x v="0"/>
    <s v="none"/>
    <n v="160"/>
    <n v="191"/>
    <x v="0"/>
  </r>
  <r>
    <x v="0"/>
    <x v="1"/>
    <x v="1"/>
    <s v="none"/>
    <n v="176"/>
    <n v="166"/>
    <x v="0"/>
  </r>
  <r>
    <x v="1"/>
    <x v="0"/>
    <x v="1"/>
    <s v="completed"/>
    <n v="182"/>
    <n v="162"/>
    <x v="3"/>
  </r>
  <r>
    <x v="1"/>
    <x v="3"/>
    <x v="0"/>
    <s v="completed"/>
    <n v="207"/>
    <n v="115"/>
    <x v="3"/>
  </r>
  <r>
    <x v="0"/>
    <x v="4"/>
    <x v="0"/>
    <s v="completed"/>
    <n v="214"/>
    <n v="101"/>
    <x v="1"/>
  </r>
  <r>
    <x v="1"/>
    <x v="4"/>
    <x v="1"/>
    <s v="completed"/>
    <n v="253"/>
    <n v="35"/>
    <x v="2"/>
  </r>
  <r>
    <x v="0"/>
    <x v="3"/>
    <x v="1"/>
    <s v="none"/>
    <n v="156"/>
    <n v="196"/>
    <x v="0"/>
  </r>
  <r>
    <x v="0"/>
    <x v="0"/>
    <x v="0"/>
    <s v="none"/>
    <n v="178"/>
    <n v="164"/>
    <x v="0"/>
  </r>
  <r>
    <x v="1"/>
    <x v="2"/>
    <x v="1"/>
    <s v="none"/>
    <n v="220"/>
    <n v="90"/>
    <x v="1"/>
  </r>
  <r>
    <x v="0"/>
    <x v="1"/>
    <x v="0"/>
    <s v="none"/>
    <n v="175"/>
    <n v="169"/>
    <x v="0"/>
  </r>
  <r>
    <x v="1"/>
    <x v="2"/>
    <x v="1"/>
    <s v="none"/>
    <n v="160"/>
    <n v="191"/>
    <x v="0"/>
  </r>
  <r>
    <x v="1"/>
    <x v="0"/>
    <x v="0"/>
    <s v="none"/>
    <n v="140"/>
    <n v="211"/>
    <x v="0"/>
  </r>
  <r>
    <x v="0"/>
    <x v="1"/>
    <x v="0"/>
    <s v="none"/>
    <n v="123"/>
    <n v="220"/>
    <x v="0"/>
  </r>
  <r>
    <x v="1"/>
    <x v="1"/>
    <x v="1"/>
    <s v="none"/>
    <n v="146"/>
    <n v="208"/>
    <x v="0"/>
  </r>
  <r>
    <x v="0"/>
    <x v="4"/>
    <x v="1"/>
    <s v="none"/>
    <n v="199"/>
    <n v="133"/>
    <x v="3"/>
  </r>
  <r>
    <x v="1"/>
    <x v="3"/>
    <x v="1"/>
    <s v="none"/>
    <n v="216"/>
    <n v="96"/>
    <x v="1"/>
  </r>
  <r>
    <x v="0"/>
    <x v="2"/>
    <x v="0"/>
    <s v="completed"/>
    <n v="138"/>
    <n v="212"/>
    <x v="0"/>
  </r>
  <r>
    <x v="0"/>
    <x v="2"/>
    <x v="0"/>
    <s v="completed"/>
    <n v="241"/>
    <n v="49"/>
    <x v="2"/>
  </r>
  <r>
    <x v="1"/>
    <x v="3"/>
    <x v="1"/>
    <s v="none"/>
    <n v="265"/>
    <n v="22"/>
    <x v="2"/>
  </r>
  <r>
    <x v="0"/>
    <x v="4"/>
    <x v="1"/>
    <s v="completed"/>
    <n v="193"/>
    <n v="145"/>
    <x v="3"/>
  </r>
  <r>
    <x v="1"/>
    <x v="1"/>
    <x v="0"/>
    <s v="none"/>
    <n v="198"/>
    <n v="135"/>
    <x v="3"/>
  </r>
  <r>
    <x v="1"/>
    <x v="3"/>
    <x v="0"/>
    <s v="completed"/>
    <n v="264"/>
    <n v="23"/>
    <x v="2"/>
  </r>
  <r>
    <x v="0"/>
    <x v="0"/>
    <x v="1"/>
    <s v="none"/>
    <n v="154"/>
    <n v="202"/>
    <x v="0"/>
  </r>
  <r>
    <x v="0"/>
    <x v="1"/>
    <x v="1"/>
    <s v="completed"/>
    <n v="272"/>
    <n v="14"/>
    <x v="4"/>
  </r>
  <r>
    <x v="1"/>
    <x v="2"/>
    <x v="1"/>
    <s v="none"/>
    <n v="192"/>
    <n v="148"/>
    <x v="3"/>
  </r>
  <r>
    <x v="0"/>
    <x v="2"/>
    <x v="0"/>
    <s v="none"/>
    <n v="207"/>
    <n v="115"/>
    <x v="3"/>
  </r>
  <r>
    <x v="0"/>
    <x v="4"/>
    <x v="0"/>
    <s v="completed"/>
    <n v="293"/>
    <n v="2"/>
    <x v="4"/>
  </r>
  <r>
    <x v="1"/>
    <x v="1"/>
    <x v="1"/>
    <s v="completed"/>
    <n v="195"/>
    <n v="140"/>
    <x v="3"/>
  </r>
  <r>
    <x v="1"/>
    <x v="1"/>
    <x v="1"/>
    <s v="completed"/>
    <n v="234"/>
    <n v="60"/>
    <x v="1"/>
  </r>
  <r>
    <x v="0"/>
    <x v="3"/>
    <x v="0"/>
    <s v="none"/>
    <n v="192"/>
    <n v="148"/>
    <x v="3"/>
  </r>
  <r>
    <x v="0"/>
    <x v="1"/>
    <x v="0"/>
    <s v="completed"/>
    <n v="234"/>
    <n v="60"/>
    <x v="1"/>
  </r>
  <r>
    <x v="1"/>
    <x v="2"/>
    <x v="1"/>
    <s v="none"/>
    <n v="200"/>
    <n v="131"/>
    <x v="3"/>
  </r>
  <r>
    <x v="1"/>
    <x v="2"/>
    <x v="1"/>
    <s v="completed"/>
    <n v="225"/>
    <n v="82"/>
    <x v="1"/>
  </r>
  <r>
    <x v="1"/>
    <x v="3"/>
    <x v="1"/>
    <s v="none"/>
    <n v="204"/>
    <n v="126"/>
    <x v="3"/>
  </r>
  <r>
    <x v="0"/>
    <x v="2"/>
    <x v="0"/>
    <s v="completed"/>
    <n v="197"/>
    <n v="138"/>
    <x v="3"/>
  </r>
  <r>
    <x v="1"/>
    <x v="4"/>
    <x v="1"/>
    <s v="none"/>
    <n v="200"/>
    <n v="131"/>
    <x v="3"/>
  </r>
  <r>
    <x v="0"/>
    <x v="3"/>
    <x v="1"/>
    <s v="none"/>
    <n v="168"/>
    <n v="178"/>
    <x v="0"/>
  </r>
  <r>
    <x v="1"/>
    <x v="2"/>
    <x v="1"/>
    <s v="completed"/>
    <n v="237"/>
    <n v="56"/>
    <x v="1"/>
  </r>
  <r>
    <x v="0"/>
    <x v="2"/>
    <x v="1"/>
    <s v="none"/>
    <n v="215"/>
    <n v="100"/>
    <x v="1"/>
  </r>
  <r>
    <x v="1"/>
    <x v="1"/>
    <x v="1"/>
    <s v="none"/>
    <n v="194"/>
    <n v="141"/>
    <x v="3"/>
  </r>
  <r>
    <x v="0"/>
    <x v="2"/>
    <x v="0"/>
    <s v="completed"/>
    <n v="167"/>
    <n v="181"/>
    <x v="0"/>
  </r>
  <r>
    <x v="1"/>
    <x v="4"/>
    <x v="0"/>
    <s v="completed"/>
    <n v="257"/>
    <n v="31"/>
    <x v="2"/>
  </r>
  <r>
    <x v="0"/>
    <x v="1"/>
    <x v="1"/>
    <s v="none"/>
    <n v="245"/>
    <n v="43"/>
    <x v="2"/>
  </r>
  <r>
    <x v="1"/>
    <x v="1"/>
    <x v="1"/>
    <s v="completed"/>
    <n v="191"/>
    <n v="150"/>
    <x v="3"/>
  </r>
  <r>
    <x v="0"/>
    <x v="2"/>
    <x v="1"/>
    <s v="none"/>
    <n v="131"/>
    <n v="218"/>
    <x v="0"/>
  </r>
  <r>
    <x v="0"/>
    <x v="3"/>
    <x v="1"/>
    <s v="none"/>
    <n v="232"/>
    <n v="66"/>
    <x v="1"/>
  </r>
  <r>
    <x v="0"/>
    <x v="2"/>
    <x v="1"/>
    <s v="none"/>
    <n v="244"/>
    <n v="45"/>
    <x v="2"/>
  </r>
  <r>
    <x v="0"/>
    <x v="2"/>
    <x v="1"/>
    <s v="none"/>
    <n v="232"/>
    <n v="66"/>
    <x v="1"/>
  </r>
  <r>
    <x v="0"/>
    <x v="4"/>
    <x v="1"/>
    <s v="none"/>
    <n v="239"/>
    <n v="52"/>
    <x v="1"/>
  </r>
  <r>
    <x v="1"/>
    <x v="2"/>
    <x v="0"/>
    <s v="none"/>
    <n v="205"/>
    <n v="124"/>
    <x v="3"/>
  </r>
  <r>
    <x v="0"/>
    <x v="2"/>
    <x v="1"/>
    <s v="completed"/>
    <n v="232"/>
    <n v="66"/>
    <x v="1"/>
  </r>
  <r>
    <x v="1"/>
    <x v="3"/>
    <x v="1"/>
    <s v="completed"/>
    <n v="275"/>
    <n v="10"/>
    <x v="4"/>
  </r>
  <r>
    <x v="1"/>
    <x v="3"/>
    <x v="0"/>
    <s v="none"/>
    <n v="158"/>
    <n v="195"/>
    <x v="0"/>
  </r>
  <r>
    <x v="0"/>
    <x v="1"/>
    <x v="1"/>
    <s v="completed"/>
    <n v="245"/>
    <n v="43"/>
    <x v="2"/>
  </r>
  <r>
    <x v="0"/>
    <x v="4"/>
    <x v="1"/>
    <s v="completed"/>
    <n v="267"/>
    <n v="20"/>
    <x v="2"/>
  </r>
  <r>
    <x v="0"/>
    <x v="2"/>
    <x v="1"/>
    <s v="none"/>
    <n v="214"/>
    <n v="101"/>
    <x v="1"/>
  </r>
  <r>
    <x v="0"/>
    <x v="1"/>
    <x v="0"/>
    <s v="none"/>
    <n v="189"/>
    <n v="154"/>
    <x v="3"/>
  </r>
  <r>
    <x v="0"/>
    <x v="4"/>
    <x v="1"/>
    <s v="completed"/>
    <n v="213"/>
    <n v="109"/>
    <x v="1"/>
  </r>
  <r>
    <x v="0"/>
    <x v="3"/>
    <x v="0"/>
    <s v="none"/>
    <n v="252"/>
    <n v="37"/>
    <x v="2"/>
  </r>
  <r>
    <x v="1"/>
    <x v="2"/>
    <x v="1"/>
    <s v="completed"/>
    <n v="232"/>
    <n v="66"/>
    <x v="1"/>
  </r>
  <r>
    <x v="0"/>
    <x v="1"/>
    <x v="1"/>
    <s v="none"/>
    <n v="220"/>
    <n v="90"/>
    <x v="1"/>
  </r>
  <r>
    <x v="1"/>
    <x v="2"/>
    <x v="1"/>
    <s v="completed"/>
    <n v="232"/>
    <n v="66"/>
    <x v="1"/>
  </r>
  <r>
    <x v="1"/>
    <x v="1"/>
    <x v="0"/>
    <s v="none"/>
    <n v="191"/>
    <n v="150"/>
    <x v="3"/>
  </r>
  <r>
    <x v="1"/>
    <x v="1"/>
    <x v="1"/>
    <s v="none"/>
    <n v="229"/>
    <n v="75"/>
    <x v="1"/>
  </r>
  <r>
    <x v="1"/>
    <x v="2"/>
    <x v="0"/>
    <s v="completed"/>
    <n v="204"/>
    <n v="126"/>
    <x v="3"/>
  </r>
  <r>
    <x v="0"/>
    <x v="2"/>
    <x v="1"/>
    <s v="none"/>
    <n v="233"/>
    <n v="64"/>
    <x v="1"/>
  </r>
  <r>
    <x v="1"/>
    <x v="3"/>
    <x v="0"/>
    <s v="none"/>
    <n v="184"/>
    <n v="159"/>
    <x v="3"/>
  </r>
  <r>
    <x v="0"/>
    <x v="2"/>
    <x v="1"/>
    <s v="completed"/>
    <n v="234"/>
    <n v="60"/>
    <x v="1"/>
  </r>
  <r>
    <x v="0"/>
    <x v="2"/>
    <x v="1"/>
    <s v="none"/>
    <n v="119"/>
    <n v="221"/>
    <x v="0"/>
  </r>
  <r>
    <x v="0"/>
    <x v="4"/>
    <x v="1"/>
    <s v="completed"/>
    <n v="171"/>
    <n v="174"/>
    <x v="0"/>
  </r>
  <r>
    <x v="0"/>
    <x v="1"/>
    <x v="1"/>
    <s v="none"/>
    <n v="249"/>
    <n v="40"/>
    <x v="2"/>
  </r>
  <r>
    <x v="0"/>
    <x v="2"/>
    <x v="1"/>
    <s v="none"/>
    <n v="143"/>
    <n v="210"/>
    <x v="0"/>
  </r>
  <r>
    <x v="0"/>
    <x v="3"/>
    <x v="1"/>
    <s v="completed"/>
    <n v="206"/>
    <n v="119"/>
    <x v="3"/>
  </r>
  <r>
    <x v="0"/>
    <x v="4"/>
    <x v="1"/>
    <s v="none"/>
    <n v="237"/>
    <n v="56"/>
    <x v="1"/>
  </r>
  <r>
    <x v="1"/>
    <x v="2"/>
    <x v="1"/>
    <s v="none"/>
    <n v="161"/>
    <n v="188"/>
    <x v="0"/>
  </r>
  <r>
    <x v="0"/>
    <x v="0"/>
    <x v="1"/>
    <s v="none"/>
    <n v="185"/>
    <n v="157"/>
    <x v="3"/>
  </r>
  <r>
    <x v="0"/>
    <x v="4"/>
    <x v="0"/>
    <s v="none"/>
    <n v="130"/>
    <n v="219"/>
    <x v="0"/>
  </r>
  <r>
    <x v="1"/>
    <x v="1"/>
    <x v="1"/>
    <s v="none"/>
    <n v="249"/>
    <n v="40"/>
    <x v="2"/>
  </r>
  <r>
    <x v="0"/>
    <x v="2"/>
    <x v="1"/>
    <s v="completed"/>
    <n v="282"/>
    <n v="5"/>
    <x v="4"/>
  </r>
  <r>
    <x v="1"/>
    <x v="2"/>
    <x v="0"/>
    <s v="none"/>
    <n v="202"/>
    <n v="129"/>
    <x v="3"/>
  </r>
  <r>
    <x v="0"/>
    <x v="2"/>
    <x v="1"/>
    <s v="completed"/>
    <n v="167"/>
    <n v="181"/>
    <x v="0"/>
  </r>
  <r>
    <x v="1"/>
    <x v="2"/>
    <x v="1"/>
    <s v="none"/>
    <n v="269"/>
    <n v="17"/>
    <x v="2"/>
  </r>
  <r>
    <x v="0"/>
    <x v="1"/>
    <x v="1"/>
    <s v="completed"/>
    <n v="193"/>
    <n v="145"/>
    <x v="3"/>
  </r>
  <r>
    <x v="1"/>
    <x v="1"/>
    <x v="1"/>
    <s v="none"/>
    <n v="239"/>
    <n v="52"/>
    <x v="1"/>
  </r>
  <r>
    <x v="0"/>
    <x v="3"/>
    <x v="1"/>
    <s v="completed"/>
    <n v="256"/>
    <n v="33"/>
    <x v="2"/>
  </r>
  <r>
    <x v="0"/>
    <x v="3"/>
    <x v="1"/>
    <s v="none"/>
    <n v="197"/>
    <n v="138"/>
    <x v="3"/>
  </r>
  <r>
    <x v="0"/>
    <x v="2"/>
    <x v="1"/>
    <s v="none"/>
    <n v="214"/>
    <n v="101"/>
    <x v="1"/>
  </r>
  <r>
    <x v="1"/>
    <x v="2"/>
    <x v="0"/>
    <s v="completed"/>
    <n v="268"/>
    <n v="18"/>
    <x v="2"/>
  </r>
  <r>
    <x v="0"/>
    <x v="2"/>
    <x v="0"/>
    <s v="none"/>
    <n v="189"/>
    <n v="154"/>
    <x v="3"/>
  </r>
  <r>
    <x v="0"/>
    <x v="3"/>
    <x v="1"/>
    <s v="none"/>
    <n v="207"/>
    <n v="115"/>
    <x v="3"/>
  </r>
  <r>
    <x v="0"/>
    <x v="3"/>
    <x v="0"/>
    <s v="none"/>
    <n v="214"/>
    <n v="101"/>
    <x v="1"/>
  </r>
  <r>
    <x v="1"/>
    <x v="1"/>
    <x v="1"/>
    <s v="none"/>
    <n v="232"/>
    <n v="66"/>
    <x v="1"/>
  </r>
  <r>
    <x v="0"/>
    <x v="1"/>
    <x v="1"/>
    <s v="none"/>
    <n v="226"/>
    <n v="80"/>
    <x v="1"/>
  </r>
  <r>
    <x v="1"/>
    <x v="2"/>
    <x v="0"/>
    <s v="none"/>
    <n v="216"/>
    <n v="96"/>
    <x v="1"/>
  </r>
  <r>
    <x v="1"/>
    <x v="2"/>
    <x v="0"/>
    <s v="none"/>
    <n v="176"/>
    <n v="166"/>
    <x v="0"/>
  </r>
  <r>
    <x v="0"/>
    <x v="3"/>
    <x v="0"/>
    <s v="none"/>
    <n v="155"/>
    <n v="198"/>
    <x v="0"/>
  </r>
  <r>
    <x v="1"/>
    <x v="3"/>
    <x v="0"/>
    <s v="none"/>
    <n v="95"/>
    <n v="222"/>
    <x v="0"/>
  </r>
  <r>
    <x v="1"/>
    <x v="2"/>
    <x v="1"/>
    <s v="completed"/>
    <n v="258"/>
    <n v="30"/>
    <x v="2"/>
  </r>
  <r>
    <x v="1"/>
    <x v="2"/>
    <x v="1"/>
    <s v="completed"/>
    <n v="238"/>
    <n v="54"/>
    <x v="1"/>
  </r>
  <r>
    <x v="1"/>
    <x v="1"/>
    <x v="1"/>
    <s v="completed"/>
    <n v="271"/>
    <n v="15"/>
    <x v="4"/>
  </r>
  <r>
    <x v="0"/>
    <x v="3"/>
    <x v="1"/>
    <s v="none"/>
    <n v="220"/>
    <n v="90"/>
    <x v="1"/>
  </r>
  <r>
    <x v="0"/>
    <x v="4"/>
    <x v="1"/>
    <s v="none"/>
    <n v="214"/>
    <n v="101"/>
    <x v="1"/>
  </r>
  <r>
    <x v="1"/>
    <x v="3"/>
    <x v="0"/>
    <s v="none"/>
    <n v="167"/>
    <n v="181"/>
    <x v="0"/>
  </r>
  <r>
    <x v="1"/>
    <x v="1"/>
    <x v="1"/>
    <s v="none"/>
    <n v="155"/>
    <n v="198"/>
    <x v="0"/>
  </r>
  <r>
    <x v="1"/>
    <x v="2"/>
    <x v="0"/>
    <s v="none"/>
    <n v="209"/>
    <n v="111"/>
    <x v="3"/>
  </r>
  <r>
    <x v="0"/>
    <x v="0"/>
    <x v="0"/>
    <s v="completed"/>
    <n v="243"/>
    <n v="48"/>
    <x v="2"/>
  </r>
  <r>
    <x v="1"/>
    <x v="0"/>
    <x v="0"/>
    <s v="none"/>
    <n v="226"/>
    <n v="80"/>
    <x v="1"/>
  </r>
  <r>
    <x v="1"/>
    <x v="2"/>
    <x v="1"/>
    <s v="none"/>
    <n v="198"/>
    <n v="135"/>
    <x v="3"/>
  </r>
  <r>
    <x v="1"/>
    <x v="1"/>
    <x v="1"/>
    <s v="completed"/>
    <n v="273"/>
    <n v="13"/>
    <x v="4"/>
  </r>
  <r>
    <x v="1"/>
    <x v="4"/>
    <x v="1"/>
    <s v="completed"/>
    <n v="276"/>
    <n v="8"/>
    <x v="4"/>
  </r>
  <r>
    <x v="1"/>
    <x v="2"/>
    <x v="1"/>
    <s v="none"/>
    <n v="261"/>
    <n v="27"/>
    <x v="2"/>
  </r>
  <r>
    <x v="1"/>
    <x v="2"/>
    <x v="1"/>
    <s v="none"/>
    <n v="206"/>
    <n v="119"/>
    <x v="3"/>
  </r>
  <r>
    <x v="1"/>
    <x v="2"/>
    <x v="1"/>
    <s v="completed"/>
    <n v="208"/>
    <n v="113"/>
    <x v="3"/>
  </r>
  <r>
    <x v="0"/>
    <x v="4"/>
    <x v="1"/>
    <s v="completed"/>
    <n v="181"/>
    <n v="163"/>
    <x v="3"/>
  </r>
  <r>
    <x v="1"/>
    <x v="4"/>
    <x v="1"/>
    <s v="completed"/>
    <n v="261"/>
    <n v="27"/>
    <x v="2"/>
  </r>
  <r>
    <x v="0"/>
    <x v="2"/>
    <x v="1"/>
    <s v="completed"/>
    <n v="169"/>
    <n v="177"/>
    <x v="0"/>
  </r>
  <r>
    <x v="0"/>
    <x v="0"/>
    <x v="1"/>
    <s v="completed"/>
    <n v="275"/>
    <n v="10"/>
    <x v="4"/>
  </r>
  <r>
    <x v="0"/>
    <x v="3"/>
    <x v="0"/>
    <s v="completed"/>
    <n v="241"/>
    <n v="49"/>
    <x v="2"/>
  </r>
  <r>
    <x v="1"/>
    <x v="2"/>
    <x v="1"/>
    <s v="none"/>
    <n v="237"/>
    <n v="56"/>
    <x v="1"/>
  </r>
  <r>
    <x v="1"/>
    <x v="3"/>
    <x v="1"/>
    <s v="none"/>
    <n v="266"/>
    <n v="21"/>
    <x v="2"/>
  </r>
  <r>
    <x v="1"/>
    <x v="1"/>
    <x v="1"/>
    <s v="none"/>
    <n v="138"/>
    <n v="212"/>
    <x v="0"/>
  </r>
  <r>
    <x v="0"/>
    <x v="4"/>
    <x v="1"/>
    <s v="none"/>
    <n v="138"/>
    <n v="212"/>
    <x v="0"/>
  </r>
  <r>
    <x v="1"/>
    <x v="2"/>
    <x v="1"/>
    <s v="completed"/>
    <n v="206"/>
    <n v="119"/>
    <x v="3"/>
  </r>
  <r>
    <x v="1"/>
    <x v="1"/>
    <x v="0"/>
    <s v="none"/>
    <n v="193"/>
    <n v="145"/>
    <x v="3"/>
  </r>
  <r>
    <x v="0"/>
    <x v="1"/>
    <x v="1"/>
    <s v="none"/>
    <n v="136"/>
    <n v="215"/>
    <x v="0"/>
  </r>
  <r>
    <x v="0"/>
    <x v="0"/>
    <x v="0"/>
    <s v="completed"/>
    <n v="148"/>
    <n v="206"/>
    <x v="0"/>
  </r>
  <r>
    <x v="1"/>
    <x v="3"/>
    <x v="1"/>
    <s v="completed"/>
    <n v="228"/>
    <n v="76"/>
    <x v="1"/>
  </r>
  <r>
    <x v="1"/>
    <x v="2"/>
    <x v="1"/>
    <s v="none"/>
    <n v="217"/>
    <n v="94"/>
    <x v="1"/>
  </r>
  <r>
    <x v="1"/>
    <x v="2"/>
    <x v="1"/>
    <s v="none"/>
    <n v="251"/>
    <n v="39"/>
    <x v="2"/>
  </r>
  <r>
    <x v="1"/>
    <x v="1"/>
    <x v="1"/>
    <s v="none"/>
    <n v="186"/>
    <n v="156"/>
    <x v="3"/>
  </r>
  <r>
    <x v="1"/>
    <x v="2"/>
    <x v="1"/>
    <s v="none"/>
    <n v="216"/>
    <n v="96"/>
    <x v="1"/>
  </r>
  <r>
    <x v="1"/>
    <x v="0"/>
    <x v="1"/>
    <s v="none"/>
    <n v="268"/>
    <n v="18"/>
    <x v="2"/>
  </r>
  <r>
    <x v="0"/>
    <x v="2"/>
    <x v="0"/>
    <s v="completed"/>
    <n v="206"/>
    <n v="119"/>
    <x v="3"/>
  </r>
  <r>
    <x v="0"/>
    <x v="1"/>
    <x v="0"/>
    <s v="completed"/>
    <n v="202"/>
    <n v="129"/>
    <x v="3"/>
  </r>
  <r>
    <x v="0"/>
    <x v="3"/>
    <x v="1"/>
    <s v="none"/>
    <n v="155"/>
    <n v="198"/>
    <x v="0"/>
  </r>
  <r>
    <x v="1"/>
    <x v="3"/>
    <x v="1"/>
    <s v="none"/>
    <n v="223"/>
    <n v="88"/>
    <x v="1"/>
  </r>
  <r>
    <x v="1"/>
    <x v="3"/>
    <x v="0"/>
    <s v="completed"/>
    <n v="252"/>
    <n v="37"/>
    <x v="2"/>
  </r>
  <r>
    <x v="1"/>
    <x v="3"/>
    <x v="1"/>
    <s v="none"/>
    <n v="194"/>
    <n v="141"/>
    <x v="3"/>
  </r>
  <r>
    <x v="1"/>
    <x v="0"/>
    <x v="1"/>
    <s v="completed"/>
    <n v="209"/>
    <n v="111"/>
    <x v="3"/>
  </r>
  <r>
    <x v="0"/>
    <x v="2"/>
    <x v="0"/>
    <s v="none"/>
    <n v="208"/>
    <n v="113"/>
    <x v="3"/>
  </r>
  <r>
    <x v="1"/>
    <x v="3"/>
    <x v="0"/>
    <s v="none"/>
    <n v="161"/>
    <n v="188"/>
    <x v="0"/>
  </r>
  <r>
    <x v="0"/>
    <x v="3"/>
    <x v="1"/>
    <s v="none"/>
    <n v="262"/>
    <n v="24"/>
    <x v="2"/>
  </r>
  <r>
    <x v="0"/>
    <x v="3"/>
    <x v="1"/>
    <s v="none"/>
    <n v="206"/>
    <n v="119"/>
    <x v="3"/>
  </r>
  <r>
    <x v="0"/>
    <x v="3"/>
    <x v="1"/>
    <s v="completed"/>
    <n v="230"/>
    <n v="74"/>
    <x v="1"/>
  </r>
  <r>
    <x v="0"/>
    <x v="3"/>
    <x v="0"/>
    <s v="none"/>
    <n v="159"/>
    <n v="193"/>
    <x v="0"/>
  </r>
  <r>
    <x v="1"/>
    <x v="2"/>
    <x v="1"/>
    <s v="completed"/>
    <n v="233"/>
    <n v="64"/>
    <x v="1"/>
  </r>
  <r>
    <x v="0"/>
    <x v="3"/>
    <x v="0"/>
    <s v="none"/>
    <n v="234"/>
    <n v="60"/>
    <x v="1"/>
  </r>
  <r>
    <x v="0"/>
    <x v="3"/>
    <x v="0"/>
    <s v="none"/>
    <n v="228"/>
    <n v="76"/>
    <x v="1"/>
  </r>
  <r>
    <x v="1"/>
    <x v="2"/>
    <x v="1"/>
    <s v="none"/>
    <n v="155"/>
    <n v="198"/>
    <x v="0"/>
  </r>
  <r>
    <x v="1"/>
    <x v="4"/>
    <x v="0"/>
    <s v="none"/>
    <n v="227"/>
    <n v="78"/>
    <x v="1"/>
  </r>
  <r>
    <x v="1"/>
    <x v="3"/>
    <x v="1"/>
    <s v="none"/>
    <n v="227"/>
    <n v="78"/>
    <x v="1"/>
  </r>
  <r>
    <x v="1"/>
    <x v="2"/>
    <x v="1"/>
    <s v="completed"/>
    <n v="247"/>
    <n v="42"/>
    <x v="2"/>
  </r>
  <r>
    <x v="1"/>
    <x v="3"/>
    <x v="1"/>
    <s v="completed"/>
    <n v="214"/>
    <n v="101"/>
    <x v="1"/>
  </r>
  <r>
    <x v="1"/>
    <x v="3"/>
    <x v="0"/>
    <s v="completed"/>
    <n v="161"/>
    <n v="188"/>
    <x v="0"/>
  </r>
  <r>
    <x v="1"/>
    <x v="1"/>
    <x v="0"/>
    <s v="completed"/>
    <n v="257"/>
    <n v="31"/>
    <x v="2"/>
  </r>
  <r>
    <x v="0"/>
    <x v="2"/>
    <x v="1"/>
    <s v="completed"/>
    <n v="223"/>
    <n v="88"/>
    <x v="1"/>
  </r>
  <r>
    <x v="1"/>
    <x v="2"/>
    <x v="1"/>
    <s v="completed"/>
    <n v="291"/>
    <n v="3"/>
    <x v="4"/>
  </r>
  <r>
    <x v="0"/>
    <x v="4"/>
    <x v="0"/>
    <s v="completed"/>
    <n v="244"/>
    <n v="45"/>
    <x v="2"/>
  </r>
  <r>
    <x v="1"/>
    <x v="4"/>
    <x v="1"/>
    <s v="completed"/>
    <n v="217"/>
    <n v="94"/>
    <x v="1"/>
  </r>
  <r>
    <x v="1"/>
    <x v="1"/>
    <x v="0"/>
    <s v="completed"/>
    <n v="225"/>
    <n v="82"/>
    <x v="1"/>
  </r>
  <r>
    <x v="0"/>
    <x v="2"/>
    <x v="1"/>
    <s v="none"/>
    <n v="255"/>
    <n v="34"/>
    <x v="2"/>
  </r>
  <r>
    <x v="0"/>
    <x v="3"/>
    <x v="1"/>
    <s v="none"/>
    <n v="225"/>
    <n v="82"/>
    <x v="1"/>
  </r>
  <r>
    <x v="1"/>
    <x v="0"/>
    <x v="0"/>
    <s v="none"/>
    <n v="150"/>
    <n v="204"/>
    <x v="0"/>
  </r>
  <r>
    <x v="1"/>
    <x v="2"/>
    <x v="1"/>
    <s v="completed"/>
    <n v="204"/>
    <n v="126"/>
    <x v="3"/>
  </r>
  <r>
    <x v="0"/>
    <x v="3"/>
    <x v="1"/>
    <s v="none"/>
    <n v="225"/>
    <n v="82"/>
    <x v="1"/>
  </r>
  <r>
    <x v="0"/>
    <x v="2"/>
    <x v="0"/>
    <s v="none"/>
    <n v="166"/>
    <n v="184"/>
    <x v="0"/>
  </r>
  <r>
    <x v="1"/>
    <x v="4"/>
    <x v="1"/>
    <s v="none"/>
    <n v="271"/>
    <n v="15"/>
    <x v="4"/>
  </r>
  <r>
    <x v="0"/>
    <x v="4"/>
    <x v="1"/>
    <s v="completed"/>
    <n v="261"/>
    <n v="27"/>
    <x v="2"/>
  </r>
  <r>
    <x v="1"/>
    <x v="3"/>
    <x v="0"/>
    <s v="none"/>
    <n v="159"/>
    <n v="193"/>
    <x v="0"/>
  </r>
  <r>
    <x v="1"/>
    <x v="2"/>
    <x v="1"/>
    <s v="completed"/>
    <n v="173"/>
    <n v="170"/>
    <x v="0"/>
  </r>
  <r>
    <x v="0"/>
    <x v="2"/>
    <x v="0"/>
    <s v="none"/>
    <n v="194"/>
    <n v="141"/>
    <x v="3"/>
  </r>
  <r>
    <x v="1"/>
    <x v="4"/>
    <x v="0"/>
    <s v="completed"/>
    <n v="198"/>
    <n v="135"/>
    <x v="3"/>
  </r>
  <r>
    <x v="1"/>
    <x v="4"/>
    <x v="0"/>
    <s v="none"/>
    <n v="235"/>
    <n v="59"/>
    <x v="1"/>
  </r>
  <r>
    <x v="1"/>
    <x v="2"/>
    <x v="1"/>
    <s v="none"/>
    <n v="164"/>
    <n v="185"/>
    <x v="0"/>
  </r>
  <r>
    <x v="1"/>
    <x v="4"/>
    <x v="1"/>
    <s v="none"/>
    <n v="276"/>
    <n v="8"/>
    <x v="4"/>
  </r>
  <r>
    <x v="1"/>
    <x v="2"/>
    <x v="0"/>
    <s v="completed"/>
    <n v="194"/>
    <n v="141"/>
    <x v="3"/>
  </r>
  <r>
    <x v="0"/>
    <x v="1"/>
    <x v="0"/>
    <s v="completed"/>
    <n v="168"/>
    <n v="178"/>
    <x v="0"/>
  </r>
  <r>
    <x v="1"/>
    <x v="2"/>
    <x v="1"/>
    <s v="none"/>
    <n v="216"/>
    <n v="96"/>
    <x v="1"/>
  </r>
  <r>
    <x v="0"/>
    <x v="3"/>
    <x v="1"/>
    <s v="none"/>
    <n v="224"/>
    <n v="86"/>
    <x v="1"/>
  </r>
  <r>
    <x v="0"/>
    <x v="2"/>
    <x v="0"/>
    <s v="none"/>
    <n v="232"/>
    <n v="66"/>
    <x v="1"/>
  </r>
  <r>
    <x v="1"/>
    <x v="2"/>
    <x v="1"/>
    <s v="none"/>
    <n v="168"/>
    <n v="178"/>
    <x v="0"/>
  </r>
  <r>
    <x v="0"/>
    <x v="2"/>
    <x v="1"/>
    <s v="none"/>
    <n v="281"/>
    <n v="6"/>
    <x v="4"/>
  </r>
  <r>
    <x v="0"/>
    <x v="1"/>
    <x v="1"/>
    <s v="none"/>
    <n v="144"/>
    <n v="209"/>
    <x v="0"/>
  </r>
  <r>
    <x v="0"/>
    <x v="4"/>
    <x v="0"/>
    <s v="completed"/>
    <n v="224"/>
    <n v="86"/>
    <x v="1"/>
  </r>
  <r>
    <x v="0"/>
    <x v="2"/>
    <x v="0"/>
    <s v="none"/>
    <n v="151"/>
    <n v="203"/>
    <x v="0"/>
  </r>
  <r>
    <x v="0"/>
    <x v="1"/>
    <x v="1"/>
    <s v="completed"/>
    <n v="244"/>
    <n v="45"/>
    <x v="2"/>
  </r>
  <r>
    <x v="0"/>
    <x v="4"/>
    <x v="0"/>
    <s v="none"/>
    <n v="262"/>
    <n v="24"/>
    <x v="2"/>
  </r>
  <r>
    <x v="1"/>
    <x v="3"/>
    <x v="1"/>
    <s v="none"/>
    <n v="214"/>
    <n v="101"/>
    <x v="1"/>
  </r>
  <r>
    <x v="1"/>
    <x v="4"/>
    <x v="1"/>
    <s v="none"/>
    <n v="156"/>
    <n v="196"/>
    <x v="0"/>
  </r>
  <r>
    <x v="1"/>
    <x v="2"/>
    <x v="1"/>
    <s v="completed"/>
    <n v="218"/>
    <n v="93"/>
    <x v="1"/>
  </r>
  <r>
    <x v="1"/>
    <x v="4"/>
    <x v="1"/>
    <s v="completed"/>
    <n v="288"/>
    <n v="4"/>
    <x v="4"/>
  </r>
  <r>
    <x v="1"/>
    <x v="4"/>
    <x v="1"/>
    <s v="none"/>
    <n v="262"/>
    <n v="24"/>
    <x v="2"/>
  </r>
  <r>
    <x v="1"/>
    <x v="4"/>
    <x v="1"/>
    <s v="none"/>
    <n v="190"/>
    <n v="153"/>
    <x v="3"/>
  </r>
  <r>
    <x v="0"/>
    <x v="3"/>
    <x v="1"/>
    <s v="completed"/>
    <n v="184"/>
    <n v="159"/>
    <x v="3"/>
  </r>
  <r>
    <x v="1"/>
    <x v="1"/>
    <x v="0"/>
    <s v="none"/>
    <n v="162"/>
    <n v="187"/>
    <x v="0"/>
  </r>
  <r>
    <x v="1"/>
    <x v="2"/>
    <x v="1"/>
    <s v="completed"/>
    <n v="214"/>
    <n v="101"/>
    <x v="1"/>
  </r>
  <r>
    <x v="1"/>
    <x v="1"/>
    <x v="0"/>
    <s v="none"/>
    <n v="184"/>
    <n v="159"/>
    <x v="3"/>
  </r>
  <r>
    <x v="0"/>
    <x v="4"/>
    <x v="0"/>
    <s v="none"/>
    <n v="172"/>
    <n v="173"/>
    <x v="0"/>
  </r>
  <r>
    <x v="0"/>
    <x v="4"/>
    <x v="0"/>
    <s v="completed"/>
    <n v="133"/>
    <n v="217"/>
    <x v="0"/>
  </r>
  <r>
    <x v="0"/>
    <x v="3"/>
    <x v="0"/>
    <s v="completed"/>
    <n v="205"/>
    <n v="124"/>
    <x v="3"/>
  </r>
  <r>
    <x v="0"/>
    <x v="2"/>
    <x v="1"/>
    <s v="completed"/>
    <n v="275"/>
    <n v="10"/>
    <x v="4"/>
  </r>
  <r>
    <x v="0"/>
    <x v="0"/>
    <x v="1"/>
    <s v="none"/>
    <n v="177"/>
    <n v="165"/>
    <x v="0"/>
  </r>
  <r>
    <x v="1"/>
    <x v="2"/>
    <x v="1"/>
    <s v="none"/>
    <n v="173"/>
    <n v="170"/>
    <x v="0"/>
  </r>
  <r>
    <x v="0"/>
    <x v="4"/>
    <x v="1"/>
    <s v="none"/>
    <n v="191"/>
    <n v="150"/>
    <x v="3"/>
  </r>
  <r>
    <x v="1"/>
    <x v="4"/>
    <x v="1"/>
    <s v="none"/>
    <n v="300"/>
    <n v="1"/>
    <x v="4"/>
  </r>
  <r>
    <x v="1"/>
    <x v="4"/>
    <x v="1"/>
    <s v="none"/>
    <n v="211"/>
    <n v="110"/>
    <x v="1"/>
  </r>
  <r>
    <x v="0"/>
    <x v="2"/>
    <x v="1"/>
    <s v="none"/>
    <n v="185"/>
    <n v="157"/>
    <x v="3"/>
  </r>
  <r>
    <x v="1"/>
    <x v="2"/>
    <x v="1"/>
    <s v="none"/>
    <n v="280"/>
    <n v="7"/>
    <x v="4"/>
  </r>
  <r>
    <x v="1"/>
    <x v="2"/>
    <x v="1"/>
    <s v="none"/>
    <n v="150"/>
    <n v="204"/>
    <x v="0"/>
  </r>
  <r>
    <x v="1"/>
    <x v="3"/>
    <x v="0"/>
    <s v="none"/>
    <n v="207"/>
    <n v="115"/>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n v="218"/>
    <s v="C-"/>
  </r>
  <r>
    <x v="1"/>
    <x v="1"/>
    <x v="1"/>
    <x v="1"/>
    <n v="225"/>
    <s v="C-"/>
  </r>
  <r>
    <x v="0"/>
    <x v="2"/>
    <x v="0"/>
    <x v="0"/>
    <n v="211"/>
    <s v="C-"/>
  </r>
  <r>
    <x v="1"/>
    <x v="3"/>
    <x v="1"/>
    <x v="1"/>
    <n v="225"/>
    <s v="C-"/>
  </r>
  <r>
    <x v="1"/>
    <x v="4"/>
    <x v="0"/>
    <x v="1"/>
    <n v="239"/>
    <s v="C-"/>
  </r>
  <r>
    <x v="0"/>
    <x v="2"/>
    <x v="0"/>
    <x v="0"/>
    <n v="211"/>
    <s v="C-"/>
  </r>
  <r>
    <x v="0"/>
    <x v="1"/>
    <x v="0"/>
    <x v="0"/>
    <n v="194"/>
    <s v="D-"/>
  </r>
  <r>
    <x v="1"/>
    <x v="1"/>
    <x v="0"/>
    <x v="1"/>
    <n v="216"/>
    <s v="C-"/>
  </r>
  <r>
    <x v="0"/>
    <x v="3"/>
    <x v="0"/>
    <x v="1"/>
    <n v="299"/>
    <s v="A+"/>
  </r>
  <r>
    <x v="0"/>
    <x v="0"/>
    <x v="1"/>
    <x v="0"/>
    <n v="242"/>
    <s v="B+"/>
  </r>
  <r>
    <x v="0"/>
    <x v="1"/>
    <x v="0"/>
    <x v="0"/>
    <n v="239"/>
    <s v="C-"/>
  </r>
  <r>
    <x v="0"/>
    <x v="2"/>
    <x v="0"/>
    <x v="1"/>
    <n v="260"/>
    <s v="B+"/>
  </r>
  <r>
    <x v="0"/>
    <x v="4"/>
    <x v="0"/>
    <x v="0"/>
    <n v="151"/>
    <s v="F"/>
  </r>
  <r>
    <x v="1"/>
    <x v="1"/>
    <x v="1"/>
    <x v="1"/>
    <n v="228"/>
    <s v="C-"/>
  </r>
  <r>
    <x v="1"/>
    <x v="2"/>
    <x v="0"/>
    <x v="0"/>
    <n v="161"/>
    <s v="F"/>
  </r>
  <r>
    <x v="0"/>
    <x v="1"/>
    <x v="0"/>
    <x v="1"/>
    <n v="224"/>
    <s v="C-"/>
  </r>
  <r>
    <x v="1"/>
    <x v="4"/>
    <x v="0"/>
    <x v="0"/>
    <n v="212"/>
    <s v="C-"/>
  </r>
  <r>
    <x v="1"/>
    <x v="1"/>
    <x v="0"/>
    <x v="0"/>
    <n v="150"/>
    <s v="F"/>
  </r>
  <r>
    <x v="0"/>
    <x v="2"/>
    <x v="0"/>
    <x v="1"/>
    <n v="296"/>
    <s v="A+"/>
  </r>
  <r>
    <x v="0"/>
    <x v="2"/>
    <x v="1"/>
    <x v="1"/>
    <n v="148"/>
    <s v="F"/>
  </r>
  <r>
    <x v="0"/>
    <x v="2"/>
    <x v="0"/>
    <x v="0"/>
    <n v="252"/>
    <s v="B+"/>
  </r>
  <r>
    <x v="0"/>
    <x v="0"/>
    <x v="1"/>
    <x v="0"/>
    <n v="233"/>
    <s v="C-"/>
  </r>
  <r>
    <x v="1"/>
    <x v="3"/>
    <x v="0"/>
    <x v="0"/>
    <n v="206"/>
    <s v="D-"/>
  </r>
  <r>
    <x v="0"/>
    <x v="0"/>
    <x v="0"/>
    <x v="0"/>
    <n v="236"/>
    <s v="C-"/>
  </r>
  <r>
    <x v="1"/>
    <x v="2"/>
    <x v="0"/>
    <x v="1"/>
    <n v="249"/>
    <s v="B+"/>
  </r>
  <r>
    <x v="1"/>
    <x v="1"/>
    <x v="1"/>
    <x v="0"/>
    <n v="196"/>
    <s v="D-"/>
  </r>
  <r>
    <x v="0"/>
    <x v="3"/>
    <x v="0"/>
    <x v="0"/>
    <n v="246"/>
    <s v="B+"/>
  </r>
  <r>
    <x v="0"/>
    <x v="2"/>
    <x v="0"/>
    <x v="0"/>
    <n v="219"/>
    <s v="C-"/>
  </r>
  <r>
    <x v="1"/>
    <x v="2"/>
    <x v="0"/>
    <x v="0"/>
    <n v="193"/>
    <s v="D-"/>
  </r>
  <r>
    <x v="1"/>
    <x v="2"/>
    <x v="0"/>
    <x v="0"/>
    <n v="234"/>
    <s v="C-"/>
  </r>
  <r>
    <x v="1"/>
    <x v="0"/>
    <x v="1"/>
    <x v="0"/>
    <n v="186"/>
    <s v="D-"/>
  </r>
  <r>
    <x v="0"/>
    <x v="1"/>
    <x v="1"/>
    <x v="0"/>
    <n v="236"/>
    <s v="C-"/>
  </r>
  <r>
    <x v="1"/>
    <x v="0"/>
    <x v="1"/>
    <x v="0"/>
    <n v="239"/>
    <s v="C-"/>
  </r>
  <r>
    <x v="0"/>
    <x v="3"/>
    <x v="0"/>
    <x v="0"/>
    <n v="213"/>
    <s v="C-"/>
  </r>
  <r>
    <x v="1"/>
    <x v="0"/>
    <x v="0"/>
    <x v="0"/>
    <n v="183"/>
    <s v="D-"/>
  </r>
  <r>
    <x v="1"/>
    <x v="1"/>
    <x v="0"/>
    <x v="1"/>
    <n v="196"/>
    <s v="D-"/>
  </r>
  <r>
    <x v="0"/>
    <x v="2"/>
    <x v="0"/>
    <x v="1"/>
    <n v="198"/>
    <s v="D-"/>
  </r>
  <r>
    <x v="1"/>
    <x v="0"/>
    <x v="0"/>
    <x v="0"/>
    <n v="203"/>
    <s v="D-"/>
  </r>
  <r>
    <x v="0"/>
    <x v="2"/>
    <x v="0"/>
    <x v="0"/>
    <n v="271"/>
    <s v="A+"/>
  </r>
  <r>
    <x v="0"/>
    <x v="2"/>
    <x v="0"/>
    <x v="1"/>
    <n v="266"/>
    <s v="B+"/>
  </r>
  <r>
    <x v="0"/>
    <x v="0"/>
    <x v="0"/>
    <x v="0"/>
    <n v="186"/>
    <s v="D-"/>
  </r>
  <r>
    <x v="0"/>
    <x v="0"/>
    <x v="0"/>
    <x v="0"/>
    <n v="203"/>
    <s v="D-"/>
  </r>
  <r>
    <x v="1"/>
    <x v="4"/>
    <x v="1"/>
    <x v="1"/>
    <n v="167"/>
    <s v="F"/>
  </r>
  <r>
    <x v="1"/>
    <x v="2"/>
    <x v="1"/>
    <x v="0"/>
    <n v="188"/>
    <s v="D-"/>
  </r>
  <r>
    <x v="0"/>
    <x v="1"/>
    <x v="0"/>
    <x v="0"/>
    <n v="202"/>
    <s v="D-"/>
  </r>
  <r>
    <x v="1"/>
    <x v="4"/>
    <x v="0"/>
    <x v="0"/>
    <n v="192"/>
    <s v="D-"/>
  </r>
  <r>
    <x v="0"/>
    <x v="3"/>
    <x v="0"/>
    <x v="0"/>
    <n v="207"/>
    <s v="D-"/>
  </r>
  <r>
    <x v="0"/>
    <x v="2"/>
    <x v="1"/>
    <x v="1"/>
    <n v="202"/>
    <s v="D-"/>
  </r>
  <r>
    <x v="1"/>
    <x v="2"/>
    <x v="0"/>
    <x v="1"/>
    <n v="213"/>
    <s v="C-"/>
  </r>
  <r>
    <x v="1"/>
    <x v="2"/>
    <x v="0"/>
    <x v="0"/>
    <n v="255"/>
    <s v="B+"/>
  </r>
  <r>
    <x v="1"/>
    <x v="2"/>
    <x v="1"/>
    <x v="0"/>
    <n v="140"/>
    <s v="F"/>
  </r>
  <r>
    <x v="0"/>
    <x v="1"/>
    <x v="0"/>
    <x v="0"/>
    <n v="257"/>
    <s v="B+"/>
  </r>
  <r>
    <x v="0"/>
    <x v="3"/>
    <x v="0"/>
    <x v="0"/>
    <n v="300"/>
    <s v="A+"/>
  </r>
  <r>
    <x v="1"/>
    <x v="2"/>
    <x v="1"/>
    <x v="0"/>
    <n v="166"/>
    <s v="F"/>
  </r>
  <r>
    <x v="1"/>
    <x v="4"/>
    <x v="0"/>
    <x v="1"/>
    <n v="195"/>
    <s v="D-"/>
  </r>
  <r>
    <x v="0"/>
    <x v="1"/>
    <x v="0"/>
    <x v="1"/>
    <n v="230"/>
    <s v="C-"/>
  </r>
  <r>
    <x v="1"/>
    <x v="3"/>
    <x v="0"/>
    <x v="1"/>
    <n v="204"/>
    <s v="D-"/>
  </r>
  <r>
    <x v="0"/>
    <x v="2"/>
    <x v="0"/>
    <x v="0"/>
    <n v="259"/>
    <s v="B+"/>
  </r>
  <r>
    <x v="1"/>
    <x v="0"/>
    <x v="1"/>
    <x v="0"/>
    <n v="168"/>
    <s v="F"/>
  </r>
  <r>
    <x v="0"/>
    <x v="2"/>
    <x v="0"/>
    <x v="0"/>
    <n v="265"/>
    <s v="B+"/>
  </r>
  <r>
    <x v="1"/>
    <x v="1"/>
    <x v="0"/>
    <x v="0"/>
    <n v="184"/>
    <s v="D-"/>
  </r>
  <r>
    <x v="0"/>
    <x v="1"/>
    <x v="1"/>
    <x v="0"/>
    <n v="117"/>
    <s v="F"/>
  </r>
  <r>
    <x v="0"/>
    <x v="2"/>
    <x v="1"/>
    <x v="1"/>
    <n v="232"/>
    <s v="C-"/>
  </r>
  <r>
    <x v="1"/>
    <x v="3"/>
    <x v="0"/>
    <x v="1"/>
    <n v="222"/>
    <s v="C-"/>
  </r>
  <r>
    <x v="1"/>
    <x v="0"/>
    <x v="1"/>
    <x v="1"/>
    <n v="265"/>
    <s v="B+"/>
  </r>
  <r>
    <x v="1"/>
    <x v="2"/>
    <x v="0"/>
    <x v="1"/>
    <n v="278"/>
    <s v="A+"/>
  </r>
  <r>
    <x v="1"/>
    <x v="0"/>
    <x v="1"/>
    <x v="0"/>
    <n v="145"/>
    <s v="F"/>
  </r>
  <r>
    <x v="0"/>
    <x v="3"/>
    <x v="1"/>
    <x v="1"/>
    <n v="292"/>
    <s v="A+"/>
  </r>
  <r>
    <x v="1"/>
    <x v="1"/>
    <x v="1"/>
    <x v="0"/>
    <n v="203"/>
    <s v="D-"/>
  </r>
  <r>
    <x v="1"/>
    <x v="4"/>
    <x v="0"/>
    <x v="0"/>
    <n v="279"/>
    <s v="A+"/>
  </r>
  <r>
    <x v="0"/>
    <x v="1"/>
    <x v="1"/>
    <x v="0"/>
    <n v="214"/>
    <s v="C-"/>
  </r>
  <r>
    <x v="0"/>
    <x v="2"/>
    <x v="1"/>
    <x v="0"/>
    <n v="169"/>
    <s v="F"/>
  </r>
  <r>
    <x v="1"/>
    <x v="3"/>
    <x v="0"/>
    <x v="0"/>
    <n v="200"/>
    <s v="D-"/>
  </r>
  <r>
    <x v="0"/>
    <x v="2"/>
    <x v="0"/>
    <x v="1"/>
    <n v="291"/>
    <s v="A+"/>
  </r>
  <r>
    <x v="0"/>
    <x v="2"/>
    <x v="0"/>
    <x v="1"/>
    <n v="207"/>
    <s v="D-"/>
  </r>
  <r>
    <x v="1"/>
    <x v="2"/>
    <x v="0"/>
    <x v="1"/>
    <n v="275"/>
    <s v="A+"/>
  </r>
  <r>
    <x v="0"/>
    <x v="3"/>
    <x v="0"/>
    <x v="0"/>
    <n v="120"/>
    <s v="F"/>
  </r>
  <r>
    <x v="1"/>
    <x v="1"/>
    <x v="0"/>
    <x v="0"/>
    <n v="249"/>
    <s v="B+"/>
  </r>
  <r>
    <x v="1"/>
    <x v="0"/>
    <x v="1"/>
    <x v="0"/>
    <n v="181"/>
    <s v="D-"/>
  </r>
  <r>
    <x v="0"/>
    <x v="3"/>
    <x v="1"/>
    <x v="0"/>
    <n v="181"/>
    <s v="D-"/>
  </r>
  <r>
    <x v="0"/>
    <x v="0"/>
    <x v="0"/>
    <x v="1"/>
    <n v="221"/>
    <s v="C-"/>
  </r>
  <r>
    <x v="0"/>
    <x v="0"/>
    <x v="0"/>
    <x v="1"/>
    <n v="227"/>
    <s v="C-"/>
  </r>
  <r>
    <x v="0"/>
    <x v="0"/>
    <x v="1"/>
    <x v="0"/>
    <n v="249"/>
    <s v="B+"/>
  </r>
  <r>
    <x v="0"/>
    <x v="2"/>
    <x v="1"/>
    <x v="1"/>
    <n v="221"/>
    <s v="C-"/>
  </r>
  <r>
    <x v="0"/>
    <x v="4"/>
    <x v="0"/>
    <x v="0"/>
    <n v="201"/>
    <s v="D-"/>
  </r>
  <r>
    <x v="0"/>
    <x v="3"/>
    <x v="0"/>
    <x v="1"/>
    <n v="242"/>
    <s v="B+"/>
  </r>
  <r>
    <x v="1"/>
    <x v="4"/>
    <x v="0"/>
    <x v="1"/>
    <n v="258"/>
    <s v="B+"/>
  </r>
  <r>
    <x v="1"/>
    <x v="4"/>
    <x v="1"/>
    <x v="0"/>
    <n v="199"/>
    <s v="D-"/>
  </r>
  <r>
    <x v="1"/>
    <x v="1"/>
    <x v="0"/>
    <x v="0"/>
    <n v="225"/>
    <s v="C-"/>
  </r>
  <r>
    <x v="0"/>
    <x v="2"/>
    <x v="1"/>
    <x v="0"/>
    <n v="169"/>
    <s v="F"/>
  </r>
  <r>
    <x v="1"/>
    <x v="3"/>
    <x v="1"/>
    <x v="1"/>
    <n v="210"/>
    <s v="C-"/>
  </r>
  <r>
    <x v="1"/>
    <x v="1"/>
    <x v="0"/>
    <x v="0"/>
    <n v="222"/>
    <s v="C-"/>
  </r>
  <r>
    <x v="0"/>
    <x v="2"/>
    <x v="1"/>
    <x v="0"/>
    <n v="219"/>
    <s v="C-"/>
  </r>
  <r>
    <x v="1"/>
    <x v="2"/>
    <x v="0"/>
    <x v="1"/>
    <n v="251"/>
    <s v="B+"/>
  </r>
  <r>
    <x v="1"/>
    <x v="0"/>
    <x v="0"/>
    <x v="0"/>
    <n v="164"/>
    <s v="F"/>
  </r>
  <r>
    <x v="0"/>
    <x v="4"/>
    <x v="0"/>
    <x v="0"/>
    <n v="168"/>
    <s v="F"/>
  </r>
  <r>
    <x v="1"/>
    <x v="1"/>
    <x v="1"/>
    <x v="1"/>
    <n v="207"/>
    <s v="D-"/>
  </r>
  <r>
    <x v="0"/>
    <x v="1"/>
    <x v="1"/>
    <x v="0"/>
    <n v="261"/>
    <s v="B+"/>
  </r>
  <r>
    <x v="0"/>
    <x v="2"/>
    <x v="1"/>
    <x v="1"/>
    <n v="249"/>
    <s v="B+"/>
  </r>
  <r>
    <x v="1"/>
    <x v="4"/>
    <x v="0"/>
    <x v="0"/>
    <n v="182"/>
    <s v="D-"/>
  </r>
  <r>
    <x v="0"/>
    <x v="0"/>
    <x v="0"/>
    <x v="0"/>
    <n v="290"/>
    <s v="A+"/>
  </r>
  <r>
    <x v="0"/>
    <x v="2"/>
    <x v="0"/>
    <x v="0"/>
    <n v="225"/>
    <s v="C-"/>
  </r>
  <r>
    <x v="1"/>
    <x v="1"/>
    <x v="1"/>
    <x v="1"/>
    <n v="119"/>
    <s v="F"/>
  </r>
  <r>
    <x v="0"/>
    <x v="2"/>
    <x v="1"/>
    <x v="0"/>
    <n v="166"/>
    <s v="F"/>
  </r>
  <r>
    <x v="1"/>
    <x v="2"/>
    <x v="0"/>
    <x v="1"/>
    <n v="193"/>
    <s v="D-"/>
  </r>
  <r>
    <x v="0"/>
    <x v="3"/>
    <x v="0"/>
    <x v="1"/>
    <n v="211"/>
    <s v="C-"/>
  </r>
  <r>
    <x v="1"/>
    <x v="1"/>
    <x v="1"/>
    <x v="0"/>
    <n v="145"/>
    <s v="F"/>
  </r>
  <r>
    <x v="0"/>
    <x v="1"/>
    <x v="1"/>
    <x v="1"/>
    <n v="293"/>
    <s v="A+"/>
  </r>
  <r>
    <x v="0"/>
    <x v="2"/>
    <x v="1"/>
    <x v="0"/>
    <n v="214"/>
    <s v="C-"/>
  </r>
  <r>
    <x v="1"/>
    <x v="3"/>
    <x v="0"/>
    <x v="1"/>
    <n v="204"/>
    <s v="D-"/>
  </r>
  <r>
    <x v="1"/>
    <x v="1"/>
    <x v="1"/>
    <x v="0"/>
    <n v="140"/>
    <s v="F"/>
  </r>
  <r>
    <x v="0"/>
    <x v="2"/>
    <x v="0"/>
    <x v="1"/>
    <n v="179"/>
    <s v="F"/>
  </r>
  <r>
    <x v="0"/>
    <x v="2"/>
    <x v="1"/>
    <x v="1"/>
    <n v="175"/>
    <s v="F"/>
  </r>
  <r>
    <x v="1"/>
    <x v="3"/>
    <x v="0"/>
    <x v="1"/>
    <n v="300"/>
    <s v="A+"/>
  </r>
  <r>
    <x v="1"/>
    <x v="2"/>
    <x v="1"/>
    <x v="1"/>
    <n v="219"/>
    <s v="C-"/>
  </r>
  <r>
    <x v="0"/>
    <x v="0"/>
    <x v="0"/>
    <x v="0"/>
    <n v="239"/>
    <s v="C-"/>
  </r>
  <r>
    <x v="0"/>
    <x v="1"/>
    <x v="0"/>
    <x v="0"/>
    <n v="289"/>
    <s v="A+"/>
  </r>
  <r>
    <x v="0"/>
    <x v="1"/>
    <x v="1"/>
    <x v="0"/>
    <n v="208"/>
    <s v="D-"/>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
  <r>
    <x v="0"/>
    <x v="0"/>
    <x v="0"/>
    <s v="completed"/>
    <n v="247"/>
    <x v="0"/>
    <x v="0"/>
  </r>
  <r>
    <x v="1"/>
    <x v="0"/>
    <x v="0"/>
    <s v="none"/>
    <n v="229"/>
    <x v="1"/>
    <x v="1"/>
  </r>
  <r>
    <x v="0"/>
    <x v="1"/>
    <x v="0"/>
    <s v="completed"/>
    <n v="275"/>
    <x v="2"/>
    <x v="2"/>
  </r>
  <r>
    <x v="1"/>
    <x v="1"/>
    <x v="1"/>
    <s v="none"/>
    <n v="122"/>
    <x v="3"/>
    <x v="3"/>
  </r>
  <r>
    <x v="1"/>
    <x v="2"/>
    <x v="0"/>
    <s v="completed"/>
    <n v="220"/>
    <x v="4"/>
    <x v="1"/>
  </r>
  <r>
    <x v="0"/>
    <x v="1"/>
    <x v="1"/>
    <s v="completed"/>
    <n v="210"/>
    <x v="5"/>
    <x v="1"/>
  </r>
  <r>
    <x v="1"/>
    <x v="3"/>
    <x v="0"/>
    <s v="none"/>
    <n v="151"/>
    <x v="6"/>
    <x v="3"/>
  </r>
  <r>
    <x v="1"/>
    <x v="1"/>
    <x v="0"/>
    <s v="none"/>
    <n v="178"/>
    <x v="7"/>
    <x v="3"/>
  </r>
  <r>
    <x v="0"/>
    <x v="3"/>
    <x v="0"/>
    <s v="none"/>
    <n v="217"/>
    <x v="8"/>
    <x v="1"/>
  </r>
  <r>
    <x v="0"/>
    <x v="1"/>
    <x v="0"/>
    <s v="none"/>
    <n v="189"/>
    <x v="9"/>
    <x v="4"/>
  </r>
  <r>
    <x v="1"/>
    <x v="3"/>
    <x v="0"/>
    <s v="none"/>
    <n v="120"/>
    <x v="10"/>
    <x v="3"/>
  </r>
  <r>
    <x v="1"/>
    <x v="4"/>
    <x v="0"/>
    <s v="none"/>
    <n v="266"/>
    <x v="11"/>
    <x v="0"/>
  </r>
  <r>
    <x v="1"/>
    <x v="1"/>
    <x v="1"/>
    <s v="completed"/>
    <n v="190"/>
    <x v="12"/>
    <x v="4"/>
  </r>
  <r>
    <x v="1"/>
    <x v="4"/>
    <x v="0"/>
    <s v="none"/>
    <n v="156"/>
    <x v="13"/>
    <x v="3"/>
  </r>
  <r>
    <x v="1"/>
    <x v="0"/>
    <x v="0"/>
    <s v="none"/>
    <n v="139"/>
    <x v="14"/>
    <x v="3"/>
  </r>
  <r>
    <x v="1"/>
    <x v="3"/>
    <x v="0"/>
    <s v="completed"/>
    <n v="175"/>
    <x v="15"/>
    <x v="3"/>
  </r>
  <r>
    <x v="0"/>
    <x v="0"/>
    <x v="0"/>
    <s v="none"/>
    <n v="206"/>
    <x v="16"/>
    <x v="4"/>
  </r>
  <r>
    <x v="0"/>
    <x v="3"/>
    <x v="1"/>
    <s v="completed"/>
    <n v="194"/>
    <x v="17"/>
    <x v="4"/>
  </r>
  <r>
    <x v="1"/>
    <x v="3"/>
    <x v="0"/>
    <s v="completed"/>
    <n v="181"/>
    <x v="18"/>
    <x v="4"/>
  </r>
  <r>
    <x v="1"/>
    <x v="2"/>
    <x v="1"/>
    <s v="completed"/>
    <n v="151"/>
    <x v="6"/>
    <x v="3"/>
  </r>
  <r>
    <x v="0"/>
    <x v="0"/>
    <x v="0"/>
    <s v="none"/>
    <n v="235"/>
    <x v="19"/>
    <x v="1"/>
  </r>
  <r>
    <x v="0"/>
    <x v="0"/>
    <x v="1"/>
    <s v="none"/>
    <n v="247"/>
    <x v="0"/>
    <x v="0"/>
  </r>
  <r>
    <x v="0"/>
    <x v="2"/>
    <x v="0"/>
    <s v="none"/>
    <n v="195"/>
    <x v="20"/>
    <x v="4"/>
  </r>
  <r>
    <x v="0"/>
    <x v="1"/>
    <x v="0"/>
    <s v="none"/>
    <n v="257"/>
    <x v="21"/>
    <x v="0"/>
  </r>
  <r>
    <x v="0"/>
    <x v="4"/>
    <x v="0"/>
    <s v="completed"/>
    <n v="205"/>
    <x v="22"/>
    <x v="4"/>
  </r>
  <r>
    <x v="0"/>
    <x v="3"/>
    <x v="1"/>
    <s v="none"/>
    <n v="187"/>
    <x v="23"/>
    <x v="4"/>
  </r>
  <r>
    <x v="1"/>
    <x v="1"/>
    <x v="0"/>
    <s v="none"/>
    <n v="213"/>
    <x v="24"/>
    <x v="1"/>
  </r>
  <r>
    <x v="1"/>
    <x v="0"/>
    <x v="0"/>
    <s v="completed"/>
    <n v="274"/>
    <x v="25"/>
    <x v="2"/>
  </r>
  <r>
    <x v="0"/>
    <x v="0"/>
    <x v="0"/>
    <s v="none"/>
    <n v="197"/>
    <x v="26"/>
    <x v="4"/>
  </r>
  <r>
    <x v="0"/>
    <x v="3"/>
    <x v="0"/>
    <s v="none"/>
    <n v="163"/>
    <x v="27"/>
    <x v="3"/>
  </r>
  <r>
    <x v="0"/>
    <x v="0"/>
    <x v="0"/>
    <s v="none"/>
    <n v="189"/>
    <x v="9"/>
    <x v="4"/>
  </r>
  <r>
    <x v="0"/>
    <x v="0"/>
    <x v="0"/>
    <s v="completed"/>
    <n v="274"/>
    <x v="25"/>
    <x v="2"/>
  </r>
  <r>
    <x v="1"/>
    <x v="4"/>
    <x v="0"/>
    <s v="none"/>
    <n v="236"/>
    <x v="28"/>
    <x v="1"/>
  </r>
  <r>
    <x v="1"/>
    <x v="3"/>
    <x v="0"/>
    <s v="completed"/>
    <n v="216"/>
    <x v="29"/>
    <x v="1"/>
  </r>
  <r>
    <x v="1"/>
    <x v="4"/>
    <x v="1"/>
    <s v="completed"/>
    <n v="231"/>
    <x v="30"/>
    <x v="1"/>
  </r>
  <r>
    <x v="0"/>
    <x v="0"/>
    <x v="0"/>
    <s v="completed"/>
    <n v="240"/>
    <x v="31"/>
    <x v="0"/>
  </r>
  <r>
    <x v="1"/>
    <x v="3"/>
    <x v="0"/>
    <s v="completed"/>
    <n v="201"/>
    <x v="32"/>
    <x v="4"/>
  </r>
  <r>
    <x v="0"/>
    <x v="0"/>
    <x v="1"/>
    <s v="none"/>
    <n v="185"/>
    <x v="33"/>
    <x v="4"/>
  </r>
  <r>
    <x v="0"/>
    <x v="4"/>
    <x v="1"/>
    <s v="completed"/>
    <n v="151"/>
    <x v="6"/>
    <x v="3"/>
  </r>
  <r>
    <x v="1"/>
    <x v="3"/>
    <x v="0"/>
    <s v="none"/>
    <n v="239"/>
    <x v="34"/>
    <x v="1"/>
  </r>
  <r>
    <x v="0"/>
    <x v="0"/>
    <x v="1"/>
    <s v="none"/>
    <n v="94"/>
    <x v="35"/>
    <x v="3"/>
  </r>
  <r>
    <x v="0"/>
    <x v="0"/>
    <x v="0"/>
    <s v="completed"/>
    <n v="247"/>
    <x v="0"/>
    <x v="0"/>
  </r>
  <r>
    <x v="1"/>
    <x v="1"/>
    <x v="1"/>
    <s v="none"/>
    <n v="180"/>
    <x v="36"/>
    <x v="4"/>
  </r>
  <r>
    <x v="0"/>
    <x v="4"/>
    <x v="1"/>
    <s v="completed"/>
    <n v="248"/>
    <x v="37"/>
    <x v="0"/>
  </r>
  <r>
    <x v="0"/>
    <x v="0"/>
    <x v="1"/>
    <s v="completed"/>
    <n v="212"/>
    <x v="38"/>
    <x v="1"/>
  </r>
  <r>
    <x v="0"/>
    <x v="3"/>
    <x v="0"/>
    <s v="none"/>
    <n v="246"/>
    <x v="39"/>
    <x v="0"/>
  </r>
  <r>
    <x v="0"/>
    <x v="0"/>
    <x v="1"/>
    <s v="none"/>
    <n v="176"/>
    <x v="40"/>
    <x v="3"/>
  </r>
  <r>
    <x v="1"/>
    <x v="3"/>
    <x v="0"/>
    <s v="completed"/>
    <n v="238"/>
    <x v="41"/>
    <x v="1"/>
  </r>
  <r>
    <x v="1"/>
    <x v="3"/>
    <x v="0"/>
    <s v="completed"/>
    <n v="201"/>
    <x v="32"/>
    <x v="4"/>
  </r>
  <r>
    <x v="0"/>
    <x v="1"/>
    <x v="1"/>
    <s v="none"/>
    <n v="153"/>
    <x v="42"/>
    <x v="3"/>
  </r>
  <r>
    <x v="0"/>
    <x v="3"/>
    <x v="1"/>
    <s v="none"/>
    <n v="223"/>
    <x v="43"/>
    <x v="1"/>
  </r>
  <r>
    <x v="1"/>
    <x v="0"/>
    <x v="0"/>
    <s v="none"/>
    <n v="142"/>
    <x v="44"/>
    <x v="3"/>
  </r>
  <r>
    <x v="0"/>
    <x v="1"/>
    <x v="1"/>
    <s v="none"/>
    <n v="231"/>
    <x v="30"/>
    <x v="1"/>
  </r>
  <r>
    <x v="0"/>
    <x v="1"/>
    <x v="1"/>
    <s v="none"/>
    <n v="185"/>
    <x v="33"/>
    <x v="4"/>
  </r>
  <r>
    <x v="1"/>
    <x v="0"/>
    <x v="1"/>
    <s v="none"/>
    <n v="90"/>
    <x v="45"/>
    <x v="3"/>
  </r>
  <r>
    <x v="0"/>
    <x v="0"/>
    <x v="0"/>
    <s v="none"/>
    <n v="215"/>
    <x v="46"/>
    <x v="1"/>
  </r>
  <r>
    <x v="0"/>
    <x v="0"/>
    <x v="0"/>
    <s v="completed"/>
    <n v="277"/>
    <x v="47"/>
    <x v="2"/>
  </r>
  <r>
    <x v="1"/>
    <x v="3"/>
    <x v="0"/>
    <s v="none"/>
    <n v="206"/>
    <x v="16"/>
    <x v="4"/>
  </r>
  <r>
    <x v="1"/>
    <x v="1"/>
    <x v="0"/>
    <s v="none"/>
    <n v="157"/>
    <x v="48"/>
    <x v="3"/>
  </r>
  <r>
    <x v="1"/>
    <x v="4"/>
    <x v="0"/>
    <s v="none"/>
    <n v="153"/>
    <x v="42"/>
    <x v="3"/>
  </r>
  <r>
    <x v="0"/>
    <x v="3"/>
    <x v="1"/>
    <s v="none"/>
    <n v="237"/>
    <x v="49"/>
    <x v="1"/>
  </r>
  <r>
    <x v="0"/>
    <x v="4"/>
    <x v="0"/>
    <s v="none"/>
    <n v="205"/>
    <x v="22"/>
    <x v="4"/>
  </r>
  <r>
    <x v="0"/>
    <x v="1"/>
    <x v="0"/>
    <s v="none"/>
    <n v="223"/>
    <x v="43"/>
    <x v="1"/>
  </r>
  <r>
    <x v="1"/>
    <x v="0"/>
    <x v="0"/>
    <s v="completed"/>
    <n v="236"/>
    <x v="28"/>
    <x v="1"/>
  </r>
  <r>
    <x v="0"/>
    <x v="4"/>
    <x v="1"/>
    <s v="none"/>
    <n v="217"/>
    <x v="8"/>
    <x v="1"/>
  </r>
  <r>
    <x v="1"/>
    <x v="0"/>
    <x v="0"/>
    <s v="none"/>
    <n v="149"/>
    <x v="50"/>
    <x v="3"/>
  </r>
  <r>
    <x v="0"/>
    <x v="3"/>
    <x v="0"/>
    <s v="none"/>
    <n v="206"/>
    <x v="16"/>
    <x v="4"/>
  </r>
  <r>
    <x v="1"/>
    <x v="1"/>
    <x v="0"/>
    <s v="completed"/>
    <n v="249"/>
    <x v="51"/>
    <x v="0"/>
  </r>
  <r>
    <x v="0"/>
    <x v="3"/>
    <x v="1"/>
    <s v="completed"/>
    <n v="226"/>
    <x v="52"/>
    <x v="1"/>
  </r>
  <r>
    <x v="1"/>
    <x v="2"/>
    <x v="1"/>
    <s v="completed"/>
    <n v="240"/>
    <x v="31"/>
    <x v="0"/>
  </r>
  <r>
    <x v="1"/>
    <x v="2"/>
    <x v="0"/>
    <s v="none"/>
    <n v="205"/>
    <x v="22"/>
    <x v="4"/>
  </r>
  <r>
    <x v="1"/>
    <x v="4"/>
    <x v="0"/>
    <s v="completed"/>
    <n v="267"/>
    <x v="53"/>
    <x v="0"/>
  </r>
  <r>
    <x v="0"/>
    <x v="0"/>
    <x v="0"/>
    <s v="none"/>
    <n v="232"/>
    <x v="54"/>
    <x v="1"/>
  </r>
  <r>
    <x v="0"/>
    <x v="0"/>
    <x v="0"/>
    <s v="none"/>
    <n v="266"/>
    <x v="11"/>
    <x v="0"/>
  </r>
  <r>
    <x v="1"/>
    <x v="0"/>
    <x v="0"/>
    <s v="none"/>
    <n v="184"/>
    <x v="55"/>
    <x v="4"/>
  </r>
  <r>
    <x v="1"/>
    <x v="2"/>
    <x v="1"/>
    <s v="none"/>
    <n v="70"/>
    <x v="56"/>
    <x v="3"/>
  </r>
  <r>
    <x v="0"/>
    <x v="1"/>
    <x v="1"/>
    <s v="none"/>
    <n v="195"/>
    <x v="20"/>
    <x v="4"/>
  </r>
  <r>
    <x v="1"/>
    <x v="3"/>
    <x v="0"/>
    <s v="none"/>
    <n v="219"/>
    <x v="57"/>
    <x v="1"/>
  </r>
  <r>
    <x v="1"/>
    <x v="1"/>
    <x v="0"/>
    <s v="none"/>
    <n v="180"/>
    <x v="36"/>
    <x v="4"/>
  </r>
  <r>
    <x v="1"/>
    <x v="4"/>
    <x v="0"/>
    <s v="none"/>
    <n v="175"/>
    <x v="15"/>
    <x v="3"/>
  </r>
  <r>
    <x v="0"/>
    <x v="0"/>
    <x v="0"/>
    <s v="completed"/>
    <n v="221"/>
    <x v="58"/>
    <x v="1"/>
  </r>
  <r>
    <x v="0"/>
    <x v="0"/>
    <x v="0"/>
    <s v="none"/>
    <n v="200"/>
    <x v="59"/>
    <x v="4"/>
  </r>
  <r>
    <x v="0"/>
    <x v="0"/>
    <x v="1"/>
    <s v="completed"/>
    <n v="177"/>
    <x v="60"/>
    <x v="3"/>
  </r>
  <r>
    <x v="1"/>
    <x v="3"/>
    <x v="1"/>
    <s v="none"/>
    <n v="182"/>
    <x v="61"/>
    <x v="4"/>
  </r>
  <r>
    <x v="0"/>
    <x v="3"/>
    <x v="0"/>
    <s v="none"/>
    <n v="259"/>
    <x v="62"/>
    <x v="0"/>
  </r>
  <r>
    <x v="0"/>
    <x v="0"/>
    <x v="0"/>
    <s v="none"/>
    <n v="168"/>
    <x v="63"/>
    <x v="3"/>
  </r>
  <r>
    <x v="1"/>
    <x v="0"/>
    <x v="0"/>
    <s v="none"/>
    <n v="177"/>
    <x v="60"/>
    <x v="3"/>
  </r>
  <r>
    <x v="1"/>
    <x v="4"/>
    <x v="0"/>
    <s v="none"/>
    <n v="232"/>
    <x v="54"/>
    <x v="1"/>
  </r>
  <r>
    <x v="0"/>
    <x v="0"/>
    <x v="1"/>
    <s v="completed"/>
    <n v="188"/>
    <x v="64"/>
    <x v="4"/>
  </r>
  <r>
    <x v="0"/>
    <x v="3"/>
    <x v="0"/>
    <s v="completed"/>
    <n v="275"/>
    <x v="2"/>
    <x v="2"/>
  </r>
  <r>
    <x v="0"/>
    <x v="4"/>
    <x v="0"/>
    <s v="none"/>
    <n v="218"/>
    <x v="65"/>
    <x v="1"/>
  </r>
  <r>
    <x v="0"/>
    <x v="3"/>
    <x v="0"/>
    <s v="none"/>
    <n v="222"/>
    <x v="66"/>
    <x v="1"/>
  </r>
  <r>
    <x v="1"/>
    <x v="4"/>
    <x v="0"/>
    <s v="none"/>
    <n v="210"/>
    <x v="5"/>
    <x v="1"/>
  </r>
  <r>
    <x v="1"/>
    <x v="2"/>
    <x v="0"/>
    <s v="none"/>
    <n v="139"/>
    <x v="14"/>
    <x v="3"/>
  </r>
  <r>
    <x v="0"/>
    <x v="2"/>
    <x v="1"/>
    <s v="none"/>
    <n v="169"/>
    <x v="67"/>
    <x v="3"/>
  </r>
  <r>
    <x v="1"/>
    <x v="4"/>
    <x v="0"/>
    <s v="completed"/>
    <n v="245"/>
    <x v="68"/>
    <x v="0"/>
  </r>
  <r>
    <x v="1"/>
    <x v="3"/>
    <x v="0"/>
    <s v="none"/>
    <n v="189"/>
    <x v="9"/>
    <x v="4"/>
  </r>
  <r>
    <x v="1"/>
    <x v="1"/>
    <x v="1"/>
    <s v="none"/>
    <n v="114"/>
    <x v="69"/>
    <x v="3"/>
  </r>
  <r>
    <x v="0"/>
    <x v="0"/>
    <x v="1"/>
    <s v="none"/>
    <n v="191"/>
    <x v="70"/>
    <x v="4"/>
  </r>
  <r>
    <x v="1"/>
    <x v="0"/>
    <x v="1"/>
    <s v="completed"/>
    <n v="151"/>
    <x v="6"/>
    <x v="3"/>
  </r>
  <r>
    <x v="0"/>
    <x v="0"/>
    <x v="0"/>
    <s v="completed"/>
    <n v="227"/>
    <x v="71"/>
    <x v="1"/>
  </r>
  <r>
    <x v="1"/>
    <x v="3"/>
    <x v="1"/>
    <s v="none"/>
    <n v="195"/>
    <x v="20"/>
    <x v="4"/>
  </r>
  <r>
    <x v="0"/>
    <x v="0"/>
    <x v="1"/>
    <s v="completed"/>
    <n v="234"/>
    <x v="72"/>
    <x v="1"/>
  </r>
  <r>
    <x v="0"/>
    <x v="4"/>
    <x v="0"/>
    <s v="none"/>
    <n v="289"/>
    <x v="73"/>
    <x v="2"/>
  </r>
  <r>
    <x v="1"/>
    <x v="0"/>
    <x v="1"/>
    <s v="none"/>
    <n v="172"/>
    <x v="74"/>
    <x v="3"/>
  </r>
  <r>
    <x v="1"/>
    <x v="1"/>
    <x v="1"/>
    <s v="none"/>
    <n v="153"/>
    <x v="42"/>
    <x v="3"/>
  </r>
  <r>
    <x v="0"/>
    <x v="4"/>
    <x v="0"/>
    <s v="none"/>
    <n v="217"/>
    <x v="8"/>
    <x v="1"/>
  </r>
  <r>
    <x v="0"/>
    <x v="0"/>
    <x v="1"/>
    <s v="none"/>
    <n v="258"/>
    <x v="75"/>
    <x v="0"/>
  </r>
  <r>
    <x v="0"/>
    <x v="0"/>
    <x v="0"/>
    <s v="none"/>
    <n v="262"/>
    <x v="76"/>
    <x v="0"/>
  </r>
  <r>
    <x v="1"/>
    <x v="0"/>
    <x v="0"/>
    <s v="none"/>
    <n v="241"/>
    <x v="77"/>
    <x v="0"/>
  </r>
  <r>
    <x v="1"/>
    <x v="0"/>
    <x v="1"/>
    <s v="none"/>
    <n v="197"/>
    <x v="26"/>
    <x v="4"/>
  </r>
  <r>
    <x v="1"/>
    <x v="3"/>
    <x v="1"/>
    <s v="none"/>
    <n v="164"/>
    <x v="78"/>
    <x v="3"/>
  </r>
  <r>
    <x v="0"/>
    <x v="0"/>
    <x v="0"/>
    <s v="none"/>
    <n v="256"/>
    <x v="79"/>
    <x v="0"/>
  </r>
  <r>
    <x v="0"/>
    <x v="0"/>
    <x v="0"/>
    <s v="none"/>
    <n v="154"/>
    <x v="80"/>
    <x v="3"/>
  </r>
  <r>
    <x v="0"/>
    <x v="3"/>
    <x v="1"/>
    <s v="completed"/>
    <n v="213"/>
    <x v="24"/>
    <x v="1"/>
  </r>
  <r>
    <x v="1"/>
    <x v="4"/>
    <x v="0"/>
    <s v="none"/>
    <n v="219"/>
    <x v="57"/>
    <x v="1"/>
  </r>
  <r>
    <x v="1"/>
    <x v="0"/>
    <x v="1"/>
    <s v="none"/>
    <n v="178"/>
    <x v="7"/>
    <x v="3"/>
  </r>
  <r>
    <x v="1"/>
    <x v="3"/>
    <x v="0"/>
    <s v="none"/>
    <n v="220"/>
    <x v="4"/>
    <x v="1"/>
  </r>
  <r>
    <x v="0"/>
    <x v="3"/>
    <x v="0"/>
    <s v="none"/>
    <n v="247"/>
    <x v="0"/>
    <x v="0"/>
  </r>
  <r>
    <x v="0"/>
    <x v="4"/>
    <x v="0"/>
    <s v="completed"/>
    <n v="213"/>
    <x v="24"/>
    <x v="1"/>
  </r>
  <r>
    <x v="1"/>
    <x v="3"/>
    <x v="0"/>
    <s v="none"/>
    <n v="172"/>
    <x v="74"/>
    <x v="3"/>
  </r>
  <r>
    <x v="1"/>
    <x v="4"/>
    <x v="0"/>
    <s v="none"/>
    <n v="187"/>
    <x v="23"/>
    <x v="4"/>
  </r>
  <r>
    <x v="1"/>
    <x v="3"/>
    <x v="1"/>
    <s v="none"/>
    <n v="203"/>
    <x v="81"/>
    <x v="4"/>
  </r>
  <r>
    <x v="0"/>
    <x v="0"/>
    <x v="1"/>
    <s v="none"/>
    <n v="104"/>
    <x v="82"/>
    <x v="3"/>
  </r>
  <r>
    <x v="0"/>
    <x v="3"/>
    <x v="0"/>
    <s v="completed"/>
    <n v="228"/>
    <x v="83"/>
    <x v="1"/>
  </r>
  <r>
    <x v="0"/>
    <x v="0"/>
    <x v="0"/>
    <s v="none"/>
    <n v="211"/>
    <x v="84"/>
    <x v="1"/>
  </r>
  <r>
    <x v="0"/>
    <x v="3"/>
    <x v="1"/>
    <s v="completed"/>
    <n v="223"/>
    <x v="43"/>
    <x v="1"/>
  </r>
  <r>
    <x v="1"/>
    <x v="1"/>
    <x v="0"/>
    <s v="completed"/>
    <n v="216"/>
    <x v="29"/>
    <x v="1"/>
  </r>
  <r>
    <x v="0"/>
    <x v="0"/>
    <x v="0"/>
    <s v="none"/>
    <n v="171"/>
    <x v="85"/>
    <x v="3"/>
  </r>
  <r>
    <x v="1"/>
    <x v="2"/>
    <x v="0"/>
    <s v="completed"/>
    <n v="164"/>
    <x v="78"/>
    <x v="3"/>
  </r>
  <r>
    <x v="0"/>
    <x v="1"/>
    <x v="1"/>
    <s v="completed"/>
    <n v="162"/>
    <x v="86"/>
    <x v="3"/>
  </r>
  <r>
    <x v="0"/>
    <x v="3"/>
    <x v="0"/>
    <s v="none"/>
    <n v="223"/>
    <x v="43"/>
    <x v="1"/>
  </r>
  <r>
    <x v="0"/>
    <x v="0"/>
    <x v="0"/>
    <s v="none"/>
    <n v="183"/>
    <x v="87"/>
    <x v="4"/>
  </r>
  <r>
    <x v="1"/>
    <x v="0"/>
    <x v="1"/>
    <s v="none"/>
    <n v="169"/>
    <x v="67"/>
    <x v="3"/>
  </r>
  <r>
    <x v="0"/>
    <x v="4"/>
    <x v="0"/>
    <s v="none"/>
    <n v="234"/>
    <x v="72"/>
    <x v="1"/>
  </r>
  <r>
    <x v="0"/>
    <x v="4"/>
    <x v="0"/>
    <s v="none"/>
    <n v="187"/>
    <x v="23"/>
    <x v="4"/>
  </r>
  <r>
    <x v="1"/>
    <x v="3"/>
    <x v="1"/>
    <s v="completed"/>
    <n v="192"/>
    <x v="88"/>
    <x v="4"/>
  </r>
  <r>
    <x v="0"/>
    <x v="0"/>
    <x v="0"/>
    <s v="none"/>
    <n v="183"/>
    <x v="87"/>
    <x v="4"/>
  </r>
  <r>
    <x v="1"/>
    <x v="2"/>
    <x v="0"/>
    <s v="completed"/>
    <n v="282"/>
    <x v="89"/>
    <x v="2"/>
  </r>
  <r>
    <x v="1"/>
    <x v="3"/>
    <x v="0"/>
    <s v="completed"/>
    <n v="296"/>
    <x v="90"/>
    <x v="2"/>
  </r>
  <r>
    <x v="1"/>
    <x v="3"/>
    <x v="1"/>
    <s v="none"/>
    <n v="152"/>
    <x v="91"/>
    <x v="3"/>
  </r>
  <r>
    <x v="1"/>
    <x v="3"/>
    <x v="0"/>
    <s v="none"/>
    <n v="201"/>
    <x v="32"/>
    <x v="4"/>
  </r>
  <r>
    <x v="1"/>
    <x v="4"/>
    <x v="0"/>
    <s v="none"/>
    <n v="236"/>
    <x v="28"/>
    <x v="1"/>
  </r>
  <r>
    <x v="0"/>
    <x v="3"/>
    <x v="0"/>
    <s v="completed"/>
    <n v="229"/>
    <x v="1"/>
    <x v="1"/>
  </r>
  <r>
    <x v="0"/>
    <x v="3"/>
    <x v="0"/>
    <s v="completed"/>
    <n v="269"/>
    <x v="92"/>
    <x v="0"/>
  </r>
  <r>
    <x v="0"/>
    <x v="1"/>
    <x v="0"/>
    <s v="none"/>
    <n v="196"/>
    <x v="93"/>
    <x v="4"/>
  </r>
  <r>
    <x v="1"/>
    <x v="0"/>
    <x v="1"/>
    <s v="none"/>
    <n v="224"/>
    <x v="94"/>
    <x v="1"/>
  </r>
  <r>
    <x v="0"/>
    <x v="3"/>
    <x v="1"/>
    <s v="none"/>
    <n v="195"/>
    <x v="20"/>
    <x v="4"/>
  </r>
  <r>
    <x v="0"/>
    <x v="0"/>
    <x v="1"/>
    <s v="completed"/>
    <n v="207"/>
    <x v="95"/>
    <x v="4"/>
  </r>
  <r>
    <x v="1"/>
    <x v="0"/>
    <x v="0"/>
    <s v="none"/>
    <n v="208"/>
    <x v="96"/>
    <x v="4"/>
  </r>
  <r>
    <x v="0"/>
    <x v="0"/>
    <x v="0"/>
    <s v="none"/>
    <n v="223"/>
    <x v="43"/>
    <x v="1"/>
  </r>
  <r>
    <x v="0"/>
    <x v="1"/>
    <x v="0"/>
    <s v="completed"/>
    <n v="180"/>
    <x v="36"/>
    <x v="4"/>
  </r>
  <r>
    <x v="0"/>
    <x v="4"/>
    <x v="0"/>
    <s v="completed"/>
    <n v="227"/>
    <x v="71"/>
    <x v="1"/>
  </r>
  <r>
    <x v="1"/>
    <x v="3"/>
    <x v="1"/>
    <s v="none"/>
    <n v="184"/>
    <x v="55"/>
    <x v="4"/>
  </r>
  <r>
    <x v="1"/>
    <x v="1"/>
    <x v="0"/>
    <s v="completed"/>
    <n v="196"/>
    <x v="93"/>
    <x v="4"/>
  </r>
  <r>
    <x v="1"/>
    <x v="4"/>
    <x v="0"/>
    <s v="completed"/>
    <n v="228"/>
    <x v="83"/>
    <x v="1"/>
  </r>
  <r>
    <x v="1"/>
    <x v="4"/>
    <x v="1"/>
    <s v="none"/>
    <n v="266"/>
    <x v="11"/>
    <x v="0"/>
  </r>
  <r>
    <x v="0"/>
    <x v="3"/>
    <x v="1"/>
    <s v="none"/>
    <n v="254"/>
    <x v="97"/>
    <x v="0"/>
  </r>
  <r>
    <x v="0"/>
    <x v="3"/>
    <x v="0"/>
    <s v="none"/>
    <n v="194"/>
    <x v="17"/>
    <x v="4"/>
  </r>
  <r>
    <x v="1"/>
    <x v="0"/>
    <x v="0"/>
    <s v="none"/>
    <n v="177"/>
    <x v="60"/>
    <x v="3"/>
  </r>
  <r>
    <x v="1"/>
    <x v="0"/>
    <x v="0"/>
    <s v="completed"/>
    <n v="267"/>
    <x v="53"/>
    <x v="0"/>
  </r>
  <r>
    <x v="0"/>
    <x v="3"/>
    <x v="0"/>
    <s v="none"/>
    <n v="297"/>
    <x v="98"/>
    <x v="2"/>
  </r>
  <r>
    <x v="0"/>
    <x v="0"/>
    <x v="1"/>
    <s v="none"/>
    <n v="204"/>
    <x v="99"/>
    <x v="4"/>
  </r>
  <r>
    <x v="1"/>
    <x v="1"/>
    <x v="0"/>
    <s v="none"/>
    <n v="131"/>
    <x v="100"/>
    <x v="3"/>
  </r>
  <r>
    <x v="1"/>
    <x v="4"/>
    <x v="0"/>
    <s v="completed"/>
    <n v="226"/>
    <x v="52"/>
    <x v="1"/>
  </r>
  <r>
    <x v="1"/>
    <x v="0"/>
    <x v="0"/>
    <s v="none"/>
    <n v="129"/>
    <x v="101"/>
    <x v="3"/>
  </r>
  <r>
    <x v="0"/>
    <x v="0"/>
    <x v="0"/>
    <s v="completed"/>
    <n v="270"/>
    <x v="102"/>
    <x v="2"/>
  </r>
  <r>
    <x v="0"/>
    <x v="4"/>
    <x v="1"/>
    <s v="none"/>
    <n v="168"/>
    <x v="63"/>
    <x v="3"/>
  </r>
  <r>
    <x v="0"/>
    <x v="1"/>
    <x v="1"/>
    <s v="completed"/>
    <n v="192"/>
    <x v="88"/>
    <x v="4"/>
  </r>
  <r>
    <x v="1"/>
    <x v="1"/>
    <x v="1"/>
    <s v="none"/>
    <n v="157"/>
    <x v="48"/>
    <x v="3"/>
  </r>
  <r>
    <x v="1"/>
    <x v="0"/>
    <x v="0"/>
    <s v="none"/>
    <n v="201"/>
    <x v="32"/>
    <x v="4"/>
  </r>
  <r>
    <x v="1"/>
    <x v="1"/>
    <x v="0"/>
    <s v="completed"/>
    <n v="257"/>
    <x v="21"/>
    <x v="0"/>
  </r>
  <r>
    <x v="1"/>
    <x v="4"/>
    <x v="0"/>
    <s v="none"/>
    <n v="205"/>
    <x v="22"/>
    <x v="4"/>
  </r>
  <r>
    <x v="1"/>
    <x v="3"/>
    <x v="0"/>
    <s v="none"/>
    <n v="165"/>
    <x v="103"/>
    <x v="3"/>
  </r>
  <r>
    <x v="0"/>
    <x v="3"/>
    <x v="1"/>
    <s v="completed"/>
    <n v="176"/>
    <x v="40"/>
    <x v="3"/>
  </r>
  <r>
    <x v="1"/>
    <x v="1"/>
    <x v="0"/>
    <s v="completed"/>
    <n v="223"/>
    <x v="43"/>
    <x v="1"/>
  </r>
  <r>
    <x v="1"/>
    <x v="3"/>
    <x v="0"/>
    <s v="none"/>
    <n v="182"/>
    <x v="61"/>
    <x v="4"/>
  </r>
  <r>
    <x v="1"/>
    <x v="2"/>
    <x v="1"/>
    <s v="none"/>
    <n v="175"/>
    <x v="15"/>
    <x v="3"/>
  </r>
  <r>
    <x v="1"/>
    <x v="1"/>
    <x v="0"/>
    <s v="none"/>
    <n v="191"/>
    <x v="70"/>
    <x v="4"/>
  </r>
  <r>
    <x v="0"/>
    <x v="0"/>
    <x v="1"/>
    <s v="none"/>
    <n v="122"/>
    <x v="3"/>
    <x v="3"/>
  </r>
  <r>
    <x v="0"/>
    <x v="2"/>
    <x v="0"/>
    <s v="completed"/>
    <n v="233"/>
    <x v="104"/>
    <x v="1"/>
  </r>
  <r>
    <x v="0"/>
    <x v="1"/>
    <x v="0"/>
    <s v="none"/>
    <n v="89"/>
    <x v="105"/>
    <x v="3"/>
  </r>
  <r>
    <x v="0"/>
    <x v="3"/>
    <x v="1"/>
    <s v="none"/>
    <n v="196"/>
    <x v="93"/>
    <x v="4"/>
  </r>
  <r>
    <x v="1"/>
    <x v="4"/>
    <x v="0"/>
    <s v="none"/>
    <n v="183"/>
    <x v="87"/>
    <x v="4"/>
  </r>
  <r>
    <x v="0"/>
    <x v="1"/>
    <x v="0"/>
    <s v="none"/>
    <n v="254"/>
    <x v="97"/>
    <x v="0"/>
  </r>
  <r>
    <x v="0"/>
    <x v="0"/>
    <x v="0"/>
    <s v="none"/>
    <n v="227"/>
    <x v="71"/>
    <x v="1"/>
  </r>
  <r>
    <x v="1"/>
    <x v="2"/>
    <x v="1"/>
    <s v="none"/>
    <n v="230"/>
    <x v="106"/>
    <x v="1"/>
  </r>
  <r>
    <x v="0"/>
    <x v="3"/>
    <x v="1"/>
    <s v="none"/>
    <n v="213"/>
    <x v="24"/>
    <x v="1"/>
  </r>
  <r>
    <x v="1"/>
    <x v="4"/>
    <x v="1"/>
    <s v="completed"/>
    <n v="152"/>
    <x v="91"/>
    <x v="3"/>
  </r>
  <r>
    <x v="0"/>
    <x v="2"/>
    <x v="1"/>
    <s v="none"/>
    <n v="178"/>
    <x v="7"/>
    <x v="3"/>
  </r>
  <r>
    <x v="1"/>
    <x v="1"/>
    <x v="0"/>
    <s v="none"/>
    <n v="153"/>
    <x v="42"/>
    <x v="3"/>
  </r>
  <r>
    <x v="1"/>
    <x v="1"/>
    <x v="1"/>
    <s v="completed"/>
    <n v="227"/>
    <x v="71"/>
    <x v="1"/>
  </r>
  <r>
    <x v="0"/>
    <x v="4"/>
    <x v="0"/>
    <s v="none"/>
    <n v="265"/>
    <x v="107"/>
    <x v="0"/>
  </r>
  <r>
    <x v="1"/>
    <x v="1"/>
    <x v="1"/>
    <s v="none"/>
    <n v="208"/>
    <x v="96"/>
    <x v="4"/>
  </r>
  <r>
    <x v="0"/>
    <x v="0"/>
    <x v="0"/>
    <s v="completed"/>
    <n v="222"/>
    <x v="66"/>
    <x v="1"/>
  </r>
  <r>
    <x v="1"/>
    <x v="3"/>
    <x v="0"/>
    <s v="completed"/>
    <n v="252"/>
    <x v="108"/>
    <x v="0"/>
  </r>
  <r>
    <x v="0"/>
    <x v="0"/>
    <x v="0"/>
    <s v="completed"/>
    <n v="218"/>
    <x v="65"/>
    <x v="1"/>
  </r>
  <r>
    <x v="1"/>
    <x v="0"/>
    <x v="1"/>
    <s v="none"/>
    <n v="210"/>
    <x v="5"/>
    <x v="1"/>
  </r>
  <r>
    <x v="1"/>
    <x v="3"/>
    <x v="0"/>
    <s v="none"/>
    <n v="247"/>
    <x v="0"/>
    <x v="0"/>
  </r>
  <r>
    <x v="0"/>
    <x v="3"/>
    <x v="1"/>
    <s v="none"/>
    <n v="208"/>
    <x v="96"/>
    <x v="4"/>
  </r>
  <r>
    <x v="0"/>
    <x v="4"/>
    <x v="0"/>
    <s v="completed"/>
    <n v="262"/>
    <x v="76"/>
    <x v="0"/>
  </r>
  <r>
    <x v="1"/>
    <x v="3"/>
    <x v="0"/>
    <s v="none"/>
    <n v="242"/>
    <x v="109"/>
    <x v="0"/>
  </r>
  <r>
    <x v="0"/>
    <x v="3"/>
    <x v="0"/>
    <s v="completed"/>
    <n v="254"/>
    <x v="97"/>
    <x v="0"/>
  </r>
  <r>
    <x v="0"/>
    <x v="2"/>
    <x v="0"/>
    <s v="none"/>
    <n v="235"/>
    <x v="19"/>
    <x v="1"/>
  </r>
  <r>
    <x v="0"/>
    <x v="4"/>
    <x v="0"/>
    <s v="none"/>
    <n v="204"/>
    <x v="99"/>
    <x v="4"/>
  </r>
  <r>
    <x v="1"/>
    <x v="1"/>
    <x v="0"/>
    <s v="completed"/>
    <n v="278"/>
    <x v="110"/>
    <x v="2"/>
  </r>
  <r>
    <x v="1"/>
    <x v="0"/>
    <x v="1"/>
    <s v="completed"/>
    <n v="211"/>
    <x v="84"/>
    <x v="1"/>
  </r>
  <r>
    <x v="1"/>
    <x v="3"/>
    <x v="1"/>
    <s v="none"/>
    <n v="181"/>
    <x v="18"/>
    <x v="4"/>
  </r>
  <r>
    <x v="1"/>
    <x v="3"/>
    <x v="1"/>
    <s v="none"/>
    <n v="191"/>
    <x v="70"/>
    <x v="4"/>
  </r>
  <r>
    <x v="1"/>
    <x v="3"/>
    <x v="0"/>
    <s v="completed"/>
    <n v="251"/>
    <x v="111"/>
    <x v="0"/>
  </r>
  <r>
    <x v="0"/>
    <x v="3"/>
    <x v="1"/>
    <s v="none"/>
    <n v="167"/>
    <x v="112"/>
    <x v="3"/>
  </r>
  <r>
    <x v="0"/>
    <x v="3"/>
    <x v="0"/>
    <s v="completed"/>
    <n v="235"/>
    <x v="19"/>
    <x v="1"/>
  </r>
  <r>
    <x v="0"/>
    <x v="0"/>
    <x v="0"/>
    <s v="none"/>
    <n v="200"/>
    <x v="59"/>
    <x v="4"/>
  </r>
  <r>
    <x v="1"/>
    <x v="0"/>
    <x v="0"/>
    <s v="none"/>
    <n v="252"/>
    <x v="108"/>
    <x v="0"/>
  </r>
  <r>
    <x v="0"/>
    <x v="2"/>
    <x v="0"/>
    <s v="none"/>
    <n v="178"/>
    <x v="7"/>
    <x v="3"/>
  </r>
  <r>
    <x v="1"/>
    <x v="3"/>
    <x v="0"/>
    <s v="none"/>
    <n v="187"/>
    <x v="23"/>
    <x v="4"/>
  </r>
  <r>
    <x v="0"/>
    <x v="3"/>
    <x v="0"/>
    <s v="none"/>
    <n v="204"/>
    <x v="99"/>
    <x v="4"/>
  </r>
  <r>
    <x v="1"/>
    <x v="0"/>
    <x v="0"/>
    <s v="none"/>
    <n v="186"/>
    <x v="113"/>
    <x v="4"/>
  </r>
  <r>
    <x v="0"/>
    <x v="3"/>
    <x v="1"/>
    <s v="none"/>
    <n v="175"/>
    <x v="15"/>
    <x v="3"/>
  </r>
  <r>
    <x v="0"/>
    <x v="2"/>
    <x v="0"/>
    <s v="none"/>
    <n v="184"/>
    <x v="55"/>
    <x v="4"/>
  </r>
  <r>
    <x v="0"/>
    <x v="0"/>
    <x v="0"/>
    <s v="completed"/>
    <n v="223"/>
    <x v="43"/>
    <x v="1"/>
  </r>
  <r>
    <x v="1"/>
    <x v="1"/>
    <x v="1"/>
    <s v="completed"/>
    <n v="182"/>
    <x v="61"/>
    <x v="4"/>
  </r>
  <r>
    <x v="0"/>
    <x v="2"/>
    <x v="0"/>
    <s v="completed"/>
    <n v="256"/>
    <x v="79"/>
    <x v="0"/>
  </r>
  <r>
    <x v="0"/>
    <x v="3"/>
    <x v="1"/>
    <s v="completed"/>
    <n v="236"/>
    <x v="28"/>
    <x v="1"/>
  </r>
  <r>
    <x v="0"/>
    <x v="3"/>
    <x v="0"/>
    <s v="completed"/>
    <n v="223"/>
    <x v="43"/>
    <x v="1"/>
  </r>
  <r>
    <x v="0"/>
    <x v="3"/>
    <x v="1"/>
    <s v="none"/>
    <n v="249"/>
    <x v="51"/>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
  <r>
    <x v="0"/>
    <x v="0"/>
    <x v="0"/>
    <x v="0"/>
    <n v="222"/>
    <n v="55"/>
    <s v="C"/>
  </r>
  <r>
    <x v="0"/>
    <x v="1"/>
    <x v="1"/>
    <x v="0"/>
    <n v="78"/>
    <n v="177"/>
    <s v="F"/>
  </r>
  <r>
    <x v="0"/>
    <x v="0"/>
    <x v="0"/>
    <x v="0"/>
    <n v="215"/>
    <n v="68"/>
    <s v="C"/>
  </r>
  <r>
    <x v="0"/>
    <x v="2"/>
    <x v="1"/>
    <x v="0"/>
    <n v="173"/>
    <n v="126"/>
    <s v="F"/>
  </r>
  <r>
    <x v="0"/>
    <x v="0"/>
    <x v="1"/>
    <x v="1"/>
    <n v="242"/>
    <n v="25"/>
    <s v="B"/>
  </r>
  <r>
    <x v="0"/>
    <x v="0"/>
    <x v="1"/>
    <x v="0"/>
    <n v="27"/>
    <n v="179"/>
    <s v="F"/>
  </r>
  <r>
    <x v="1"/>
    <x v="3"/>
    <x v="1"/>
    <x v="0"/>
    <n v="112"/>
    <n v="173"/>
    <s v="F"/>
  </r>
  <r>
    <x v="0"/>
    <x v="2"/>
    <x v="0"/>
    <x v="0"/>
    <n v="176"/>
    <n v="120"/>
    <s v="F"/>
  </r>
  <r>
    <x v="1"/>
    <x v="1"/>
    <x v="0"/>
    <x v="0"/>
    <n v="192"/>
    <n v="103"/>
    <s v="D"/>
  </r>
  <r>
    <x v="1"/>
    <x v="2"/>
    <x v="1"/>
    <x v="0"/>
    <n v="119"/>
    <n v="170"/>
    <s v="F"/>
  </r>
  <r>
    <x v="1"/>
    <x v="0"/>
    <x v="1"/>
    <x v="0"/>
    <n v="174"/>
    <n v="124"/>
    <s v="F"/>
  </r>
  <r>
    <x v="1"/>
    <x v="0"/>
    <x v="0"/>
    <x v="0"/>
    <n v="139"/>
    <n v="162"/>
    <s v="F"/>
  </r>
  <r>
    <x v="1"/>
    <x v="4"/>
    <x v="0"/>
    <x v="0"/>
    <n v="78"/>
    <n v="177"/>
    <s v="F"/>
  </r>
  <r>
    <x v="0"/>
    <x v="2"/>
    <x v="0"/>
    <x v="1"/>
    <n v="207"/>
    <n v="78"/>
    <s v="D"/>
  </r>
  <r>
    <x v="0"/>
    <x v="2"/>
    <x v="0"/>
    <x v="0"/>
    <n v="241"/>
    <n v="28"/>
    <s v="B"/>
  </r>
  <r>
    <x v="1"/>
    <x v="1"/>
    <x v="0"/>
    <x v="1"/>
    <n v="193"/>
    <n v="101"/>
    <s v="D"/>
  </r>
  <r>
    <x v="0"/>
    <x v="1"/>
    <x v="0"/>
    <x v="0"/>
    <n v="206"/>
    <n v="80"/>
    <s v="D"/>
  </r>
  <r>
    <x v="0"/>
    <x v="2"/>
    <x v="0"/>
    <x v="0"/>
    <n v="175"/>
    <n v="122"/>
    <s v="F"/>
  </r>
  <r>
    <x v="1"/>
    <x v="1"/>
    <x v="0"/>
    <x v="0"/>
    <n v="207"/>
    <n v="78"/>
    <s v="D"/>
  </r>
  <r>
    <x v="1"/>
    <x v="0"/>
    <x v="1"/>
    <x v="1"/>
    <n v="130"/>
    <n v="165"/>
    <s v="F"/>
  </r>
  <r>
    <x v="1"/>
    <x v="1"/>
    <x v="0"/>
    <x v="1"/>
    <n v="146"/>
    <n v="154"/>
    <s v="F"/>
  </r>
  <r>
    <x v="0"/>
    <x v="2"/>
    <x v="0"/>
    <x v="0"/>
    <n v="219"/>
    <n v="62"/>
    <s v="C"/>
  </r>
  <r>
    <x v="1"/>
    <x v="1"/>
    <x v="0"/>
    <x v="0"/>
    <n v="247"/>
    <n v="20"/>
    <s v="B"/>
  </r>
  <r>
    <x v="1"/>
    <x v="3"/>
    <x v="0"/>
    <x v="1"/>
    <n v="198"/>
    <n v="92"/>
    <s v="D"/>
  </r>
  <r>
    <x v="1"/>
    <x v="2"/>
    <x v="0"/>
    <x v="0"/>
    <n v="190"/>
    <n v="106"/>
    <s v="D"/>
  </r>
  <r>
    <x v="1"/>
    <x v="4"/>
    <x v="0"/>
    <x v="0"/>
    <n v="260"/>
    <n v="7"/>
    <s v="B"/>
  </r>
  <r>
    <x v="0"/>
    <x v="2"/>
    <x v="0"/>
    <x v="1"/>
    <n v="297"/>
    <n v="1"/>
    <s v="A"/>
  </r>
  <r>
    <x v="1"/>
    <x v="0"/>
    <x v="1"/>
    <x v="1"/>
    <n v="146"/>
    <n v="154"/>
    <s v="F"/>
  </r>
  <r>
    <x v="1"/>
    <x v="2"/>
    <x v="0"/>
    <x v="1"/>
    <n v="196"/>
    <n v="97"/>
    <s v="D"/>
  </r>
  <r>
    <x v="1"/>
    <x v="1"/>
    <x v="1"/>
    <x v="0"/>
    <n v="145"/>
    <n v="157"/>
    <s v="F"/>
  </r>
  <r>
    <x v="0"/>
    <x v="1"/>
    <x v="0"/>
    <x v="0"/>
    <n v="192"/>
    <n v="103"/>
    <s v="D"/>
  </r>
  <r>
    <x v="1"/>
    <x v="0"/>
    <x v="1"/>
    <x v="1"/>
    <n v="193"/>
    <n v="101"/>
    <s v="D"/>
  </r>
  <r>
    <x v="1"/>
    <x v="2"/>
    <x v="0"/>
    <x v="1"/>
    <n v="223"/>
    <n v="54"/>
    <s v="C"/>
  </r>
  <r>
    <x v="1"/>
    <x v="2"/>
    <x v="1"/>
    <x v="1"/>
    <n v="238"/>
    <n v="31"/>
    <s v="C"/>
  </r>
  <r>
    <x v="1"/>
    <x v="1"/>
    <x v="0"/>
    <x v="1"/>
    <n v="242"/>
    <n v="25"/>
    <s v="B"/>
  </r>
  <r>
    <x v="1"/>
    <x v="1"/>
    <x v="0"/>
    <x v="1"/>
    <n v="173"/>
    <n v="126"/>
    <s v="F"/>
  </r>
  <r>
    <x v="0"/>
    <x v="0"/>
    <x v="1"/>
    <x v="0"/>
    <n v="182"/>
    <n v="112"/>
    <s v="D"/>
  </r>
  <r>
    <x v="1"/>
    <x v="2"/>
    <x v="0"/>
    <x v="0"/>
    <n v="241"/>
    <n v="28"/>
    <s v="B"/>
  </r>
  <r>
    <x v="1"/>
    <x v="3"/>
    <x v="1"/>
    <x v="0"/>
    <n v="204"/>
    <n v="83"/>
    <s v="D"/>
  </r>
  <r>
    <x v="1"/>
    <x v="4"/>
    <x v="0"/>
    <x v="0"/>
    <n v="257"/>
    <n v="10"/>
    <s v="B"/>
  </r>
  <r>
    <x v="0"/>
    <x v="2"/>
    <x v="0"/>
    <x v="1"/>
    <n v="198"/>
    <n v="92"/>
    <s v="D"/>
  </r>
  <r>
    <x v="1"/>
    <x v="2"/>
    <x v="0"/>
    <x v="0"/>
    <n v="218"/>
    <n v="64"/>
    <s v="C"/>
  </r>
  <r>
    <x v="1"/>
    <x v="3"/>
    <x v="0"/>
    <x v="1"/>
    <n v="145"/>
    <n v="157"/>
    <s v="F"/>
  </r>
  <r>
    <x v="0"/>
    <x v="1"/>
    <x v="0"/>
    <x v="1"/>
    <n v="200"/>
    <n v="90"/>
    <s v="D"/>
  </r>
  <r>
    <x v="0"/>
    <x v="0"/>
    <x v="1"/>
    <x v="1"/>
    <n v="220"/>
    <n v="57"/>
    <s v="C"/>
  </r>
  <r>
    <x v="0"/>
    <x v="0"/>
    <x v="1"/>
    <x v="0"/>
    <n v="145"/>
    <n v="157"/>
    <s v="F"/>
  </r>
  <r>
    <x v="1"/>
    <x v="2"/>
    <x v="1"/>
    <x v="0"/>
    <n v="142"/>
    <n v="161"/>
    <s v="F"/>
  </r>
  <r>
    <x v="0"/>
    <x v="0"/>
    <x v="0"/>
    <x v="1"/>
    <n v="270"/>
    <n v="4"/>
    <s v="A"/>
  </r>
  <r>
    <x v="0"/>
    <x v="0"/>
    <x v="1"/>
    <x v="0"/>
    <n v="231"/>
    <n v="41"/>
    <s v="C"/>
  </r>
  <r>
    <x v="0"/>
    <x v="1"/>
    <x v="0"/>
    <x v="0"/>
    <n v="129"/>
    <n v="167"/>
    <s v="F"/>
  </r>
  <r>
    <x v="0"/>
    <x v="1"/>
    <x v="0"/>
    <x v="0"/>
    <n v="238"/>
    <n v="31"/>
    <s v="C"/>
  </r>
  <r>
    <x v="1"/>
    <x v="4"/>
    <x v="0"/>
    <x v="1"/>
    <n v="230"/>
    <n v="45"/>
    <s v="C"/>
  </r>
  <r>
    <x v="1"/>
    <x v="2"/>
    <x v="0"/>
    <x v="0"/>
    <n v="229"/>
    <n v="46"/>
    <s v="C"/>
  </r>
  <r>
    <x v="1"/>
    <x v="0"/>
    <x v="0"/>
    <x v="1"/>
    <n v="180"/>
    <n v="114"/>
    <s v="D"/>
  </r>
  <r>
    <x v="1"/>
    <x v="3"/>
    <x v="0"/>
    <x v="1"/>
    <n v="130"/>
    <n v="165"/>
    <s v="F"/>
  </r>
  <r>
    <x v="1"/>
    <x v="2"/>
    <x v="1"/>
    <x v="0"/>
    <n v="162"/>
    <n v="137"/>
    <s v="F"/>
  </r>
  <r>
    <x v="1"/>
    <x v="0"/>
    <x v="0"/>
    <x v="0"/>
    <n v="147"/>
    <n v="152"/>
    <s v="F"/>
  </r>
  <r>
    <x v="0"/>
    <x v="0"/>
    <x v="1"/>
    <x v="0"/>
    <n v="149"/>
    <n v="151"/>
    <s v="F"/>
  </r>
  <r>
    <x v="0"/>
    <x v="1"/>
    <x v="0"/>
    <x v="0"/>
    <n v="147"/>
    <n v="152"/>
    <s v="F"/>
  </r>
  <r>
    <x v="1"/>
    <x v="2"/>
    <x v="0"/>
    <x v="1"/>
    <n v="215"/>
    <n v="68"/>
    <s v="C"/>
  </r>
  <r>
    <x v="0"/>
    <x v="1"/>
    <x v="1"/>
    <x v="0"/>
    <n v="89"/>
    <n v="176"/>
    <s v="F"/>
  </r>
  <r>
    <x v="0"/>
    <x v="2"/>
    <x v="1"/>
    <x v="1"/>
    <n v="150"/>
    <n v="149"/>
    <s v="F"/>
  </r>
  <r>
    <x v="1"/>
    <x v="1"/>
    <x v="0"/>
    <x v="1"/>
    <n v="247"/>
    <n v="20"/>
    <s v="B"/>
  </r>
  <r>
    <x v="0"/>
    <x v="2"/>
    <x v="1"/>
    <x v="0"/>
    <n v="93"/>
    <n v="175"/>
    <s v="F"/>
  </r>
  <r>
    <x v="0"/>
    <x v="3"/>
    <x v="1"/>
    <x v="0"/>
    <n v="166"/>
    <n v="135"/>
    <s v="F"/>
  </r>
  <r>
    <x v="0"/>
    <x v="2"/>
    <x v="0"/>
    <x v="0"/>
    <n v="242"/>
    <n v="25"/>
    <s v="B"/>
  </r>
  <r>
    <x v="1"/>
    <x v="2"/>
    <x v="0"/>
    <x v="0"/>
    <n v="220"/>
    <n v="57"/>
    <s v="C"/>
  </r>
  <r>
    <x v="0"/>
    <x v="2"/>
    <x v="0"/>
    <x v="0"/>
    <n v="252"/>
    <n v="12"/>
    <s v="B"/>
  </r>
  <r>
    <x v="0"/>
    <x v="3"/>
    <x v="0"/>
    <x v="0"/>
    <n v="231"/>
    <n v="41"/>
    <s v="C"/>
  </r>
  <r>
    <x v="0"/>
    <x v="4"/>
    <x v="1"/>
    <x v="0"/>
    <n v="132"/>
    <n v="164"/>
    <s v="F"/>
  </r>
  <r>
    <x v="0"/>
    <x v="3"/>
    <x v="1"/>
    <x v="0"/>
    <n v="124"/>
    <n v="169"/>
    <s v="F"/>
  </r>
  <r>
    <x v="1"/>
    <x v="4"/>
    <x v="1"/>
    <x v="1"/>
    <n v="199"/>
    <n v="91"/>
    <s v="D"/>
  </r>
  <r>
    <x v="0"/>
    <x v="0"/>
    <x v="0"/>
    <x v="1"/>
    <n v="216"/>
    <n v="66"/>
    <s v="C"/>
  </r>
  <r>
    <x v="1"/>
    <x v="1"/>
    <x v="0"/>
    <x v="0"/>
    <n v="194"/>
    <n v="100"/>
    <s v="D"/>
  </r>
  <r>
    <x v="1"/>
    <x v="2"/>
    <x v="0"/>
    <x v="0"/>
    <n v="173"/>
    <n v="126"/>
    <s v="F"/>
  </r>
  <r>
    <x v="0"/>
    <x v="0"/>
    <x v="0"/>
    <x v="1"/>
    <n v="180"/>
    <n v="114"/>
    <s v="D"/>
  </r>
  <r>
    <x v="0"/>
    <x v="0"/>
    <x v="0"/>
    <x v="0"/>
    <n v="204"/>
    <n v="83"/>
    <s v="D"/>
  </r>
  <r>
    <x v="1"/>
    <x v="1"/>
    <x v="0"/>
    <x v="1"/>
    <n v="197"/>
    <n v="96"/>
    <s v="D"/>
  </r>
  <r>
    <x v="0"/>
    <x v="3"/>
    <x v="0"/>
    <x v="1"/>
    <n v="224"/>
    <n v="53"/>
    <s v="C"/>
  </r>
  <r>
    <x v="1"/>
    <x v="0"/>
    <x v="1"/>
    <x v="0"/>
    <n v="205"/>
    <n v="81"/>
    <s v="D"/>
  </r>
  <r>
    <x v="1"/>
    <x v="3"/>
    <x v="1"/>
    <x v="0"/>
    <n v="177"/>
    <n v="117"/>
    <s v="F"/>
  </r>
  <r>
    <x v="1"/>
    <x v="0"/>
    <x v="1"/>
    <x v="0"/>
    <n v="185"/>
    <n v="109"/>
    <s v="D"/>
  </r>
  <r>
    <x v="0"/>
    <x v="3"/>
    <x v="1"/>
    <x v="0"/>
    <n v="156"/>
    <n v="143"/>
    <s v="F"/>
  </r>
  <r>
    <x v="1"/>
    <x v="0"/>
    <x v="0"/>
    <x v="0"/>
    <n v="205"/>
    <n v="81"/>
    <s v="D"/>
  </r>
  <r>
    <x v="1"/>
    <x v="2"/>
    <x v="0"/>
    <x v="1"/>
    <n v="259"/>
    <n v="9"/>
    <s v="B"/>
  </r>
  <r>
    <x v="0"/>
    <x v="3"/>
    <x v="1"/>
    <x v="0"/>
    <n v="201"/>
    <n v="88"/>
    <s v="D"/>
  </r>
  <r>
    <x v="1"/>
    <x v="3"/>
    <x v="1"/>
    <x v="0"/>
    <n v="234"/>
    <n v="38"/>
    <s v="C"/>
  </r>
  <r>
    <x v="0"/>
    <x v="0"/>
    <x v="0"/>
    <x v="1"/>
    <n v="218"/>
    <n v="64"/>
    <s v="C"/>
  </r>
  <r>
    <x v="0"/>
    <x v="2"/>
    <x v="0"/>
    <x v="0"/>
    <n v="187"/>
    <n v="107"/>
    <s v="D"/>
  </r>
  <r>
    <x v="1"/>
    <x v="1"/>
    <x v="0"/>
    <x v="1"/>
    <n v="174"/>
    <n v="124"/>
    <s v="F"/>
  </r>
  <r>
    <x v="0"/>
    <x v="1"/>
    <x v="0"/>
    <x v="0"/>
    <n v="203"/>
    <n v="86"/>
    <s v="D"/>
  </r>
  <r>
    <x v="0"/>
    <x v="1"/>
    <x v="0"/>
    <x v="0"/>
    <n v="244"/>
    <n v="24"/>
    <s v="B"/>
  </r>
  <r>
    <x v="1"/>
    <x v="3"/>
    <x v="0"/>
    <x v="0"/>
    <n v="157"/>
    <n v="142"/>
    <s v="F"/>
  </r>
  <r>
    <x v="1"/>
    <x v="2"/>
    <x v="1"/>
    <x v="0"/>
    <n v="163"/>
    <n v="136"/>
    <s v="F"/>
  </r>
  <r>
    <x v="0"/>
    <x v="1"/>
    <x v="0"/>
    <x v="1"/>
    <n v="177"/>
    <n v="117"/>
    <s v="F"/>
  </r>
  <r>
    <x v="0"/>
    <x v="0"/>
    <x v="0"/>
    <x v="1"/>
    <n v="248"/>
    <n v="18"/>
    <s v="B"/>
  </r>
  <r>
    <x v="0"/>
    <x v="2"/>
    <x v="0"/>
    <x v="1"/>
    <n v="222"/>
    <n v="55"/>
    <s v="C"/>
  </r>
  <r>
    <x v="1"/>
    <x v="0"/>
    <x v="1"/>
    <x v="1"/>
    <n v="177"/>
    <n v="117"/>
    <s v="F"/>
  </r>
  <r>
    <x v="0"/>
    <x v="0"/>
    <x v="0"/>
    <x v="0"/>
    <n v="154"/>
    <n v="147"/>
    <s v="F"/>
  </r>
  <r>
    <x v="1"/>
    <x v="4"/>
    <x v="1"/>
    <x v="1"/>
    <n v="241"/>
    <n v="28"/>
    <s v="B"/>
  </r>
  <r>
    <x v="0"/>
    <x v="3"/>
    <x v="0"/>
    <x v="1"/>
    <n v="289"/>
    <n v="2"/>
    <s v="A"/>
  </r>
  <r>
    <x v="1"/>
    <x v="0"/>
    <x v="1"/>
    <x v="0"/>
    <n v="220"/>
    <n v="57"/>
    <s v="C"/>
  </r>
  <r>
    <x v="1"/>
    <x v="2"/>
    <x v="0"/>
    <x v="0"/>
    <n v="201"/>
    <n v="88"/>
    <s v="D"/>
  </r>
  <r>
    <x v="0"/>
    <x v="2"/>
    <x v="0"/>
    <x v="0"/>
    <n v="274"/>
    <n v="3"/>
    <s v="A"/>
  </r>
  <r>
    <x v="0"/>
    <x v="4"/>
    <x v="0"/>
    <x v="0"/>
    <n v="236"/>
    <n v="35"/>
    <s v="C"/>
  </r>
  <r>
    <x v="0"/>
    <x v="3"/>
    <x v="0"/>
    <x v="0"/>
    <n v="179"/>
    <n v="116"/>
    <s v="F"/>
  </r>
  <r>
    <x v="1"/>
    <x v="3"/>
    <x v="0"/>
    <x v="0"/>
    <n v="183"/>
    <n v="111"/>
    <s v="D"/>
  </r>
  <r>
    <x v="1"/>
    <x v="3"/>
    <x v="0"/>
    <x v="0"/>
    <n v="155"/>
    <n v="144"/>
    <s v="F"/>
  </r>
  <r>
    <x v="0"/>
    <x v="2"/>
    <x v="0"/>
    <x v="0"/>
    <n v="228"/>
    <n v="48"/>
    <s v="C"/>
  </r>
  <r>
    <x v="1"/>
    <x v="0"/>
    <x v="0"/>
    <x v="0"/>
    <n v="209"/>
    <n v="75"/>
    <s v="D"/>
  </r>
  <r>
    <x v="0"/>
    <x v="0"/>
    <x v="0"/>
    <x v="1"/>
    <n v="150"/>
    <n v="149"/>
    <s v="F"/>
  </r>
  <r>
    <x v="1"/>
    <x v="2"/>
    <x v="0"/>
    <x v="0"/>
    <n v="248"/>
    <n v="18"/>
    <s v="B"/>
  </r>
  <r>
    <x v="0"/>
    <x v="2"/>
    <x v="0"/>
    <x v="1"/>
    <n v="260"/>
    <n v="7"/>
    <s v="B"/>
  </r>
  <r>
    <x v="0"/>
    <x v="1"/>
    <x v="1"/>
    <x v="0"/>
    <n v="232"/>
    <n v="39"/>
    <s v="C"/>
  </r>
  <r>
    <x v="1"/>
    <x v="0"/>
    <x v="1"/>
    <x v="1"/>
    <n v="160"/>
    <n v="139"/>
    <s v="F"/>
  </r>
  <r>
    <x v="0"/>
    <x v="1"/>
    <x v="0"/>
    <x v="0"/>
    <n v="231"/>
    <n v="41"/>
    <s v="C"/>
  </r>
  <r>
    <x v="1"/>
    <x v="2"/>
    <x v="0"/>
    <x v="0"/>
    <n v="196"/>
    <n v="97"/>
    <s v="D"/>
  </r>
  <r>
    <x v="1"/>
    <x v="0"/>
    <x v="0"/>
    <x v="0"/>
    <n v="202"/>
    <n v="87"/>
    <s v="D"/>
  </r>
  <r>
    <x v="0"/>
    <x v="0"/>
    <x v="1"/>
    <x v="1"/>
    <n v="170"/>
    <n v="132"/>
    <s v="F"/>
  </r>
  <r>
    <x v="0"/>
    <x v="0"/>
    <x v="0"/>
    <x v="1"/>
    <n v="228"/>
    <n v="48"/>
    <s v="C"/>
  </r>
  <r>
    <x v="0"/>
    <x v="0"/>
    <x v="1"/>
    <x v="1"/>
    <n v="113"/>
    <n v="172"/>
    <s v="F"/>
  </r>
  <r>
    <x v="0"/>
    <x v="0"/>
    <x v="0"/>
    <x v="0"/>
    <n v="168"/>
    <n v="134"/>
    <s v="F"/>
  </r>
  <r>
    <x v="0"/>
    <x v="1"/>
    <x v="0"/>
    <x v="0"/>
    <n v="196"/>
    <n v="97"/>
    <s v="D"/>
  </r>
  <r>
    <x v="0"/>
    <x v="1"/>
    <x v="1"/>
    <x v="1"/>
    <n v="186"/>
    <n v="108"/>
    <s v="D"/>
  </r>
  <r>
    <x v="0"/>
    <x v="4"/>
    <x v="0"/>
    <x v="1"/>
    <n v="250"/>
    <n v="15"/>
    <s v="B"/>
  </r>
  <r>
    <x v="0"/>
    <x v="1"/>
    <x v="0"/>
    <x v="1"/>
    <n v="204"/>
    <n v="83"/>
    <s v="D"/>
  </r>
  <r>
    <x v="1"/>
    <x v="2"/>
    <x v="1"/>
    <x v="1"/>
    <n v="173"/>
    <n v="126"/>
    <s v="F"/>
  </r>
  <r>
    <x v="0"/>
    <x v="1"/>
    <x v="1"/>
    <x v="1"/>
    <n v="252"/>
    <n v="12"/>
    <s v="B"/>
  </r>
  <r>
    <x v="1"/>
    <x v="4"/>
    <x v="0"/>
    <x v="1"/>
    <n v="176"/>
    <n v="120"/>
    <s v="F"/>
  </r>
  <r>
    <x v="1"/>
    <x v="3"/>
    <x v="1"/>
    <x v="0"/>
    <n v="144"/>
    <n v="160"/>
    <s v="F"/>
  </r>
  <r>
    <x v="1"/>
    <x v="2"/>
    <x v="0"/>
    <x v="0"/>
    <n v="146"/>
    <n v="154"/>
    <s v="F"/>
  </r>
  <r>
    <x v="1"/>
    <x v="2"/>
    <x v="0"/>
    <x v="1"/>
    <n v="208"/>
    <n v="76"/>
    <s v="D"/>
  </r>
  <r>
    <x v="0"/>
    <x v="0"/>
    <x v="0"/>
    <x v="1"/>
    <n v="252"/>
    <n v="12"/>
    <s v="B"/>
  </r>
  <r>
    <x v="0"/>
    <x v="2"/>
    <x v="0"/>
    <x v="0"/>
    <n v="160"/>
    <n v="139"/>
    <s v="F"/>
  </r>
  <r>
    <x v="1"/>
    <x v="2"/>
    <x v="0"/>
    <x v="1"/>
    <n v="245"/>
    <n v="23"/>
    <s v="B"/>
  </r>
  <r>
    <x v="0"/>
    <x v="2"/>
    <x v="0"/>
    <x v="0"/>
    <n v="214"/>
    <n v="70"/>
    <s v="C"/>
  </r>
  <r>
    <x v="0"/>
    <x v="1"/>
    <x v="1"/>
    <x v="1"/>
    <n v="191"/>
    <n v="105"/>
    <s v="D"/>
  </r>
  <r>
    <x v="0"/>
    <x v="1"/>
    <x v="1"/>
    <x v="0"/>
    <n v="162"/>
    <n v="137"/>
    <s v="F"/>
  </r>
  <r>
    <x v="0"/>
    <x v="1"/>
    <x v="0"/>
    <x v="1"/>
    <n v="127"/>
    <n v="168"/>
    <s v="F"/>
  </r>
  <r>
    <x v="0"/>
    <x v="4"/>
    <x v="1"/>
    <x v="0"/>
    <n v="228"/>
    <n v="48"/>
    <s v="C"/>
  </r>
  <r>
    <x v="1"/>
    <x v="4"/>
    <x v="0"/>
    <x v="1"/>
    <n v="250"/>
    <n v="15"/>
    <s v="B"/>
  </r>
  <r>
    <x v="1"/>
    <x v="0"/>
    <x v="0"/>
    <x v="1"/>
    <n v="208"/>
    <n v="76"/>
    <s v="D"/>
  </r>
  <r>
    <x v="1"/>
    <x v="0"/>
    <x v="0"/>
    <x v="1"/>
    <n v="229"/>
    <n v="46"/>
    <s v="C"/>
  </r>
  <r>
    <x v="1"/>
    <x v="3"/>
    <x v="0"/>
    <x v="0"/>
    <n v="118"/>
    <n v="171"/>
    <s v="F"/>
  </r>
  <r>
    <x v="1"/>
    <x v="4"/>
    <x v="0"/>
    <x v="1"/>
    <n v="247"/>
    <n v="20"/>
    <s v="B"/>
  </r>
  <r>
    <x v="1"/>
    <x v="1"/>
    <x v="0"/>
    <x v="1"/>
    <n v="267"/>
    <n v="5"/>
    <s v="B"/>
  </r>
  <r>
    <x v="0"/>
    <x v="0"/>
    <x v="0"/>
    <x v="0"/>
    <n v="256"/>
    <n v="11"/>
    <s v="B"/>
  </r>
  <r>
    <x v="0"/>
    <x v="3"/>
    <x v="0"/>
    <x v="1"/>
    <n v="267"/>
    <n v="5"/>
    <s v="B"/>
  </r>
  <r>
    <x v="0"/>
    <x v="0"/>
    <x v="1"/>
    <x v="0"/>
    <n v="158"/>
    <n v="141"/>
    <s v="F"/>
  </r>
  <r>
    <x v="0"/>
    <x v="0"/>
    <x v="0"/>
    <x v="0"/>
    <n v="210"/>
    <n v="73"/>
    <s v="C"/>
  </r>
  <r>
    <x v="0"/>
    <x v="2"/>
    <x v="1"/>
    <x v="1"/>
    <n v="236"/>
    <n v="35"/>
    <s v="C"/>
  </r>
  <r>
    <x v="1"/>
    <x v="1"/>
    <x v="0"/>
    <x v="0"/>
    <n v="175"/>
    <n v="122"/>
    <s v="F"/>
  </r>
  <r>
    <x v="1"/>
    <x v="0"/>
    <x v="0"/>
    <x v="0"/>
    <n v="173"/>
    <n v="126"/>
    <s v="F"/>
  </r>
  <r>
    <x v="0"/>
    <x v="2"/>
    <x v="1"/>
    <x v="1"/>
    <n v="169"/>
    <n v="133"/>
    <s v="F"/>
  </r>
  <r>
    <x v="1"/>
    <x v="4"/>
    <x v="0"/>
    <x v="0"/>
    <n v="210"/>
    <n v="73"/>
    <s v="C"/>
  </r>
  <r>
    <x v="1"/>
    <x v="0"/>
    <x v="0"/>
    <x v="0"/>
    <n v="181"/>
    <n v="113"/>
    <s v="D"/>
  </r>
  <r>
    <x v="1"/>
    <x v="0"/>
    <x v="0"/>
    <x v="0"/>
    <n v="172"/>
    <n v="131"/>
    <s v="F"/>
  </r>
  <r>
    <x v="0"/>
    <x v="2"/>
    <x v="0"/>
    <x v="0"/>
    <n v="211"/>
    <n v="72"/>
    <s v="C"/>
  </r>
  <r>
    <x v="1"/>
    <x v="2"/>
    <x v="0"/>
    <x v="1"/>
    <n v="237"/>
    <n v="33"/>
    <s v="C"/>
  </r>
  <r>
    <x v="0"/>
    <x v="4"/>
    <x v="1"/>
    <x v="0"/>
    <n v="104"/>
    <n v="174"/>
    <s v="F"/>
  </r>
  <r>
    <x v="0"/>
    <x v="1"/>
    <x v="1"/>
    <x v="1"/>
    <n v="220"/>
    <n v="57"/>
    <s v="C"/>
  </r>
  <r>
    <x v="0"/>
    <x v="2"/>
    <x v="0"/>
    <x v="1"/>
    <n v="225"/>
    <n v="51"/>
    <s v="C"/>
  </r>
  <r>
    <x v="0"/>
    <x v="2"/>
    <x v="1"/>
    <x v="0"/>
    <n v="235"/>
    <n v="37"/>
    <s v="C"/>
  </r>
  <r>
    <x v="1"/>
    <x v="4"/>
    <x v="0"/>
    <x v="1"/>
    <n v="198"/>
    <n v="92"/>
    <s v="D"/>
  </r>
  <r>
    <x v="0"/>
    <x v="0"/>
    <x v="1"/>
    <x v="0"/>
    <n v="155"/>
    <n v="144"/>
    <s v="F"/>
  </r>
  <r>
    <x v="1"/>
    <x v="2"/>
    <x v="0"/>
    <x v="1"/>
    <n v="214"/>
    <n v="70"/>
    <s v="C"/>
  </r>
  <r>
    <x v="1"/>
    <x v="3"/>
    <x v="1"/>
    <x v="1"/>
    <n v="184"/>
    <n v="110"/>
    <s v="D"/>
  </r>
  <r>
    <x v="1"/>
    <x v="1"/>
    <x v="1"/>
    <x v="1"/>
    <n v="151"/>
    <n v="148"/>
    <s v="F"/>
  </r>
  <r>
    <x v="0"/>
    <x v="4"/>
    <x v="1"/>
    <x v="0"/>
    <n v="220"/>
    <n v="57"/>
    <s v="C"/>
  </r>
  <r>
    <x v="0"/>
    <x v="2"/>
    <x v="1"/>
    <x v="0"/>
    <n v="155"/>
    <n v="144"/>
    <s v="F"/>
  </r>
  <r>
    <x v="0"/>
    <x v="0"/>
    <x v="1"/>
    <x v="1"/>
    <n v="216"/>
    <n v="66"/>
    <s v="C"/>
  </r>
  <r>
    <x v="1"/>
    <x v="3"/>
    <x v="0"/>
    <x v="1"/>
    <n v="198"/>
    <n v="92"/>
    <s v="D"/>
  </r>
  <r>
    <x v="1"/>
    <x v="0"/>
    <x v="0"/>
    <x v="1"/>
    <n v="219"/>
    <n v="62"/>
    <s v="C"/>
  </r>
  <r>
    <x v="1"/>
    <x v="2"/>
    <x v="0"/>
    <x v="0"/>
    <n v="237"/>
    <n v="33"/>
    <s v="C"/>
  </r>
  <r>
    <x v="1"/>
    <x v="1"/>
    <x v="0"/>
    <x v="1"/>
    <n v="250"/>
    <n v="15"/>
    <s v="B"/>
  </r>
  <r>
    <x v="0"/>
    <x v="0"/>
    <x v="0"/>
    <x v="0"/>
    <n v="231"/>
    <n v="41"/>
    <s v="C"/>
  </r>
  <r>
    <x v="1"/>
    <x v="4"/>
    <x v="0"/>
    <x v="1"/>
    <n v="232"/>
    <n v="39"/>
    <s v="C"/>
  </r>
  <r>
    <x v="0"/>
    <x v="3"/>
    <x v="1"/>
    <x v="0"/>
    <n v="134"/>
    <n v="163"/>
    <s v="F"/>
  </r>
  <r>
    <x v="0"/>
    <x v="1"/>
    <x v="0"/>
    <x v="1"/>
    <n v="225"/>
    <n v="51"/>
    <s v="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03B3D-6E89-4662-9A11-E9E6B3BA409A}"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ace" colHeaderCaption="Lunch and Test Prep">
  <location ref="N6:U24" firstHeaderRow="1" firstDataRow="3" firstDataCol="1"/>
  <pivotFields count="7">
    <pivotField axis="axisRow" showAll="0">
      <items count="3">
        <item x="0"/>
        <item x="1"/>
        <item t="default"/>
      </items>
    </pivotField>
    <pivotField axis="axisRow" showAll="0">
      <items count="6">
        <item x="3"/>
        <item x="1"/>
        <item x="0"/>
        <item x="2"/>
        <item x="4"/>
        <item t="default"/>
      </items>
    </pivotField>
    <pivotField axis="axisCol" showAll="0">
      <items count="3">
        <item x="1"/>
        <item x="0"/>
        <item t="default"/>
      </items>
    </pivotField>
    <pivotField axis="axisCol" showAll="0">
      <items count="3">
        <item x="1"/>
        <item x="0"/>
        <item t="default"/>
      </items>
    </pivotField>
    <pivotField dataField="1" numFmtId="1" showAll="0"/>
    <pivotField numFmtId="1" showAll="0"/>
    <pivotField showAll="0"/>
  </pivotFields>
  <rowFields count="2">
    <field x="1"/>
    <field x="0"/>
  </rowFields>
  <rowItems count="16">
    <i>
      <x/>
    </i>
    <i r="1">
      <x/>
    </i>
    <i r="1">
      <x v="1"/>
    </i>
    <i>
      <x v="1"/>
    </i>
    <i r="1">
      <x/>
    </i>
    <i r="1">
      <x v="1"/>
    </i>
    <i>
      <x v="2"/>
    </i>
    <i r="1">
      <x/>
    </i>
    <i r="1">
      <x v="1"/>
    </i>
    <i>
      <x v="3"/>
    </i>
    <i r="1">
      <x/>
    </i>
    <i r="1">
      <x v="1"/>
    </i>
    <i>
      <x v="4"/>
    </i>
    <i r="1">
      <x/>
    </i>
    <i r="1">
      <x v="1"/>
    </i>
    <i t="grand">
      <x/>
    </i>
  </rowItems>
  <colFields count="2">
    <field x="3"/>
    <field x="2"/>
  </colFields>
  <colItems count="7">
    <i>
      <x/>
      <x/>
    </i>
    <i r="1">
      <x v="1"/>
    </i>
    <i t="default">
      <x/>
    </i>
    <i>
      <x v="1"/>
      <x/>
    </i>
    <i r="1">
      <x v="1"/>
    </i>
    <i t="default">
      <x v="1"/>
    </i>
    <i t="grand">
      <x/>
    </i>
  </colItems>
  <dataFields count="1">
    <dataField name="Sum of Total Score" fld="4" baseField="0" baseItem="0" numFmtId="1"/>
  </dataFields>
  <formats count="85">
    <format dxfId="461">
      <pivotArea outline="0" collapsedLevelsAreSubtotals="1" fieldPosition="0">
        <references count="2">
          <reference field="2" count="1" selected="0">
            <x v="0"/>
          </reference>
          <reference field="3" count="1" selected="0">
            <x v="0"/>
          </reference>
        </references>
      </pivotArea>
    </format>
    <format dxfId="460">
      <pivotArea field="3" type="button" dataOnly="0" labelOnly="1" outline="0" axis="axisCol" fieldPosition="0"/>
    </format>
    <format dxfId="459">
      <pivotArea dataOnly="0" labelOnly="1" fieldPosition="0">
        <references count="1">
          <reference field="3" count="1">
            <x v="0"/>
          </reference>
        </references>
      </pivotArea>
    </format>
    <format dxfId="458">
      <pivotArea dataOnly="0" labelOnly="1" fieldPosition="0">
        <references count="2">
          <reference field="2" count="1">
            <x v="0"/>
          </reference>
          <reference field="3" count="1" selected="0">
            <x v="0"/>
          </reference>
        </references>
      </pivotArea>
    </format>
    <format dxfId="457">
      <pivotArea outline="0" collapsedLevelsAreSubtotals="1" fieldPosition="0">
        <references count="1">
          <reference field="3" count="1" selected="0" defaultSubtotal="1">
            <x v="0"/>
          </reference>
        </references>
      </pivotArea>
    </format>
    <format dxfId="456">
      <pivotArea type="topRight" dataOnly="0" labelOnly="1" outline="0" fieldPosition="0"/>
    </format>
    <format dxfId="455">
      <pivotArea dataOnly="0" labelOnly="1" fieldPosition="0">
        <references count="1">
          <reference field="3" count="1" defaultSubtotal="1">
            <x v="0"/>
          </reference>
        </references>
      </pivotArea>
    </format>
    <format dxfId="454">
      <pivotArea outline="0" collapsedLevelsAreSubtotals="1" fieldPosition="0">
        <references count="2">
          <reference field="2" count="1" selected="0">
            <x v="0"/>
          </reference>
          <reference field="3" count="1" selected="0">
            <x v="1"/>
          </reference>
        </references>
      </pivotArea>
    </format>
    <format dxfId="453">
      <pivotArea type="all" dataOnly="0" outline="0" fieldPosition="0"/>
    </format>
    <format dxfId="452">
      <pivotArea field="1" type="button" dataOnly="0" labelOnly="1" outline="0" axis="axisRow" fieldPosition="0"/>
    </format>
    <format dxfId="451">
      <pivotArea dataOnly="0" labelOnly="1" fieldPosition="0">
        <references count="1">
          <reference field="3" count="0"/>
        </references>
      </pivotArea>
    </format>
    <format dxfId="450">
      <pivotArea dataOnly="0" labelOnly="1" fieldPosition="0">
        <references count="1">
          <reference field="3" count="0" defaultSubtotal="1"/>
        </references>
      </pivotArea>
    </format>
    <format dxfId="449">
      <pivotArea dataOnly="0" labelOnly="1" grandCol="1" outline="0" fieldPosition="0"/>
    </format>
    <format dxfId="448">
      <pivotArea dataOnly="0" labelOnly="1" fieldPosition="0">
        <references count="2">
          <reference field="2" count="0"/>
          <reference field="3" count="1" selected="0">
            <x v="0"/>
          </reference>
        </references>
      </pivotArea>
    </format>
    <format dxfId="447">
      <pivotArea dataOnly="0" labelOnly="1" fieldPosition="0">
        <references count="2">
          <reference field="2" count="0"/>
          <reference field="3" count="1" selected="0">
            <x v="1"/>
          </reference>
        </references>
      </pivotArea>
    </format>
    <format dxfId="446">
      <pivotArea collapsedLevelsAreSubtotals="1" fieldPosition="0">
        <references count="3">
          <reference field="1" count="1">
            <x v="0"/>
          </reference>
          <reference field="2" count="1" selected="0">
            <x v="0"/>
          </reference>
          <reference field="3" count="1" selected="0">
            <x v="0"/>
          </reference>
        </references>
      </pivotArea>
    </format>
    <format dxfId="445">
      <pivotArea collapsedLevelsAreSubtotals="1" fieldPosition="0">
        <references count="4">
          <reference field="0" count="0"/>
          <reference field="1" count="1" selected="0">
            <x v="0"/>
          </reference>
          <reference field="2" count="1" selected="0">
            <x v="0"/>
          </reference>
          <reference field="3" count="1" selected="0">
            <x v="0"/>
          </reference>
        </references>
      </pivotArea>
    </format>
    <format dxfId="444">
      <pivotArea collapsedLevelsAreSubtotals="1" fieldPosition="0">
        <references count="3">
          <reference field="1" count="1">
            <x v="1"/>
          </reference>
          <reference field="2" count="1" selected="0">
            <x v="0"/>
          </reference>
          <reference field="3" count="1" selected="0">
            <x v="0"/>
          </reference>
        </references>
      </pivotArea>
    </format>
    <format dxfId="443">
      <pivotArea collapsedLevelsAreSubtotals="1" fieldPosition="0">
        <references count="4">
          <reference field="0" count="0"/>
          <reference field="1" count="1" selected="0">
            <x v="1"/>
          </reference>
          <reference field="2" count="1" selected="0">
            <x v="0"/>
          </reference>
          <reference field="3" count="1" selected="0">
            <x v="0"/>
          </reference>
        </references>
      </pivotArea>
    </format>
    <format dxfId="442">
      <pivotArea collapsedLevelsAreSubtotals="1" fieldPosition="0">
        <references count="3">
          <reference field="1" count="1">
            <x v="2"/>
          </reference>
          <reference field="2" count="1" selected="0">
            <x v="0"/>
          </reference>
          <reference field="3" count="1" selected="0">
            <x v="0"/>
          </reference>
        </references>
      </pivotArea>
    </format>
    <format dxfId="441">
      <pivotArea collapsedLevelsAreSubtotals="1" fieldPosition="0">
        <references count="4">
          <reference field="0" count="0"/>
          <reference field="1" count="1" selected="0">
            <x v="2"/>
          </reference>
          <reference field="2" count="1" selected="0">
            <x v="0"/>
          </reference>
          <reference field="3" count="1" selected="0">
            <x v="0"/>
          </reference>
        </references>
      </pivotArea>
    </format>
    <format dxfId="440">
      <pivotArea collapsedLevelsAreSubtotals="1" fieldPosition="0">
        <references count="3">
          <reference field="1" count="1">
            <x v="3"/>
          </reference>
          <reference field="2" count="1" selected="0">
            <x v="0"/>
          </reference>
          <reference field="3" count="1" selected="0">
            <x v="0"/>
          </reference>
        </references>
      </pivotArea>
    </format>
    <format dxfId="439">
      <pivotArea collapsedLevelsAreSubtotals="1" fieldPosition="0">
        <references count="4">
          <reference field="0" count="0"/>
          <reference field="1" count="1" selected="0">
            <x v="3"/>
          </reference>
          <reference field="2" count="1" selected="0">
            <x v="0"/>
          </reference>
          <reference field="3" count="1" selected="0">
            <x v="0"/>
          </reference>
        </references>
      </pivotArea>
    </format>
    <format dxfId="438">
      <pivotArea collapsedLevelsAreSubtotals="1" fieldPosition="0">
        <references count="3">
          <reference field="1" count="1">
            <x v="4"/>
          </reference>
          <reference field="2" count="1" selected="0">
            <x v="0"/>
          </reference>
          <reference field="3" count="1" selected="0">
            <x v="0"/>
          </reference>
        </references>
      </pivotArea>
    </format>
    <format dxfId="437">
      <pivotArea collapsedLevelsAreSubtotals="1" fieldPosition="0">
        <references count="4">
          <reference field="0" count="0"/>
          <reference field="1" count="1" selected="0">
            <x v="4"/>
          </reference>
          <reference field="2" count="1" selected="0">
            <x v="0"/>
          </reference>
          <reference field="3" count="1" selected="0">
            <x v="0"/>
          </reference>
        </references>
      </pivotArea>
    </format>
    <format dxfId="436">
      <pivotArea field="3" type="button" dataOnly="0" labelOnly="1" outline="0" axis="axisCol" fieldPosition="0"/>
    </format>
    <format dxfId="435">
      <pivotArea dataOnly="0" labelOnly="1" offset="A256" fieldPosition="0">
        <references count="1">
          <reference field="3" count="1">
            <x v="0"/>
          </reference>
        </references>
      </pivotArea>
    </format>
    <format dxfId="434">
      <pivotArea dataOnly="0" labelOnly="1" fieldPosition="0">
        <references count="2">
          <reference field="2" count="1">
            <x v="0"/>
          </reference>
          <reference field="3" count="1" selected="0">
            <x v="0"/>
          </reference>
        </references>
      </pivotArea>
    </format>
    <format dxfId="433">
      <pivotArea collapsedLevelsAreSubtotals="1" fieldPosition="0">
        <references count="2">
          <reference field="1" count="1">
            <x v="0"/>
          </reference>
          <reference field="3" count="1" selected="0" defaultSubtotal="1">
            <x v="0"/>
          </reference>
        </references>
      </pivotArea>
    </format>
    <format dxfId="432">
      <pivotArea collapsedLevelsAreSubtotals="1" fieldPosition="0">
        <references count="3">
          <reference field="1" count="1">
            <x v="0"/>
          </reference>
          <reference field="2" count="1" selected="0">
            <x v="0"/>
          </reference>
          <reference field="3" count="1" selected="0">
            <x v="1"/>
          </reference>
        </references>
      </pivotArea>
    </format>
    <format dxfId="431">
      <pivotArea collapsedLevelsAreSubtotals="1" fieldPosition="0">
        <references count="3">
          <reference field="0" count="0"/>
          <reference field="1" count="1" selected="0">
            <x v="0"/>
          </reference>
          <reference field="3" count="1" selected="0" defaultSubtotal="1">
            <x v="0"/>
          </reference>
        </references>
      </pivotArea>
    </format>
    <format dxfId="430">
      <pivotArea collapsedLevelsAreSubtotals="1" fieldPosition="0">
        <references count="4">
          <reference field="0" count="0"/>
          <reference field="1" count="1" selected="0">
            <x v="0"/>
          </reference>
          <reference field="2" count="1" selected="0">
            <x v="0"/>
          </reference>
          <reference field="3" count="1" selected="0">
            <x v="1"/>
          </reference>
        </references>
      </pivotArea>
    </format>
    <format dxfId="429">
      <pivotArea collapsedLevelsAreSubtotals="1" fieldPosition="0">
        <references count="2">
          <reference field="1" count="1">
            <x v="1"/>
          </reference>
          <reference field="3" count="1" selected="0" defaultSubtotal="1">
            <x v="0"/>
          </reference>
        </references>
      </pivotArea>
    </format>
    <format dxfId="428">
      <pivotArea collapsedLevelsAreSubtotals="1" fieldPosition="0">
        <references count="3">
          <reference field="1" count="1">
            <x v="1"/>
          </reference>
          <reference field="2" count="1" selected="0">
            <x v="0"/>
          </reference>
          <reference field="3" count="1" selected="0">
            <x v="1"/>
          </reference>
        </references>
      </pivotArea>
    </format>
    <format dxfId="427">
      <pivotArea collapsedLevelsAreSubtotals="1" fieldPosition="0">
        <references count="3">
          <reference field="0" count="0"/>
          <reference field="1" count="1" selected="0">
            <x v="1"/>
          </reference>
          <reference field="3" count="1" selected="0" defaultSubtotal="1">
            <x v="0"/>
          </reference>
        </references>
      </pivotArea>
    </format>
    <format dxfId="426">
      <pivotArea collapsedLevelsAreSubtotals="1" fieldPosition="0">
        <references count="4">
          <reference field="0" count="0"/>
          <reference field="1" count="1" selected="0">
            <x v="1"/>
          </reference>
          <reference field="2" count="1" selected="0">
            <x v="0"/>
          </reference>
          <reference field="3" count="1" selected="0">
            <x v="1"/>
          </reference>
        </references>
      </pivotArea>
    </format>
    <format dxfId="425">
      <pivotArea collapsedLevelsAreSubtotals="1" fieldPosition="0">
        <references count="2">
          <reference field="1" count="1">
            <x v="2"/>
          </reference>
          <reference field="3" count="1" selected="0" defaultSubtotal="1">
            <x v="0"/>
          </reference>
        </references>
      </pivotArea>
    </format>
    <format dxfId="424">
      <pivotArea collapsedLevelsAreSubtotals="1" fieldPosition="0">
        <references count="3">
          <reference field="1" count="1">
            <x v="2"/>
          </reference>
          <reference field="2" count="1" selected="0">
            <x v="0"/>
          </reference>
          <reference field="3" count="1" selected="0">
            <x v="1"/>
          </reference>
        </references>
      </pivotArea>
    </format>
    <format dxfId="423">
      <pivotArea collapsedLevelsAreSubtotals="1" fieldPosition="0">
        <references count="3">
          <reference field="0" count="0"/>
          <reference field="1" count="1" selected="0">
            <x v="2"/>
          </reference>
          <reference field="3" count="1" selected="0" defaultSubtotal="1">
            <x v="0"/>
          </reference>
        </references>
      </pivotArea>
    </format>
    <format dxfId="422">
      <pivotArea collapsedLevelsAreSubtotals="1" fieldPosition="0">
        <references count="4">
          <reference field="0" count="0"/>
          <reference field="1" count="1" selected="0">
            <x v="2"/>
          </reference>
          <reference field="2" count="1" selected="0">
            <x v="0"/>
          </reference>
          <reference field="3" count="1" selected="0">
            <x v="1"/>
          </reference>
        </references>
      </pivotArea>
    </format>
    <format dxfId="421">
      <pivotArea collapsedLevelsAreSubtotals="1" fieldPosition="0">
        <references count="2">
          <reference field="1" count="1">
            <x v="3"/>
          </reference>
          <reference field="3" count="1" selected="0" defaultSubtotal="1">
            <x v="0"/>
          </reference>
        </references>
      </pivotArea>
    </format>
    <format dxfId="420">
      <pivotArea collapsedLevelsAreSubtotals="1" fieldPosition="0">
        <references count="3">
          <reference field="1" count="1">
            <x v="3"/>
          </reference>
          <reference field="2" count="1" selected="0">
            <x v="0"/>
          </reference>
          <reference field="3" count="1" selected="0">
            <x v="1"/>
          </reference>
        </references>
      </pivotArea>
    </format>
    <format dxfId="419">
      <pivotArea collapsedLevelsAreSubtotals="1" fieldPosition="0">
        <references count="3">
          <reference field="0" count="0"/>
          <reference field="1" count="1" selected="0">
            <x v="3"/>
          </reference>
          <reference field="3" count="1" selected="0" defaultSubtotal="1">
            <x v="0"/>
          </reference>
        </references>
      </pivotArea>
    </format>
    <format dxfId="418">
      <pivotArea collapsedLevelsAreSubtotals="1" fieldPosition="0">
        <references count="4">
          <reference field="0" count="0"/>
          <reference field="1" count="1" selected="0">
            <x v="3"/>
          </reference>
          <reference field="2" count="1" selected="0">
            <x v="0"/>
          </reference>
          <reference field="3" count="1" selected="0">
            <x v="1"/>
          </reference>
        </references>
      </pivotArea>
    </format>
    <format dxfId="417">
      <pivotArea collapsedLevelsAreSubtotals="1" fieldPosition="0">
        <references count="2">
          <reference field="1" count="1">
            <x v="4"/>
          </reference>
          <reference field="3" count="1" selected="0" defaultSubtotal="1">
            <x v="0"/>
          </reference>
        </references>
      </pivotArea>
    </format>
    <format dxfId="416">
      <pivotArea collapsedLevelsAreSubtotals="1" fieldPosition="0">
        <references count="3">
          <reference field="1" count="1">
            <x v="4"/>
          </reference>
          <reference field="2" count="1" selected="0">
            <x v="0"/>
          </reference>
          <reference field="3" count="1" selected="0">
            <x v="1"/>
          </reference>
        </references>
      </pivotArea>
    </format>
    <format dxfId="415">
      <pivotArea collapsedLevelsAreSubtotals="1" fieldPosition="0">
        <references count="3">
          <reference field="0" count="0"/>
          <reference field="1" count="1" selected="0">
            <x v="4"/>
          </reference>
          <reference field="3" count="1" selected="0" defaultSubtotal="1">
            <x v="0"/>
          </reference>
        </references>
      </pivotArea>
    </format>
    <format dxfId="414">
      <pivotArea collapsedLevelsAreSubtotals="1" fieldPosition="0">
        <references count="4">
          <reference field="0" count="0"/>
          <reference field="1" count="1" selected="0">
            <x v="4"/>
          </reference>
          <reference field="2" count="1" selected="0">
            <x v="0"/>
          </reference>
          <reference field="3" count="1" selected="0">
            <x v="1"/>
          </reference>
        </references>
      </pivotArea>
    </format>
    <format dxfId="413">
      <pivotArea type="topRight" dataOnly="0" labelOnly="1" outline="0" offset="A1:B1" fieldPosition="0"/>
    </format>
    <format dxfId="412">
      <pivotArea dataOnly="0" labelOnly="1" fieldPosition="0">
        <references count="1">
          <reference field="3" count="1" defaultSubtotal="1">
            <x v="0"/>
          </reference>
        </references>
      </pivotArea>
    </format>
    <format dxfId="411">
      <pivotArea dataOnly="0" labelOnly="1" offset="A256" fieldPosition="0">
        <references count="1">
          <reference field="3" count="1">
            <x v="1"/>
          </reference>
        </references>
      </pivotArea>
    </format>
    <format dxfId="410">
      <pivotArea dataOnly="0" labelOnly="1" fieldPosition="0">
        <references count="2">
          <reference field="2" count="1">
            <x v="0"/>
          </reference>
          <reference field="3" count="1" selected="0">
            <x v="1"/>
          </reference>
        </references>
      </pivotArea>
    </format>
    <format dxfId="409">
      <pivotArea type="origin" dataOnly="0" labelOnly="1" outline="0" fieldPosition="0"/>
    </format>
    <format dxfId="408">
      <pivotArea field="3" type="button" dataOnly="0" labelOnly="1" outline="0" axis="axisCol" fieldPosition="0"/>
    </format>
    <format dxfId="407">
      <pivotArea field="2" type="button" dataOnly="0" labelOnly="1" outline="0" axis="axisCol" fieldPosition="1"/>
    </format>
    <format dxfId="406">
      <pivotArea type="topRight" dataOnly="0" labelOnly="1" outline="0" fieldPosition="0"/>
    </format>
    <format dxfId="405">
      <pivotArea dataOnly="0" labelOnly="1" fieldPosition="0">
        <references count="1">
          <reference field="3" count="1">
            <x v="0"/>
          </reference>
        </references>
      </pivotArea>
    </format>
    <format dxfId="404">
      <pivotArea dataOnly="0" labelOnly="1" offset="IV1" fieldPosition="0">
        <references count="1">
          <reference field="3" count="1" defaultSubtotal="1">
            <x v="0"/>
          </reference>
        </references>
      </pivotArea>
    </format>
    <format dxfId="403">
      <pivotArea dataOnly="0" labelOnly="1" fieldPosition="0">
        <references count="1">
          <reference field="3" count="1">
            <x v="1"/>
          </reference>
        </references>
      </pivotArea>
    </format>
    <format dxfId="402">
      <pivotArea dataOnly="0" labelOnly="1" offset="IV1" fieldPosition="0">
        <references count="1">
          <reference field="3" count="1" defaultSubtotal="1">
            <x v="1"/>
          </reference>
        </references>
      </pivotArea>
    </format>
    <format dxfId="401">
      <pivotArea dataOnly="0" labelOnly="1" grandCol="1" outline="0" offset="IV1" fieldPosition="0"/>
    </format>
    <format dxfId="400">
      <pivotArea dataOnly="0" outline="0" fieldPosition="0">
        <references count="1">
          <reference field="3" count="0" defaultSubtotal="1"/>
        </references>
      </pivotArea>
    </format>
    <format dxfId="399">
      <pivotArea dataOnly="0" fieldPosition="0">
        <references count="1">
          <reference field="1" count="0"/>
        </references>
      </pivotArea>
    </format>
    <format dxfId="398">
      <pivotArea field="0" dataOnly="0" grandRow="1" axis="axisRow" fieldPosition="1">
        <references count="1">
          <reference field="0" count="0" defaultSubtotal="1" sumSubtotal="1" countASubtotal="1" avgSubtotal="1" maxSubtotal="1" minSubtotal="1" productSubtotal="1" countSubtotal="1" stdDevSubtotal="1" stdDevPSubtotal="1" varSubtotal="1" varPSubtotal="1"/>
        </references>
      </pivotArea>
    </format>
    <format dxfId="397">
      <pivotArea dataOnly="0" fieldPosition="0">
        <references count="2">
          <reference field="0" count="0"/>
          <reference field="1" count="0" selected="0"/>
        </references>
      </pivotArea>
    </format>
    <format dxfId="396">
      <pivotArea dataOnly="0" labelOnly="1" fieldPosition="0">
        <references count="2">
          <reference field="0" count="1">
            <x v="1"/>
          </reference>
          <reference field="1" count="1" selected="0">
            <x v="4"/>
          </reference>
        </references>
      </pivotArea>
    </format>
    <format dxfId="395">
      <pivotArea dataOnly="0" labelOnly="1" fieldPosition="0">
        <references count="2">
          <reference field="0" count="1">
            <x v="0"/>
          </reference>
          <reference field="1" count="1" selected="0">
            <x v="4"/>
          </reference>
        </references>
      </pivotArea>
    </format>
    <format dxfId="394">
      <pivotArea dataOnly="0" labelOnly="1" fieldPosition="0">
        <references count="2">
          <reference field="0" count="1">
            <x v="1"/>
          </reference>
          <reference field="1" count="1" selected="0">
            <x v="3"/>
          </reference>
        </references>
      </pivotArea>
    </format>
    <format dxfId="393">
      <pivotArea dataOnly="0" labelOnly="1" fieldPosition="0">
        <references count="2">
          <reference field="0" count="1">
            <x v="0"/>
          </reference>
          <reference field="1" count="1" selected="0">
            <x v="3"/>
          </reference>
        </references>
      </pivotArea>
    </format>
    <format dxfId="392">
      <pivotArea dataOnly="0" labelOnly="1" fieldPosition="0">
        <references count="2">
          <reference field="0" count="1">
            <x v="1"/>
          </reference>
          <reference field="1" count="1" selected="0">
            <x v="2"/>
          </reference>
        </references>
      </pivotArea>
    </format>
    <format dxfId="391">
      <pivotArea dataOnly="0" labelOnly="1" fieldPosition="0">
        <references count="2">
          <reference field="0" count="1">
            <x v="0"/>
          </reference>
          <reference field="1" count="1" selected="0">
            <x v="2"/>
          </reference>
        </references>
      </pivotArea>
    </format>
    <format dxfId="390">
      <pivotArea dataOnly="0" labelOnly="1" fieldPosition="0">
        <references count="2">
          <reference field="0" count="1">
            <x v="1"/>
          </reference>
          <reference field="1" count="1" selected="0">
            <x v="1"/>
          </reference>
        </references>
      </pivotArea>
    </format>
    <format dxfId="389">
      <pivotArea dataOnly="0" labelOnly="1" fieldPosition="0">
        <references count="2">
          <reference field="0" count="1">
            <x v="0"/>
          </reference>
          <reference field="1" count="1" selected="0">
            <x v="1"/>
          </reference>
        </references>
      </pivotArea>
    </format>
    <format dxfId="388">
      <pivotArea dataOnly="0" labelOnly="1" fieldPosition="0">
        <references count="2">
          <reference field="0" count="1">
            <x v="1"/>
          </reference>
          <reference field="1" count="1" selected="0">
            <x v="0"/>
          </reference>
        </references>
      </pivotArea>
    </format>
    <format dxfId="387">
      <pivotArea dataOnly="0" labelOnly="1" fieldPosition="0">
        <references count="2">
          <reference field="0" count="1">
            <x v="0"/>
          </reference>
          <reference field="1" count="1" selected="0">
            <x v="0"/>
          </reference>
        </references>
      </pivotArea>
    </format>
    <format dxfId="386">
      <pivotArea dataOnly="0" labelOnly="1" fieldPosition="0">
        <references count="2">
          <reference field="0" count="1">
            <x v="1"/>
          </reference>
          <reference field="1" count="1" selected="0">
            <x v="4"/>
          </reference>
        </references>
      </pivotArea>
    </format>
    <format dxfId="385">
      <pivotArea dataOnly="0" labelOnly="1" fieldPosition="0">
        <references count="2">
          <reference field="0" count="1">
            <x v="0"/>
          </reference>
          <reference field="1" count="1" selected="0">
            <x v="4"/>
          </reference>
        </references>
      </pivotArea>
    </format>
    <format dxfId="384">
      <pivotArea dataOnly="0" labelOnly="1" fieldPosition="0">
        <references count="2">
          <reference field="0" count="1">
            <x v="1"/>
          </reference>
          <reference field="1" count="1" selected="0">
            <x v="3"/>
          </reference>
        </references>
      </pivotArea>
    </format>
    <format dxfId="383">
      <pivotArea dataOnly="0" labelOnly="1" fieldPosition="0">
        <references count="2">
          <reference field="0" count="1">
            <x v="0"/>
          </reference>
          <reference field="1" count="1" selected="0">
            <x v="3"/>
          </reference>
        </references>
      </pivotArea>
    </format>
    <format dxfId="382">
      <pivotArea dataOnly="0" labelOnly="1" fieldPosition="0">
        <references count="2">
          <reference field="0" count="1">
            <x v="1"/>
          </reference>
          <reference field="1" count="1" selected="0">
            <x v="2"/>
          </reference>
        </references>
      </pivotArea>
    </format>
    <format dxfId="381">
      <pivotArea dataOnly="0" labelOnly="1" fieldPosition="0">
        <references count="2">
          <reference field="0" count="1">
            <x v="0"/>
          </reference>
          <reference field="1" count="1" selected="0">
            <x v="2"/>
          </reference>
        </references>
      </pivotArea>
    </format>
    <format dxfId="380">
      <pivotArea dataOnly="0" labelOnly="1" fieldPosition="0">
        <references count="2">
          <reference field="0" count="1">
            <x v="1"/>
          </reference>
          <reference field="1" count="1" selected="0">
            <x v="1"/>
          </reference>
        </references>
      </pivotArea>
    </format>
    <format dxfId="379">
      <pivotArea dataOnly="0" labelOnly="1" fieldPosition="0">
        <references count="2">
          <reference field="0" count="1">
            <x v="0"/>
          </reference>
          <reference field="1" count="1" selected="0">
            <x v="1"/>
          </reference>
        </references>
      </pivotArea>
    </format>
    <format dxfId="378">
      <pivotArea dataOnly="0" labelOnly="1" fieldPosition="0">
        <references count="2">
          <reference field="0" count="1">
            <x v="1"/>
          </reference>
          <reference field="1" count="1" selected="0">
            <x v="0"/>
          </reference>
        </references>
      </pivotArea>
    </format>
    <format dxfId="377">
      <pivotArea dataOnly="0" labelOnly="1" fieldPosition="0">
        <references count="2">
          <reference field="0" count="1">
            <x v="0"/>
          </reference>
          <reference field="1" count="1" selected="0">
            <x v="0"/>
          </reference>
        </references>
      </pivotArea>
    </format>
  </formats>
  <chartFormats count="8">
    <chartFormat chart="0" format="0" series="1">
      <pivotArea type="data" outline="0" fieldPosition="0">
        <references count="3">
          <reference field="4294967294" count="1" selected="0">
            <x v="0"/>
          </reference>
          <reference field="2" count="1" selected="0">
            <x v="0"/>
          </reference>
          <reference field="3" count="1" selected="0">
            <x v="0"/>
          </reference>
        </references>
      </pivotArea>
    </chartFormat>
    <chartFormat chart="0" format="1" series="1">
      <pivotArea type="data" outline="0" fieldPosition="0">
        <references count="3">
          <reference field="4294967294" count="1" selected="0">
            <x v="0"/>
          </reference>
          <reference field="2" count="1" selected="0">
            <x v="1"/>
          </reference>
          <reference field="3" count="1" selected="0">
            <x v="0"/>
          </reference>
        </references>
      </pivotArea>
    </chartFormat>
    <chartFormat chart="0" format="2" series="1">
      <pivotArea type="data" outline="0" fieldPosition="0">
        <references count="3">
          <reference field="4294967294" count="1" selected="0">
            <x v="0"/>
          </reference>
          <reference field="2" count="1" selected="0">
            <x v="0"/>
          </reference>
          <reference field="3" count="1" selected="0">
            <x v="1"/>
          </reference>
        </references>
      </pivotArea>
    </chartFormat>
    <chartFormat chart="0" format="3" series="1">
      <pivotArea type="data" outline="0" fieldPosition="0">
        <references count="3">
          <reference field="4294967294" count="1" selected="0">
            <x v="0"/>
          </reference>
          <reference field="2" count="1" selected="0">
            <x v="1"/>
          </reference>
          <reference field="3" count="1" selected="0">
            <x v="1"/>
          </reference>
        </references>
      </pivotArea>
    </chartFormat>
    <chartFormat chart="3" format="0" series="1">
      <pivotArea type="data" outline="0" fieldPosition="0">
        <references count="3">
          <reference field="4294967294" count="1" selected="0">
            <x v="0"/>
          </reference>
          <reference field="2" count="1" selected="0">
            <x v="0"/>
          </reference>
          <reference field="3" count="1" selected="0">
            <x v="0"/>
          </reference>
        </references>
      </pivotArea>
    </chartFormat>
    <chartFormat chart="3" format="1" series="1">
      <pivotArea type="data" outline="0" fieldPosition="0">
        <references count="3">
          <reference field="4294967294" count="1" selected="0">
            <x v="0"/>
          </reference>
          <reference field="2" count="1" selected="0">
            <x v="1"/>
          </reference>
          <reference field="3" count="1" selected="0">
            <x v="0"/>
          </reference>
        </references>
      </pivotArea>
    </chartFormat>
    <chartFormat chart="3" format="2" series="1">
      <pivotArea type="data" outline="0" fieldPosition="0">
        <references count="3">
          <reference field="4294967294" count="1" selected="0">
            <x v="0"/>
          </reference>
          <reference field="2" count="1" selected="0">
            <x v="0"/>
          </reference>
          <reference field="3" count="1" selected="0">
            <x v="1"/>
          </reference>
        </references>
      </pivotArea>
    </chartFormat>
    <chartFormat chart="3" format="3" series="1">
      <pivotArea type="data" outline="0" fieldPosition="0">
        <references count="3">
          <reference field="4294967294" count="1" selected="0">
            <x v="0"/>
          </reference>
          <reference field="2"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5A5885-8585-476C-9003-6AF02690E7CD}"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ace/ Lunch">
  <location ref="L6:N22" firstHeaderRow="0" firstDataRow="1" firstDataCol="1"/>
  <pivotFields count="7">
    <pivotField axis="axisRow" showAll="0">
      <items count="3">
        <item x="0"/>
        <item x="1"/>
        <item t="default"/>
      </items>
    </pivotField>
    <pivotField axis="axisRow" showAll="0">
      <items count="6">
        <item x="2"/>
        <item x="1"/>
        <item x="0"/>
        <item x="3"/>
        <item x="4"/>
        <item t="default"/>
      </items>
    </pivotField>
    <pivotField showAll="0">
      <items count="3">
        <item x="1"/>
        <item x="0"/>
        <item t="default"/>
      </items>
    </pivotField>
    <pivotField dataField="1" showAll="0"/>
    <pivotField dataField="1" showAll="0"/>
    <pivotField showAll="0">
      <items count="115">
        <item x="98"/>
        <item x="90"/>
        <item x="73"/>
        <item x="89"/>
        <item x="110"/>
        <item x="47"/>
        <item x="2"/>
        <item x="25"/>
        <item x="102"/>
        <item x="92"/>
        <item x="53"/>
        <item x="11"/>
        <item x="107"/>
        <item x="76"/>
        <item x="62"/>
        <item x="75"/>
        <item x="21"/>
        <item x="79"/>
        <item x="97"/>
        <item x="108"/>
        <item x="111"/>
        <item x="51"/>
        <item x="37"/>
        <item x="0"/>
        <item x="39"/>
        <item x="68"/>
        <item x="109"/>
        <item x="77"/>
        <item x="31"/>
        <item x="34"/>
        <item x="41"/>
        <item x="49"/>
        <item x="28"/>
        <item x="19"/>
        <item x="72"/>
        <item x="104"/>
        <item x="54"/>
        <item x="30"/>
        <item x="106"/>
        <item x="1"/>
        <item x="83"/>
        <item x="71"/>
        <item x="52"/>
        <item x="94"/>
        <item x="43"/>
        <item x="66"/>
        <item x="58"/>
        <item x="4"/>
        <item x="57"/>
        <item x="65"/>
        <item x="8"/>
        <item x="29"/>
        <item x="46"/>
        <item x="24"/>
        <item x="38"/>
        <item x="84"/>
        <item x="5"/>
        <item x="96"/>
        <item x="95"/>
        <item x="16"/>
        <item x="22"/>
        <item x="99"/>
        <item x="81"/>
        <item x="32"/>
        <item x="59"/>
        <item x="26"/>
        <item x="93"/>
        <item x="20"/>
        <item x="17"/>
        <item x="88"/>
        <item x="70"/>
        <item x="12"/>
        <item x="9"/>
        <item x="64"/>
        <item x="23"/>
        <item x="113"/>
        <item x="33"/>
        <item x="55"/>
        <item x="87"/>
        <item x="61"/>
        <item x="18"/>
        <item x="36"/>
        <item x="7"/>
        <item x="60"/>
        <item x="40"/>
        <item x="15"/>
        <item x="74"/>
        <item x="85"/>
        <item x="67"/>
        <item x="63"/>
        <item x="112"/>
        <item x="103"/>
        <item x="78"/>
        <item x="27"/>
        <item x="86"/>
        <item x="48"/>
        <item x="13"/>
        <item x="80"/>
        <item x="42"/>
        <item x="91"/>
        <item x="6"/>
        <item x="50"/>
        <item x="44"/>
        <item x="14"/>
        <item x="100"/>
        <item x="101"/>
        <item x="3"/>
        <item x="10"/>
        <item x="69"/>
        <item x="82"/>
        <item x="35"/>
        <item x="45"/>
        <item x="105"/>
        <item x="56"/>
        <item t="default"/>
      </items>
    </pivotField>
    <pivotField showAll="0">
      <items count="6">
        <item x="2"/>
        <item x="4"/>
        <item x="1"/>
        <item x="3"/>
        <item x="0"/>
        <item t="default"/>
      </items>
    </pivotField>
  </pivotFields>
  <rowFields count="2">
    <field x="1"/>
    <field x="0"/>
  </rowFields>
  <rowItems count="16">
    <i>
      <x/>
    </i>
    <i r="1">
      <x/>
    </i>
    <i r="1">
      <x v="1"/>
    </i>
    <i>
      <x v="1"/>
    </i>
    <i r="1">
      <x/>
    </i>
    <i r="1">
      <x v="1"/>
    </i>
    <i>
      <x v="2"/>
    </i>
    <i r="1">
      <x/>
    </i>
    <i r="1">
      <x v="1"/>
    </i>
    <i>
      <x v="3"/>
    </i>
    <i r="1">
      <x/>
    </i>
    <i r="1">
      <x v="1"/>
    </i>
    <i>
      <x v="4"/>
    </i>
    <i r="1">
      <x/>
    </i>
    <i r="1">
      <x v="1"/>
    </i>
    <i t="grand">
      <x/>
    </i>
  </rowItems>
  <colFields count="1">
    <field x="-2"/>
  </colFields>
  <colItems count="2">
    <i>
      <x/>
    </i>
    <i i="1">
      <x v="1"/>
    </i>
  </colItems>
  <dataFields count="2">
    <dataField name="Sum of Total Score" fld="4" baseField="0" baseItem="0"/>
    <dataField name="Count of Test prep" fld="3" subtotal="count" baseField="0" baseItem="0"/>
  </dataFields>
  <formats count="35">
    <format dxfId="360">
      <pivotArea outline="0" collapsedLevelsAreSubtotals="1" fieldPosition="0">
        <references count="1">
          <reference field="4294967294" count="1" selected="0">
            <x v="0"/>
          </reference>
        </references>
      </pivotArea>
    </format>
    <format dxfId="359">
      <pivotArea dataOnly="0" labelOnly="1" outline="0" fieldPosition="0">
        <references count="1">
          <reference field="4294967294" count="1">
            <x v="0"/>
          </reference>
        </references>
      </pivotArea>
    </format>
    <format dxfId="358">
      <pivotArea field="1" type="button" dataOnly="0" labelOnly="1" outline="0" axis="axisRow" fieldPosition="0"/>
    </format>
    <format dxfId="357">
      <pivotArea dataOnly="0" labelOnly="1" fieldPosition="0">
        <references count="1">
          <reference field="1" count="0"/>
        </references>
      </pivotArea>
    </format>
    <format dxfId="356">
      <pivotArea dataOnly="0" labelOnly="1" grandRow="1" outline="0" fieldPosition="0"/>
    </format>
    <format dxfId="355">
      <pivotArea dataOnly="0" labelOnly="1" fieldPosition="0">
        <references count="1">
          <reference field="1" count="0"/>
        </references>
      </pivotArea>
    </format>
    <format dxfId="354">
      <pivotArea collapsedLevelsAreSubtotals="1" fieldPosition="0">
        <references count="2">
          <reference field="4294967294" count="1" selected="0">
            <x v="0"/>
          </reference>
          <reference field="1" count="1">
            <x v="0"/>
          </reference>
        </references>
      </pivotArea>
    </format>
    <format dxfId="353">
      <pivotArea collapsedLevelsAreSubtotals="1" fieldPosition="0">
        <references count="2">
          <reference field="4294967294" count="1" selected="0">
            <x v="0"/>
          </reference>
          <reference field="1" count="1">
            <x v="1"/>
          </reference>
        </references>
      </pivotArea>
    </format>
    <format dxfId="352">
      <pivotArea collapsedLevelsAreSubtotals="1" fieldPosition="0">
        <references count="2">
          <reference field="4294967294" count="1" selected="0">
            <x v="0"/>
          </reference>
          <reference field="1" count="1">
            <x v="2"/>
          </reference>
        </references>
      </pivotArea>
    </format>
    <format dxfId="351">
      <pivotArea collapsedLevelsAreSubtotals="1" fieldPosition="0">
        <references count="2">
          <reference field="4294967294" count="1" selected="0">
            <x v="0"/>
          </reference>
          <reference field="1" count="1">
            <x v="3"/>
          </reference>
        </references>
      </pivotArea>
    </format>
    <format dxfId="350">
      <pivotArea collapsedLevelsAreSubtotals="1" fieldPosition="0">
        <references count="2">
          <reference field="4294967294" count="1" selected="0">
            <x v="0"/>
          </reference>
          <reference field="1" count="1">
            <x v="4"/>
          </reference>
        </references>
      </pivotArea>
    </format>
    <format dxfId="349">
      <pivotArea field="1" type="button" dataOnly="0" labelOnly="1" outline="0" axis="axisRow" fieldPosition="0"/>
    </format>
    <format dxfId="348">
      <pivotArea dataOnly="0" labelOnly="1" outline="0" fieldPosition="0">
        <references count="1">
          <reference field="4294967294" count="1">
            <x v="0"/>
          </reference>
        </references>
      </pivotArea>
    </format>
    <format dxfId="347">
      <pivotArea dataOnly="0" labelOnly="1" outline="0" fieldPosition="0">
        <references count="1">
          <reference field="4294967294" count="1">
            <x v="0"/>
          </reference>
        </references>
      </pivotArea>
    </format>
    <format dxfId="346">
      <pivotArea dataOnly="0" grandRow="1" fieldPosition="0"/>
    </format>
    <format dxfId="345">
      <pivotArea outline="0" collapsedLevelsAreSubtotals="1" fieldPosition="0">
        <references count="1">
          <reference field="4294967294" count="1" selected="0">
            <x v="1"/>
          </reference>
        </references>
      </pivotArea>
    </format>
    <format dxfId="344">
      <pivotArea dataOnly="0" labelOnly="1" outline="0" fieldPosition="0">
        <references count="1">
          <reference field="4294967294" count="1">
            <x v="1"/>
          </reference>
        </references>
      </pivotArea>
    </format>
    <format dxfId="343">
      <pivotArea collapsedLevelsAreSubtotals="1" fieldPosition="0">
        <references count="1">
          <reference field="1" count="1">
            <x v="0"/>
          </reference>
        </references>
      </pivotArea>
    </format>
    <format dxfId="342">
      <pivotArea collapsedLevelsAreSubtotals="1" fieldPosition="0">
        <references count="2">
          <reference field="0" count="0"/>
          <reference field="1" count="1" selected="0">
            <x v="0"/>
          </reference>
        </references>
      </pivotArea>
    </format>
    <format dxfId="341">
      <pivotArea collapsedLevelsAreSubtotals="1" fieldPosition="0">
        <references count="1">
          <reference field="1" count="1">
            <x v="1"/>
          </reference>
        </references>
      </pivotArea>
    </format>
    <format dxfId="340">
      <pivotArea collapsedLevelsAreSubtotals="1" fieldPosition="0">
        <references count="2">
          <reference field="0" count="0"/>
          <reference field="1" count="1" selected="0">
            <x v="1"/>
          </reference>
        </references>
      </pivotArea>
    </format>
    <format dxfId="339">
      <pivotArea collapsedLevelsAreSubtotals="1" fieldPosition="0">
        <references count="1">
          <reference field="1" count="1">
            <x v="2"/>
          </reference>
        </references>
      </pivotArea>
    </format>
    <format dxfId="338">
      <pivotArea collapsedLevelsAreSubtotals="1" fieldPosition="0">
        <references count="2">
          <reference field="0" count="0"/>
          <reference field="1" count="1" selected="0">
            <x v="2"/>
          </reference>
        </references>
      </pivotArea>
    </format>
    <format dxfId="337">
      <pivotArea collapsedLevelsAreSubtotals="1" fieldPosition="0">
        <references count="1">
          <reference field="1" count="1">
            <x v="3"/>
          </reference>
        </references>
      </pivotArea>
    </format>
    <format dxfId="336">
      <pivotArea collapsedLevelsAreSubtotals="1" fieldPosition="0">
        <references count="2">
          <reference field="0" count="0"/>
          <reference field="1" count="1" selected="0">
            <x v="3"/>
          </reference>
        </references>
      </pivotArea>
    </format>
    <format dxfId="335">
      <pivotArea collapsedLevelsAreSubtotals="1" fieldPosition="0">
        <references count="1">
          <reference field="1" count="1">
            <x v="4"/>
          </reference>
        </references>
      </pivotArea>
    </format>
    <format dxfId="334">
      <pivotArea collapsedLevelsAreSubtotals="1" fieldPosition="0">
        <references count="2">
          <reference field="0" count="0"/>
          <reference field="1" count="1" selected="0">
            <x v="4"/>
          </reference>
        </references>
      </pivotArea>
    </format>
    <format dxfId="333">
      <pivotArea field="1" type="button" dataOnly="0" labelOnly="1" outline="0" axis="axisRow" fieldPosition="0"/>
    </format>
    <format dxfId="332">
      <pivotArea dataOnly="0" labelOnly="1" fieldPosition="0">
        <references count="1">
          <reference field="1" count="0"/>
        </references>
      </pivotArea>
    </format>
    <format dxfId="331">
      <pivotArea dataOnly="0" labelOnly="1" fieldPosition="0">
        <references count="2">
          <reference field="0" count="0"/>
          <reference field="1" count="1" selected="0">
            <x v="0"/>
          </reference>
        </references>
      </pivotArea>
    </format>
    <format dxfId="330">
      <pivotArea dataOnly="0" labelOnly="1" fieldPosition="0">
        <references count="2">
          <reference field="0" count="0"/>
          <reference field="1" count="1" selected="0">
            <x v="1"/>
          </reference>
        </references>
      </pivotArea>
    </format>
    <format dxfId="329">
      <pivotArea dataOnly="0" labelOnly="1" fieldPosition="0">
        <references count="2">
          <reference field="0" count="0"/>
          <reference field="1" count="1" selected="0">
            <x v="2"/>
          </reference>
        </references>
      </pivotArea>
    </format>
    <format dxfId="328">
      <pivotArea dataOnly="0" labelOnly="1" fieldPosition="0">
        <references count="2">
          <reference field="0" count="0"/>
          <reference field="1" count="1" selected="0">
            <x v="3"/>
          </reference>
        </references>
      </pivotArea>
    </format>
    <format dxfId="327">
      <pivotArea dataOnly="0" labelOnly="1" fieldPosition="0">
        <references count="2">
          <reference field="0" count="0"/>
          <reference field="1" count="1" selected="0">
            <x v="4"/>
          </reference>
        </references>
      </pivotArea>
    </format>
    <format dxfId="326">
      <pivotArea dataOnly="0" labelOnly="1" outline="0" fieldPosition="0">
        <references count="1">
          <reference field="4294967294" count="2">
            <x v="0"/>
            <x v="1"/>
          </reference>
        </references>
      </pivotArea>
    </format>
  </formats>
  <chartFormats count="4">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A627C9-E094-413D-B059-22E4AC17614D}" name="PivotTable6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ace/Ethnicity" colHeaderCaption="">
  <location ref="J1:Q34" firstHeaderRow="1" firstDataRow="3" firstDataCol="1"/>
  <pivotFields count="7">
    <pivotField axis="axisCol" showAll="0">
      <items count="3">
        <item x="1"/>
        <item x="0"/>
        <item t="default"/>
      </items>
    </pivotField>
    <pivotField axis="axisRow" showAll="0">
      <items count="6">
        <item x="0"/>
        <item x="1"/>
        <item x="2"/>
        <item x="3"/>
        <item x="4"/>
        <item t="default"/>
      </items>
    </pivotField>
    <pivotField axis="axisCol" showAll="0">
      <items count="3">
        <item x="0"/>
        <item x="1"/>
        <item t="default"/>
      </items>
    </pivotField>
    <pivotField showAll="0"/>
    <pivotField dataField="1" showAll="0"/>
    <pivotField showAll="0"/>
    <pivotField axis="axisRow" showAll="0">
      <items count="6">
        <item x="4"/>
        <item x="2"/>
        <item x="1"/>
        <item x="0"/>
        <item x="3"/>
        <item t="default"/>
      </items>
    </pivotField>
  </pivotFields>
  <rowFields count="2">
    <field x="1"/>
    <field x="6"/>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Fields count="2">
    <field x="2"/>
    <field x="0"/>
  </colFields>
  <colItems count="7">
    <i>
      <x/>
      <x/>
    </i>
    <i r="1">
      <x v="1"/>
    </i>
    <i t="default">
      <x/>
    </i>
    <i>
      <x v="1"/>
      <x/>
    </i>
    <i r="1">
      <x v="1"/>
    </i>
    <i t="default">
      <x v="1"/>
    </i>
    <i t="grand">
      <x/>
    </i>
  </colItems>
  <dataFields count="1">
    <dataField name="Sum of Total Score" fld="4" baseField="0" baseItem="0"/>
  </dataFields>
  <formats count="144">
    <format dxfId="306">
      <pivotArea outline="0" collapsedLevelsAreSubtotals="1" fieldPosition="0">
        <references count="2">
          <reference field="0" count="1" selected="0">
            <x v="0"/>
          </reference>
          <reference field="2" count="1" selected="0">
            <x v="0"/>
          </reference>
        </references>
      </pivotArea>
    </format>
    <format dxfId="305">
      <pivotArea field="2" type="button" dataOnly="0" labelOnly="1" outline="0" axis="axisCol" fieldPosition="0"/>
    </format>
    <format dxfId="304">
      <pivotArea dataOnly="0" labelOnly="1" fieldPosition="0">
        <references count="2">
          <reference field="0" count="1">
            <x v="0"/>
          </reference>
          <reference field="2" count="1" selected="0">
            <x v="0"/>
          </reference>
        </references>
      </pivotArea>
    </format>
    <format dxfId="303">
      <pivotArea outline="0" collapsedLevelsAreSubtotals="1" fieldPosition="0">
        <references count="2">
          <reference field="0" count="1" selected="0">
            <x v="1"/>
          </reference>
          <reference field="2" count="1" selected="0">
            <x v="0"/>
          </reference>
        </references>
      </pivotArea>
    </format>
    <format dxfId="302">
      <pivotArea field="0" type="button" dataOnly="0" labelOnly="1" outline="0" axis="axisCol" fieldPosition="1"/>
    </format>
    <format dxfId="301">
      <pivotArea dataOnly="0" labelOnly="1" fieldPosition="0">
        <references count="2">
          <reference field="0" count="1">
            <x v="1"/>
          </reference>
          <reference field="2" count="1" selected="0">
            <x v="0"/>
          </reference>
        </references>
      </pivotArea>
    </format>
    <format dxfId="300">
      <pivotArea outline="0" collapsedLevelsAreSubtotals="1" fieldPosition="0">
        <references count="1">
          <reference field="2" count="1" selected="0" defaultSubtotal="1">
            <x v="0"/>
          </reference>
        </references>
      </pivotArea>
    </format>
    <format dxfId="299">
      <pivotArea type="topRight" dataOnly="0" labelOnly="1" outline="0" fieldPosition="0"/>
    </format>
    <format dxfId="298">
      <pivotArea dataOnly="0" labelOnly="1" fieldPosition="0">
        <references count="1">
          <reference field="2" count="1" defaultSubtotal="1">
            <x v="0"/>
          </reference>
        </references>
      </pivotArea>
    </format>
    <format dxfId="297">
      <pivotArea outline="0" collapsedLevelsAreSubtotals="1" fieldPosition="0">
        <references count="2">
          <reference field="0" count="1" selected="0">
            <x v="0"/>
          </reference>
          <reference field="2" count="1" selected="0">
            <x v="1"/>
          </reference>
        </references>
      </pivotArea>
    </format>
    <format dxfId="296">
      <pivotArea dataOnly="0" labelOnly="1" fieldPosition="0">
        <references count="1">
          <reference field="6" count="0"/>
        </references>
      </pivotArea>
    </format>
    <format dxfId="295">
      <pivotArea collapsedLevelsAreSubtotals="1" fieldPosition="0">
        <references count="2">
          <reference field="1" count="1" selected="0">
            <x v="0"/>
          </reference>
          <reference field="6" count="0"/>
        </references>
      </pivotArea>
    </format>
    <format dxfId="294">
      <pivotArea dataOnly="0" labelOnly="1" fieldPosition="0">
        <references count="1">
          <reference field="2" count="0"/>
        </references>
      </pivotArea>
    </format>
    <format dxfId="293">
      <pivotArea dataOnly="0" labelOnly="1" fieldPosition="0">
        <references count="1">
          <reference field="2" count="0" defaultSubtotal="1"/>
        </references>
      </pivotArea>
    </format>
    <format dxfId="292">
      <pivotArea dataOnly="0" labelOnly="1" fieldPosition="0">
        <references count="2">
          <reference field="0" count="0"/>
          <reference field="2" count="1" selected="0">
            <x v="0"/>
          </reference>
        </references>
      </pivotArea>
    </format>
    <format dxfId="291">
      <pivotArea dataOnly="0" labelOnly="1" fieldPosition="0">
        <references count="2">
          <reference field="0" count="0"/>
          <reference field="2" count="1" selected="0">
            <x v="1"/>
          </reference>
        </references>
      </pivotArea>
    </format>
    <format dxfId="290">
      <pivotArea collapsedLevelsAreSubtotals="1" fieldPosition="0">
        <references count="2">
          <reference field="1" count="1" selected="0">
            <x v="4"/>
          </reference>
          <reference field="6" count="0"/>
        </references>
      </pivotArea>
    </format>
    <format dxfId="289">
      <pivotArea collapsedLevelsAreSubtotals="1" fieldPosition="0">
        <references count="2">
          <reference field="1" count="1" selected="0">
            <x v="3"/>
          </reference>
          <reference field="6" count="0"/>
        </references>
      </pivotArea>
    </format>
    <format dxfId="288">
      <pivotArea dataOnly="0" labelOnly="1" fieldPosition="0">
        <references count="1">
          <reference field="1" count="2">
            <x v="3"/>
            <x v="4"/>
          </reference>
        </references>
      </pivotArea>
    </format>
    <format dxfId="287">
      <pivotArea collapsedLevelsAreSubtotals="1" fieldPosition="0">
        <references count="1">
          <reference field="1" count="1">
            <x v="2"/>
          </reference>
        </references>
      </pivotArea>
    </format>
    <format dxfId="286">
      <pivotArea collapsedLevelsAreSubtotals="1" fieldPosition="0">
        <references count="2">
          <reference field="1" count="1" selected="0">
            <x v="2"/>
          </reference>
          <reference field="6" count="0"/>
        </references>
      </pivotArea>
    </format>
    <format dxfId="285">
      <pivotArea dataOnly="0" labelOnly="1" fieldPosition="0">
        <references count="1">
          <reference field="1" count="1">
            <x v="2"/>
          </reference>
        </references>
      </pivotArea>
    </format>
    <format dxfId="284">
      <pivotArea collapsedLevelsAreSubtotals="1" fieldPosition="0">
        <references count="1">
          <reference field="1" count="1">
            <x v="1"/>
          </reference>
        </references>
      </pivotArea>
    </format>
    <format dxfId="283">
      <pivotArea dataOnly="0" labelOnly="1" fieldPosition="0">
        <references count="1">
          <reference field="1" count="1">
            <x v="1"/>
          </reference>
        </references>
      </pivotArea>
    </format>
    <format dxfId="282">
      <pivotArea collapsedLevelsAreSubtotals="1" fieldPosition="0">
        <references count="1">
          <reference field="1" count="1">
            <x v="1"/>
          </reference>
        </references>
      </pivotArea>
    </format>
    <format dxfId="281">
      <pivotArea collapsedLevelsAreSubtotals="1" fieldPosition="0">
        <references count="2">
          <reference field="1" count="1" selected="0">
            <x v="1"/>
          </reference>
          <reference field="6" count="0"/>
        </references>
      </pivotArea>
    </format>
    <format dxfId="280">
      <pivotArea dataOnly="0" labelOnly="1" fieldPosition="0">
        <references count="1">
          <reference field="1" count="1">
            <x v="1"/>
          </reference>
        </references>
      </pivotArea>
    </format>
    <format dxfId="279">
      <pivotArea collapsedLevelsAreSubtotals="1" fieldPosition="0">
        <references count="1">
          <reference field="1" count="1">
            <x v="0"/>
          </reference>
        </references>
      </pivotArea>
    </format>
    <format dxfId="278">
      <pivotArea collapsedLevelsAreSubtotals="1" fieldPosition="0">
        <references count="2">
          <reference field="1" count="1" selected="0">
            <x v="0"/>
          </reference>
          <reference field="6" count="0"/>
        </references>
      </pivotArea>
    </format>
    <format dxfId="277">
      <pivotArea dataOnly="0" labelOnly="1" fieldPosition="0">
        <references count="1">
          <reference field="1" count="1">
            <x v="0"/>
          </reference>
        </references>
      </pivotArea>
    </format>
    <format dxfId="276">
      <pivotArea type="origin" dataOnly="0" labelOnly="1" outline="0" fieldPosition="0"/>
    </format>
    <format dxfId="275">
      <pivotArea field="2" type="button" dataOnly="0" labelOnly="1" outline="0" axis="axisCol" fieldPosition="0"/>
    </format>
    <format dxfId="274">
      <pivotArea field="0" type="button" dataOnly="0" labelOnly="1" outline="0" axis="axisCol" fieldPosition="1"/>
    </format>
    <format dxfId="273">
      <pivotArea type="topRight" dataOnly="0" labelOnly="1" outline="0" fieldPosition="0"/>
    </format>
    <format dxfId="272">
      <pivotArea field="1" type="button" dataOnly="0" labelOnly="1" outline="0" axis="axisRow" fieldPosition="0"/>
    </format>
    <format dxfId="271">
      <pivotArea dataOnly="0" labelOnly="1" fieldPosition="0">
        <references count="1">
          <reference field="2" count="0"/>
        </references>
      </pivotArea>
    </format>
    <format dxfId="270">
      <pivotArea dataOnly="0" labelOnly="1" fieldPosition="0">
        <references count="1">
          <reference field="2" count="0" defaultSubtotal="1"/>
        </references>
      </pivotArea>
    </format>
    <format dxfId="269">
      <pivotArea dataOnly="0" labelOnly="1" grandCol="1" outline="0" fieldPosition="0"/>
    </format>
    <format dxfId="268">
      <pivotArea dataOnly="0" labelOnly="1" fieldPosition="0">
        <references count="2">
          <reference field="0" count="0"/>
          <reference field="2" count="1" selected="0">
            <x v="0"/>
          </reference>
        </references>
      </pivotArea>
    </format>
    <format dxfId="267">
      <pivotArea dataOnly="0" labelOnly="1" fieldPosition="0">
        <references count="2">
          <reference field="0" count="0"/>
          <reference field="2" count="1" selected="0">
            <x v="1"/>
          </reference>
        </references>
      </pivotArea>
    </format>
    <format dxfId="266">
      <pivotArea type="origin" dataOnly="0" labelOnly="1" outline="0" offset="A1" fieldPosition="0"/>
    </format>
    <format dxfId="265">
      <pivotArea collapsedLevelsAreSubtotals="1" fieldPosition="0">
        <references count="3">
          <reference field="0" count="1" selected="0">
            <x v="1"/>
          </reference>
          <reference field="1" count="1">
            <x v="0"/>
          </reference>
          <reference field="2" count="1" selected="0">
            <x v="1"/>
          </reference>
        </references>
      </pivotArea>
    </format>
    <format dxfId="264">
      <pivotArea collapsedLevelsAreSubtotals="1" fieldPosition="0">
        <references count="4">
          <reference field="0" count="1" selected="0">
            <x v="1"/>
          </reference>
          <reference field="1" count="1" selected="0">
            <x v="0"/>
          </reference>
          <reference field="2" count="1" selected="0">
            <x v="1"/>
          </reference>
          <reference field="6" count="0"/>
        </references>
      </pivotArea>
    </format>
    <format dxfId="263">
      <pivotArea type="topRight" dataOnly="0" labelOnly="1" outline="0" offset="C1" fieldPosition="0"/>
    </format>
    <format dxfId="262">
      <pivotArea dataOnly="0" labelOnly="1" offset="IV256" fieldPosition="0">
        <references count="1">
          <reference field="2" count="1">
            <x v="1"/>
          </reference>
        </references>
      </pivotArea>
    </format>
    <format dxfId="261">
      <pivotArea dataOnly="0" labelOnly="1" fieldPosition="0">
        <references count="2">
          <reference field="0" count="1">
            <x v="1"/>
          </reference>
          <reference field="2" count="1" selected="0">
            <x v="1"/>
          </reference>
        </references>
      </pivotArea>
    </format>
    <format dxfId="260">
      <pivotArea collapsedLevelsAreSubtotals="1" fieldPosition="0">
        <references count="3">
          <reference field="0" count="1" selected="0">
            <x v="0"/>
          </reference>
          <reference field="1" count="1">
            <x v="0"/>
          </reference>
          <reference field="2" count="1" selected="0">
            <x v="1"/>
          </reference>
        </references>
      </pivotArea>
    </format>
    <format dxfId="259">
      <pivotArea collapsedLevelsAreSubtotals="1" fieldPosition="0">
        <references count="4">
          <reference field="0" count="1" selected="0">
            <x v="0"/>
          </reference>
          <reference field="1" count="1" selected="0">
            <x v="0"/>
          </reference>
          <reference field="2" count="1" selected="0">
            <x v="1"/>
          </reference>
          <reference field="6" count="0"/>
        </references>
      </pivotArea>
    </format>
    <format dxfId="258">
      <pivotArea type="topRight" dataOnly="0" labelOnly="1" outline="0" offset="B1" fieldPosition="0"/>
    </format>
    <format dxfId="257">
      <pivotArea dataOnly="0" labelOnly="1" offset="A256" fieldPosition="0">
        <references count="1">
          <reference field="2" count="1">
            <x v="1"/>
          </reference>
        </references>
      </pivotArea>
    </format>
    <format dxfId="256">
      <pivotArea dataOnly="0" labelOnly="1" fieldPosition="0">
        <references count="2">
          <reference field="0" count="1">
            <x v="0"/>
          </reference>
          <reference field="2" count="1" selected="0">
            <x v="1"/>
          </reference>
        </references>
      </pivotArea>
    </format>
    <format dxfId="255">
      <pivotArea collapsedLevelsAreSubtotals="1" fieldPosition="0">
        <references count="3">
          <reference field="1" count="1" selected="0">
            <x v="3"/>
          </reference>
          <reference field="2" count="1" selected="0" defaultSubtotal="1">
            <x v="1"/>
          </reference>
          <reference field="6" count="0"/>
        </references>
      </pivotArea>
    </format>
    <format dxfId="254">
      <pivotArea field="6" grandCol="1" collapsedLevelsAreSubtotals="1" axis="axisRow" fieldPosition="1">
        <references count="2">
          <reference field="1" count="1" selected="0">
            <x v="3"/>
          </reference>
          <reference field="6" count="0"/>
        </references>
      </pivotArea>
    </format>
    <format dxfId="253">
      <pivotArea collapsedLevelsAreSubtotals="1" fieldPosition="0">
        <references count="3">
          <reference field="1" count="1" selected="0">
            <x v="1"/>
          </reference>
          <reference field="2" count="1" selected="0" defaultSubtotal="1">
            <x v="1"/>
          </reference>
          <reference field="6" count="0"/>
        </references>
      </pivotArea>
    </format>
    <format dxfId="252">
      <pivotArea field="6" grandCol="1" collapsedLevelsAreSubtotals="1" axis="axisRow" fieldPosition="1">
        <references count="2">
          <reference field="1" count="1" selected="0">
            <x v="1"/>
          </reference>
          <reference field="6" count="0"/>
        </references>
      </pivotArea>
    </format>
    <format dxfId="251">
      <pivotArea collapsedLevelsAreSubtotals="1" fieldPosition="0">
        <references count="3">
          <reference field="1" count="1" selected="0">
            <x v="2"/>
          </reference>
          <reference field="2" count="1" selected="0" defaultSubtotal="1">
            <x v="1"/>
          </reference>
          <reference field="6" count="0"/>
        </references>
      </pivotArea>
    </format>
    <format dxfId="250">
      <pivotArea field="6" grandCol="1" collapsedLevelsAreSubtotals="1" axis="axisRow" fieldPosition="1">
        <references count="2">
          <reference field="1" count="1" selected="0">
            <x v="2"/>
          </reference>
          <reference field="6" count="0"/>
        </references>
      </pivotArea>
    </format>
    <format dxfId="249">
      <pivotArea collapsedLevelsAreSubtotals="1" fieldPosition="0">
        <references count="3">
          <reference field="1" count="1" selected="0">
            <x v="4"/>
          </reference>
          <reference field="2" count="1" selected="0" defaultSubtotal="1">
            <x v="1"/>
          </reference>
          <reference field="6" count="0"/>
        </references>
      </pivotArea>
    </format>
    <format dxfId="248">
      <pivotArea field="6" grandCol="1" collapsedLevelsAreSubtotals="1" axis="axisRow" fieldPosition="1">
        <references count="2">
          <reference field="1" count="1" selected="0">
            <x v="4"/>
          </reference>
          <reference field="6" count="0"/>
        </references>
      </pivotArea>
    </format>
    <format dxfId="247">
      <pivotArea dataOnly="0" labelOnly="1" fieldPosition="0">
        <references count="1">
          <reference field="2" count="1">
            <x v="0"/>
          </reference>
        </references>
      </pivotArea>
    </format>
    <format dxfId="246">
      <pivotArea dataOnly="0" labelOnly="1" fieldPosition="0">
        <references count="2">
          <reference field="0" count="0"/>
          <reference field="2" count="1" selected="0">
            <x v="0"/>
          </reference>
        </references>
      </pivotArea>
    </format>
    <format dxfId="245">
      <pivotArea type="origin" dataOnly="0" labelOnly="1" outline="0" fieldPosition="0"/>
    </format>
    <format dxfId="244">
      <pivotArea field="2" type="button" dataOnly="0" labelOnly="1" outline="0" axis="axisCol" fieldPosition="0"/>
    </format>
    <format dxfId="243">
      <pivotArea field="0" type="button" dataOnly="0" labelOnly="1" outline="0" axis="axisCol" fieldPosition="1"/>
    </format>
    <format dxfId="242">
      <pivotArea type="topRight" dataOnly="0" labelOnly="1" outline="0" fieldPosition="0"/>
    </format>
    <format dxfId="241">
      <pivotArea field="1" type="button" dataOnly="0" labelOnly="1" outline="0" axis="axisRow" fieldPosition="0"/>
    </format>
    <format dxfId="240">
      <pivotArea dataOnly="0" labelOnly="1" fieldPosition="0">
        <references count="1">
          <reference field="2" count="0"/>
        </references>
      </pivotArea>
    </format>
    <format dxfId="239">
      <pivotArea dataOnly="0" labelOnly="1" fieldPosition="0">
        <references count="1">
          <reference field="2" count="0" defaultSubtotal="1"/>
        </references>
      </pivotArea>
    </format>
    <format dxfId="238">
      <pivotArea dataOnly="0" labelOnly="1" grandCol="1" outline="0" fieldPosition="0"/>
    </format>
    <format dxfId="237">
      <pivotArea dataOnly="0" labelOnly="1" fieldPosition="0">
        <references count="2">
          <reference field="0" count="0"/>
          <reference field="2" count="1" selected="0">
            <x v="0"/>
          </reference>
        </references>
      </pivotArea>
    </format>
    <format dxfId="236">
      <pivotArea dataOnly="0" labelOnly="1" fieldPosition="0">
        <references count="2">
          <reference field="0" count="0"/>
          <reference field="2" count="1" selected="0">
            <x v="1"/>
          </reference>
        </references>
      </pivotArea>
    </format>
    <format dxfId="235">
      <pivotArea collapsedLevelsAreSubtotals="1" fieldPosition="0">
        <references count="2">
          <reference field="1" count="1">
            <x v="0"/>
          </reference>
          <reference field="2" count="1" selected="0" defaultSubtotal="1">
            <x v="0"/>
          </reference>
        </references>
      </pivotArea>
    </format>
    <format dxfId="234">
      <pivotArea collapsedLevelsAreSubtotals="1" fieldPosition="0">
        <references count="3">
          <reference field="1" count="1" selected="0">
            <x v="0"/>
          </reference>
          <reference field="2" count="1" selected="0" defaultSubtotal="1">
            <x v="0"/>
          </reference>
          <reference field="6" count="0"/>
        </references>
      </pivotArea>
    </format>
    <format dxfId="233">
      <pivotArea collapsedLevelsAreSubtotals="1" fieldPosition="0">
        <references count="3">
          <reference field="1" count="1" selected="0">
            <x v="1"/>
          </reference>
          <reference field="2" count="1" selected="0" defaultSubtotal="1">
            <x v="0"/>
          </reference>
          <reference field="6" count="0"/>
        </references>
      </pivotArea>
    </format>
    <format dxfId="232">
      <pivotArea collapsedLevelsAreSubtotals="1" fieldPosition="0">
        <references count="3">
          <reference field="1" count="1" selected="0">
            <x v="2"/>
          </reference>
          <reference field="2" count="1" selected="0" defaultSubtotal="1">
            <x v="0"/>
          </reference>
          <reference field="6" count="0"/>
        </references>
      </pivotArea>
    </format>
    <format dxfId="231">
      <pivotArea collapsedLevelsAreSubtotals="1" fieldPosition="0">
        <references count="3">
          <reference field="1" count="1" selected="0">
            <x v="3"/>
          </reference>
          <reference field="2" count="1" selected="0" defaultSubtotal="1">
            <x v="0"/>
          </reference>
          <reference field="6" count="0"/>
        </references>
      </pivotArea>
    </format>
    <format dxfId="230">
      <pivotArea collapsedLevelsAreSubtotals="1" fieldPosition="0">
        <references count="3">
          <reference field="1" count="1" selected="0">
            <x v="4"/>
          </reference>
          <reference field="2" count="1" selected="0" defaultSubtotal="1">
            <x v="0"/>
          </reference>
          <reference field="6" count="0"/>
        </references>
      </pivotArea>
    </format>
    <format dxfId="229">
      <pivotArea dataOnly="0" labelOnly="1" offset="IV256" fieldPosition="0">
        <references count="1">
          <reference field="2" count="1" defaultSubtotal="1">
            <x v="0"/>
          </reference>
        </references>
      </pivotArea>
    </format>
    <format dxfId="228">
      <pivotArea collapsedLevelsAreSubtotals="1" fieldPosition="0">
        <references count="2">
          <reference field="1" count="1">
            <x v="0"/>
          </reference>
          <reference field="2" count="1" selected="0" defaultSubtotal="1">
            <x v="1"/>
          </reference>
        </references>
      </pivotArea>
    </format>
    <format dxfId="227">
      <pivotArea collapsedLevelsAreSubtotals="1" fieldPosition="0">
        <references count="3">
          <reference field="1" count="1" selected="0">
            <x v="0"/>
          </reference>
          <reference field="2" count="1" selected="0" defaultSubtotal="1">
            <x v="1"/>
          </reference>
          <reference field="6" count="0"/>
        </references>
      </pivotArea>
    </format>
    <format dxfId="226">
      <pivotArea collapsedLevelsAreSubtotals="1" fieldPosition="0">
        <references count="3">
          <reference field="1" count="1" selected="0">
            <x v="1"/>
          </reference>
          <reference field="2" count="1" selected="0" defaultSubtotal="1">
            <x v="1"/>
          </reference>
          <reference field="6" count="0"/>
        </references>
      </pivotArea>
    </format>
    <format dxfId="225">
      <pivotArea collapsedLevelsAreSubtotals="1" fieldPosition="0">
        <references count="3">
          <reference field="1" count="1" selected="0">
            <x v="2"/>
          </reference>
          <reference field="2" count="1" selected="0" defaultSubtotal="1">
            <x v="1"/>
          </reference>
          <reference field="6" count="0"/>
        </references>
      </pivotArea>
    </format>
    <format dxfId="224">
      <pivotArea collapsedLevelsAreSubtotals="1" fieldPosition="0">
        <references count="3">
          <reference field="1" count="1" selected="0">
            <x v="3"/>
          </reference>
          <reference field="2" count="1" selected="0" defaultSubtotal="1">
            <x v="1"/>
          </reference>
          <reference field="6" count="0"/>
        </references>
      </pivotArea>
    </format>
    <format dxfId="223">
      <pivotArea collapsedLevelsAreSubtotals="1" fieldPosition="0">
        <references count="3">
          <reference field="1" count="1" selected="0">
            <x v="4"/>
          </reference>
          <reference field="2" count="1" selected="0" defaultSubtotal="1">
            <x v="1"/>
          </reference>
          <reference field="6" count="0"/>
        </references>
      </pivotArea>
    </format>
    <format dxfId="222">
      <pivotArea dataOnly="0" labelOnly="1" offset="IV256" fieldPosition="0">
        <references count="1">
          <reference field="2" count="1" defaultSubtotal="1">
            <x v="1"/>
          </reference>
        </references>
      </pivotArea>
    </format>
    <format dxfId="221">
      <pivotArea collapsedLevelsAreSubtotals="1" fieldPosition="0">
        <references count="1">
          <reference field="1" count="1">
            <x v="1"/>
          </reference>
        </references>
      </pivotArea>
    </format>
    <format dxfId="220">
      <pivotArea dataOnly="0" labelOnly="1" fieldPosition="0">
        <references count="1">
          <reference field="1" count="1">
            <x v="1"/>
          </reference>
        </references>
      </pivotArea>
    </format>
    <format dxfId="219">
      <pivotArea collapsedLevelsAreSubtotals="1" fieldPosition="0">
        <references count="1">
          <reference field="1" count="1">
            <x v="2"/>
          </reference>
        </references>
      </pivotArea>
    </format>
    <format dxfId="218">
      <pivotArea dataOnly="0" fieldPosition="0">
        <references count="1">
          <reference field="1" count="1">
            <x v="3"/>
          </reference>
        </references>
      </pivotArea>
    </format>
    <format dxfId="217">
      <pivotArea dataOnly="0" fieldPosition="0">
        <references count="1">
          <reference field="1" count="1">
            <x v="4"/>
          </reference>
        </references>
      </pivotArea>
    </format>
    <format dxfId="216">
      <pivotArea field="6" dataOnly="0" grandRow="1" axis="axisRow" fieldPosition="1">
        <references count="1">
          <reference field="6" count="0" defaultSubtotal="1" sumSubtotal="1" countASubtotal="1" avgSubtotal="1" maxSubtotal="1" minSubtotal="1" productSubtotal="1" countSubtotal="1" stdDevSubtotal="1" stdDevPSubtotal="1" varSubtotal="1" varPSubtotal="1"/>
        </references>
      </pivotArea>
    </format>
    <format dxfId="215">
      <pivotArea collapsedLevelsAreSubtotals="1" fieldPosition="0">
        <references count="1">
          <reference field="1" count="1">
            <x v="0"/>
          </reference>
        </references>
      </pivotArea>
    </format>
    <format dxfId="214">
      <pivotArea collapsedLevelsAreSubtotals="1" fieldPosition="0">
        <references count="2">
          <reference field="1" count="1" selected="0">
            <x v="0"/>
          </reference>
          <reference field="6" count="0"/>
        </references>
      </pivotArea>
    </format>
    <format dxfId="213">
      <pivotArea collapsedLevelsAreSubtotals="1" fieldPosition="0">
        <references count="1">
          <reference field="1" count="1">
            <x v="1"/>
          </reference>
        </references>
      </pivotArea>
    </format>
    <format dxfId="212">
      <pivotArea collapsedLevelsAreSubtotals="1" fieldPosition="0">
        <references count="2">
          <reference field="1" count="1" selected="0">
            <x v="1"/>
          </reference>
          <reference field="6" count="0"/>
        </references>
      </pivotArea>
    </format>
    <format dxfId="211">
      <pivotArea collapsedLevelsAreSubtotals="1" fieldPosition="0">
        <references count="1">
          <reference field="1" count="1">
            <x v="2"/>
          </reference>
        </references>
      </pivotArea>
    </format>
    <format dxfId="210">
      <pivotArea collapsedLevelsAreSubtotals="1" fieldPosition="0">
        <references count="2">
          <reference field="1" count="1" selected="0">
            <x v="2"/>
          </reference>
          <reference field="6" count="0"/>
        </references>
      </pivotArea>
    </format>
    <format dxfId="209">
      <pivotArea collapsedLevelsAreSubtotals="1" fieldPosition="0">
        <references count="1">
          <reference field="1" count="1">
            <x v="3"/>
          </reference>
        </references>
      </pivotArea>
    </format>
    <format dxfId="208">
      <pivotArea collapsedLevelsAreSubtotals="1" fieldPosition="0">
        <references count="2">
          <reference field="1" count="1" selected="0">
            <x v="3"/>
          </reference>
          <reference field="6" count="0"/>
        </references>
      </pivotArea>
    </format>
    <format dxfId="207">
      <pivotArea collapsedLevelsAreSubtotals="1" fieldPosition="0">
        <references count="1">
          <reference field="1" count="1">
            <x v="4"/>
          </reference>
        </references>
      </pivotArea>
    </format>
    <format dxfId="206">
      <pivotArea collapsedLevelsAreSubtotals="1" fieldPosition="0">
        <references count="2">
          <reference field="1" count="1" selected="0">
            <x v="4"/>
          </reference>
          <reference field="6" count="0"/>
        </references>
      </pivotArea>
    </format>
    <format dxfId="205">
      <pivotArea type="origin" dataOnly="0" labelOnly="1" outline="0" fieldPosition="0"/>
    </format>
    <format dxfId="204">
      <pivotArea field="2" type="button" dataOnly="0" labelOnly="1" outline="0" axis="axisCol" fieldPosition="0"/>
    </format>
    <format dxfId="203">
      <pivotArea field="0" type="button" dataOnly="0" labelOnly="1" outline="0" axis="axisCol" fieldPosition="1"/>
    </format>
    <format dxfId="202">
      <pivotArea type="topRight" dataOnly="0" labelOnly="1" outline="0" fieldPosition="0"/>
    </format>
    <format dxfId="201">
      <pivotArea field="1" type="button" dataOnly="0" labelOnly="1" outline="0" axis="axisRow" fieldPosition="0"/>
    </format>
    <format dxfId="200">
      <pivotArea dataOnly="0" labelOnly="1" fieldPosition="0">
        <references count="1">
          <reference field="1" count="0"/>
        </references>
      </pivotArea>
    </format>
    <format dxfId="199">
      <pivotArea dataOnly="0" labelOnly="1" fieldPosition="0">
        <references count="2">
          <reference field="1" count="1" selected="0">
            <x v="0"/>
          </reference>
          <reference field="6" count="0"/>
        </references>
      </pivotArea>
    </format>
    <format dxfId="198">
      <pivotArea dataOnly="0" labelOnly="1" fieldPosition="0">
        <references count="2">
          <reference field="1" count="1" selected="0">
            <x v="1"/>
          </reference>
          <reference field="6" count="0"/>
        </references>
      </pivotArea>
    </format>
    <format dxfId="197">
      <pivotArea dataOnly="0" labelOnly="1" fieldPosition="0">
        <references count="2">
          <reference field="1" count="1" selected="0">
            <x v="2"/>
          </reference>
          <reference field="6" count="0"/>
        </references>
      </pivotArea>
    </format>
    <format dxfId="196">
      <pivotArea dataOnly="0" labelOnly="1" fieldPosition="0">
        <references count="2">
          <reference field="1" count="1" selected="0">
            <x v="3"/>
          </reference>
          <reference field="6" count="0"/>
        </references>
      </pivotArea>
    </format>
    <format dxfId="195">
      <pivotArea dataOnly="0" labelOnly="1" fieldPosition="0">
        <references count="2">
          <reference field="1" count="1" selected="0">
            <x v="4"/>
          </reference>
          <reference field="6" count="0"/>
        </references>
      </pivotArea>
    </format>
    <format dxfId="194">
      <pivotArea dataOnly="0" labelOnly="1" fieldPosition="0">
        <references count="1">
          <reference field="2" count="0"/>
        </references>
      </pivotArea>
    </format>
    <format dxfId="193">
      <pivotArea dataOnly="0" labelOnly="1" fieldPosition="0">
        <references count="1">
          <reference field="2" count="0" defaultSubtotal="1"/>
        </references>
      </pivotArea>
    </format>
    <format dxfId="192">
      <pivotArea dataOnly="0" labelOnly="1" grandCol="1" outline="0" fieldPosition="0"/>
    </format>
    <format dxfId="191">
      <pivotArea dataOnly="0" labelOnly="1" fieldPosition="0">
        <references count="2">
          <reference field="0" count="0"/>
          <reference field="2" count="1" selected="0">
            <x v="0"/>
          </reference>
        </references>
      </pivotArea>
    </format>
    <format dxfId="190">
      <pivotArea dataOnly="0" labelOnly="1" fieldPosition="0">
        <references count="2">
          <reference field="0" count="0"/>
          <reference field="2" count="1" selected="0">
            <x v="1"/>
          </reference>
        </references>
      </pivotArea>
    </format>
    <format dxfId="189">
      <pivotArea type="origin" dataOnly="0" labelOnly="1" outline="0" fieldPosition="0"/>
    </format>
    <format dxfId="188">
      <pivotArea field="2" type="button" dataOnly="0" labelOnly="1" outline="0" axis="axisCol" fieldPosition="0"/>
    </format>
    <format dxfId="187">
      <pivotArea field="0" type="button" dataOnly="0" labelOnly="1" outline="0" axis="axisCol" fieldPosition="1"/>
    </format>
    <format dxfId="186">
      <pivotArea type="topRight" dataOnly="0" labelOnly="1" outline="0" fieldPosition="0"/>
    </format>
    <format dxfId="185">
      <pivotArea field="1" type="button" dataOnly="0" labelOnly="1" outline="0" axis="axisRow" fieldPosition="0"/>
    </format>
    <format dxfId="184">
      <pivotArea dataOnly="0" labelOnly="1" fieldPosition="0">
        <references count="1">
          <reference field="2" count="0"/>
        </references>
      </pivotArea>
    </format>
    <format dxfId="183">
      <pivotArea dataOnly="0" labelOnly="1" fieldPosition="0">
        <references count="1">
          <reference field="2" count="0" defaultSubtotal="1"/>
        </references>
      </pivotArea>
    </format>
    <format dxfId="182">
      <pivotArea dataOnly="0" labelOnly="1" grandCol="1" outline="0" fieldPosition="0"/>
    </format>
    <format dxfId="181">
      <pivotArea dataOnly="0" labelOnly="1" fieldPosition="0">
        <references count="2">
          <reference field="0" count="0"/>
          <reference field="2" count="1" selected="0">
            <x v="0"/>
          </reference>
        </references>
      </pivotArea>
    </format>
    <format dxfId="180">
      <pivotArea dataOnly="0" labelOnly="1" fieldPosition="0">
        <references count="2">
          <reference field="0" count="0"/>
          <reference field="2" count="1" selected="0">
            <x v="1"/>
          </reference>
        </references>
      </pivotArea>
    </format>
    <format dxfId="179">
      <pivotArea type="topRight" dataOnly="0" labelOnly="1" outline="0" offset="D1" fieldPosition="0"/>
    </format>
    <format dxfId="178">
      <pivotArea grandCol="1" outline="0" collapsedLevelsAreSubtotals="1" fieldPosition="0"/>
    </format>
    <format dxfId="177">
      <pivotArea type="origin" dataOnly="0" labelOnly="1" outline="0" fieldPosition="0"/>
    </format>
    <format dxfId="176">
      <pivotArea field="1" type="button" dataOnly="0" labelOnly="1" outline="0" axis="axisRow" fieldPosition="0"/>
    </format>
    <format dxfId="175">
      <pivotArea dataOnly="0" labelOnly="1" fieldPosition="0">
        <references count="1">
          <reference field="1" count="0"/>
        </references>
      </pivotArea>
    </format>
    <format dxfId="174">
      <pivotArea dataOnly="0" labelOnly="1" grandRow="1" outline="0" fieldPosition="0"/>
    </format>
    <format dxfId="173">
      <pivotArea dataOnly="0" labelOnly="1" fieldPosition="0">
        <references count="2">
          <reference field="1" count="1" selected="0">
            <x v="0"/>
          </reference>
          <reference field="6" count="0"/>
        </references>
      </pivotArea>
    </format>
    <format dxfId="172">
      <pivotArea dataOnly="0" labelOnly="1" fieldPosition="0">
        <references count="2">
          <reference field="1" count="1" selected="0">
            <x v="1"/>
          </reference>
          <reference field="6" count="0"/>
        </references>
      </pivotArea>
    </format>
    <format dxfId="171">
      <pivotArea dataOnly="0" labelOnly="1" fieldPosition="0">
        <references count="2">
          <reference field="1" count="1" selected="0">
            <x v="2"/>
          </reference>
          <reference field="6" count="0"/>
        </references>
      </pivotArea>
    </format>
    <format dxfId="170">
      <pivotArea dataOnly="0" labelOnly="1" fieldPosition="0">
        <references count="2">
          <reference field="1" count="1" selected="0">
            <x v="3"/>
          </reference>
          <reference field="6" count="0"/>
        </references>
      </pivotArea>
    </format>
    <format dxfId="169">
      <pivotArea dataOnly="0" labelOnly="1" fieldPosition="0">
        <references count="2">
          <reference field="1" count="1" selected="0">
            <x v="4"/>
          </reference>
          <reference field="6" count="0"/>
        </references>
      </pivotArea>
    </format>
    <format dxfId="168">
      <pivotArea field="6" dataOnly="0" grandRow="1" axis="axisRow" fieldPosition="1">
        <references count="1">
          <reference field="6" count="0" defaultSubtotal="1" sumSubtotal="1" countASubtotal="1" avgSubtotal="1" maxSubtotal="1" minSubtotal="1" productSubtotal="1" countSubtotal="1" stdDevSubtotal="1" stdDevPSubtotal="1" varSubtotal="1" varPSubtotal="1"/>
        </references>
      </pivotArea>
    </format>
    <format dxfId="167">
      <pivotArea dataOnly="0" labelOnly="1" fieldPosition="0">
        <references count="1">
          <reference field="1" count="3">
            <x v="2"/>
            <x v="3"/>
            <x v="4"/>
          </reference>
        </references>
      </pivotArea>
    </format>
    <format dxfId="166">
      <pivotArea dataOnly="0" labelOnly="1" fieldPosition="0">
        <references count="2">
          <reference field="1" count="1" selected="0">
            <x v="1"/>
          </reference>
          <reference field="6" count="0"/>
        </references>
      </pivotArea>
    </format>
    <format dxfId="165">
      <pivotArea dataOnly="0" labelOnly="1" fieldPosition="0">
        <references count="2">
          <reference field="1" count="1" selected="0">
            <x v="2"/>
          </reference>
          <reference field="6" count="0"/>
        </references>
      </pivotArea>
    </format>
    <format dxfId="164">
      <pivotArea dataOnly="0" labelOnly="1" fieldPosition="0">
        <references count="2">
          <reference field="1" count="1" selected="0">
            <x v="3"/>
          </reference>
          <reference field="6" count="0"/>
        </references>
      </pivotArea>
    </format>
    <format dxfId="163">
      <pivotArea dataOnly="0" labelOnly="1" fieldPosition="0">
        <references count="2">
          <reference field="1" count="1" selected="0">
            <x v="4"/>
          </reference>
          <reference field="6" count="0"/>
        </references>
      </pivotArea>
    </format>
  </formats>
  <chartFormats count="8">
    <chartFormat chart="0" format="0" series="1">
      <pivotArea type="data" outline="0" fieldPosition="0">
        <references count="3">
          <reference field="4294967294" count="1" selected="0">
            <x v="0"/>
          </reference>
          <reference field="0" count="1" selected="0">
            <x v="0"/>
          </reference>
          <reference field="2" count="1" selected="0">
            <x v="0"/>
          </reference>
        </references>
      </pivotArea>
    </chartFormat>
    <chartFormat chart="0" format="1" series="1">
      <pivotArea type="data" outline="0" fieldPosition="0">
        <references count="3">
          <reference field="4294967294" count="1" selected="0">
            <x v="0"/>
          </reference>
          <reference field="0" count="1" selected="0">
            <x v="1"/>
          </reference>
          <reference field="2" count="1" selected="0">
            <x v="0"/>
          </reference>
        </references>
      </pivotArea>
    </chartFormat>
    <chartFormat chart="0" format="2" series="1">
      <pivotArea type="data" outline="0" fieldPosition="0">
        <references count="3">
          <reference field="4294967294" count="1" selected="0">
            <x v="0"/>
          </reference>
          <reference field="0" count="1" selected="0">
            <x v="0"/>
          </reference>
          <reference field="2" count="1" selected="0">
            <x v="1"/>
          </reference>
        </references>
      </pivotArea>
    </chartFormat>
    <chartFormat chart="0" format="3" series="1">
      <pivotArea type="data" outline="0" fieldPosition="0">
        <references count="3">
          <reference field="4294967294" count="1" selected="0">
            <x v="0"/>
          </reference>
          <reference field="0" count="1" selected="0">
            <x v="1"/>
          </reference>
          <reference field="2" count="1" selected="0">
            <x v="1"/>
          </reference>
        </references>
      </pivotArea>
    </chartFormat>
    <chartFormat chart="1" format="0" series="1">
      <pivotArea type="data" outline="0" fieldPosition="0">
        <references count="3">
          <reference field="4294967294" count="1" selected="0">
            <x v="0"/>
          </reference>
          <reference field="0" count="1" selected="0">
            <x v="0"/>
          </reference>
          <reference field="2" count="1" selected="0">
            <x v="0"/>
          </reference>
        </references>
      </pivotArea>
    </chartFormat>
    <chartFormat chart="1" format="1" series="1">
      <pivotArea type="data" outline="0" fieldPosition="0">
        <references count="3">
          <reference field="4294967294" count="1" selected="0">
            <x v="0"/>
          </reference>
          <reference field="0" count="1" selected="0">
            <x v="1"/>
          </reference>
          <reference field="2" count="1" selected="0">
            <x v="0"/>
          </reference>
        </references>
      </pivotArea>
    </chartFormat>
    <chartFormat chart="1" format="2" series="1">
      <pivotArea type="data" outline="0" fieldPosition="0">
        <references count="3">
          <reference field="4294967294" count="1" selected="0">
            <x v="0"/>
          </reference>
          <reference field="0" count="1" selected="0">
            <x v="0"/>
          </reference>
          <reference field="2" count="1" selected="0">
            <x v="1"/>
          </reference>
        </references>
      </pivotArea>
    </chartFormat>
    <chartFormat chart="1" format="3" series="1">
      <pivotArea type="data" outline="0" fieldPosition="0">
        <references count="3">
          <reference field="4294967294" count="1" selected="0">
            <x v="0"/>
          </reference>
          <reference field="0"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66FBFA-5FFF-49C2-A17E-B1B823089F75}"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ace/Ethnicity" colHeaderCaption="Test Prep">
  <location ref="J4:M21" firstHeaderRow="1" firstDataRow="2" firstDataCol="1"/>
  <pivotFields count="6">
    <pivotField showAll="0">
      <items count="3">
        <item x="0"/>
        <item x="1"/>
        <item t="default"/>
      </items>
    </pivotField>
    <pivotField axis="axisRow" showAll="0">
      <items count="6">
        <item x="4"/>
        <item x="0"/>
        <item x="2"/>
        <item x="1"/>
        <item x="3"/>
        <item t="default"/>
      </items>
    </pivotField>
    <pivotField axis="axisRow" showAll="0">
      <items count="3">
        <item x="1"/>
        <item x="0"/>
        <item t="default"/>
      </items>
    </pivotField>
    <pivotField axis="axisCol" showAll="0">
      <items count="3">
        <item x="1"/>
        <item x="0"/>
        <item t="default"/>
      </items>
    </pivotField>
    <pivotField dataField="1" showAll="0"/>
    <pivotField showAll="0"/>
  </pivotFields>
  <rowFields count="2">
    <field x="1"/>
    <field x="2"/>
  </rowFields>
  <rowItems count="16">
    <i>
      <x/>
    </i>
    <i r="1">
      <x/>
    </i>
    <i r="1">
      <x v="1"/>
    </i>
    <i>
      <x v="1"/>
    </i>
    <i r="1">
      <x/>
    </i>
    <i r="1">
      <x v="1"/>
    </i>
    <i>
      <x v="2"/>
    </i>
    <i r="1">
      <x/>
    </i>
    <i r="1">
      <x v="1"/>
    </i>
    <i>
      <x v="3"/>
    </i>
    <i r="1">
      <x/>
    </i>
    <i r="1">
      <x v="1"/>
    </i>
    <i>
      <x v="4"/>
    </i>
    <i r="1">
      <x/>
    </i>
    <i r="1">
      <x v="1"/>
    </i>
    <i t="grand">
      <x/>
    </i>
  </rowItems>
  <colFields count="1">
    <field x="3"/>
  </colFields>
  <colItems count="3">
    <i>
      <x/>
    </i>
    <i>
      <x v="1"/>
    </i>
    <i t="grand">
      <x/>
    </i>
  </colItems>
  <dataFields count="1">
    <dataField name="Sum of Total Score" fld="4" baseField="0" baseItem="0"/>
  </dataFields>
  <formats count="43">
    <format dxfId="160">
      <pivotArea outline="0" collapsedLevelsAreSubtotals="1" fieldPosition="0">
        <references count="1">
          <reference field="3" count="1" selected="0">
            <x v="0"/>
          </reference>
        </references>
      </pivotArea>
    </format>
    <format dxfId="159">
      <pivotArea field="3" type="button" dataOnly="0" labelOnly="1" outline="0" axis="axisCol" fieldPosition="0"/>
    </format>
    <format dxfId="158">
      <pivotArea dataOnly="0" labelOnly="1" fieldPosition="0">
        <references count="1">
          <reference field="3" count="1">
            <x v="0"/>
          </reference>
        </references>
      </pivotArea>
    </format>
    <format dxfId="157">
      <pivotArea outline="0" collapsedLevelsAreSubtotals="1" fieldPosition="0">
        <references count="1">
          <reference field="3" count="1" selected="0">
            <x v="1"/>
          </reference>
        </references>
      </pivotArea>
    </format>
    <format dxfId="156">
      <pivotArea type="topRight" dataOnly="0" labelOnly="1" outline="0" fieldPosition="0"/>
    </format>
    <format dxfId="155">
      <pivotArea dataOnly="0" labelOnly="1" fieldPosition="0">
        <references count="1">
          <reference field="3" count="1">
            <x v="1"/>
          </reference>
        </references>
      </pivotArea>
    </format>
    <format dxfId="154">
      <pivotArea grandCol="1" outline="0" collapsedLevelsAreSubtotals="1" fieldPosition="0"/>
    </format>
    <format dxfId="153">
      <pivotArea type="origin" dataOnly="0" labelOnly="1" outline="0" fieldPosition="0"/>
    </format>
    <format dxfId="152">
      <pivotArea field="1" type="button" dataOnly="0" labelOnly="1" outline="0" axis="axisRow" fieldPosition="0"/>
    </format>
    <format dxfId="151">
      <pivotArea dataOnly="0" labelOnly="1" fieldPosition="0">
        <references count="1">
          <reference field="1" count="0"/>
        </references>
      </pivotArea>
    </format>
    <format dxfId="150">
      <pivotArea dataOnly="0" labelOnly="1" grandRow="1" outline="0" fieldPosition="0"/>
    </format>
    <format dxfId="149">
      <pivotArea dataOnly="0" labelOnly="1" fieldPosition="0">
        <references count="2">
          <reference field="1" count="1" selected="0">
            <x v="0"/>
          </reference>
          <reference field="2" count="0"/>
        </references>
      </pivotArea>
    </format>
    <format dxfId="148">
      <pivotArea dataOnly="0" labelOnly="1" fieldPosition="0">
        <references count="2">
          <reference field="1" count="1" selected="0">
            <x v="1"/>
          </reference>
          <reference field="2" count="0"/>
        </references>
      </pivotArea>
    </format>
    <format dxfId="147">
      <pivotArea dataOnly="0" labelOnly="1" fieldPosition="0">
        <references count="2">
          <reference field="1" count="1" selected="0">
            <x v="2"/>
          </reference>
          <reference field="2" count="0"/>
        </references>
      </pivotArea>
    </format>
    <format dxfId="146">
      <pivotArea dataOnly="0" labelOnly="1" fieldPosition="0">
        <references count="2">
          <reference field="1" count="1" selected="0">
            <x v="3"/>
          </reference>
          <reference field="2" count="0"/>
        </references>
      </pivotArea>
    </format>
    <format dxfId="145">
      <pivotArea dataOnly="0" labelOnly="1" fieldPosition="0">
        <references count="2">
          <reference field="1" count="1" selected="0">
            <x v="4"/>
          </reference>
          <reference field="2" count="0"/>
        </references>
      </pivotArea>
    </format>
    <format dxfId="144">
      <pivotArea type="origin" dataOnly="0" labelOnly="1" outline="0" fieldPosition="0"/>
    </format>
    <format dxfId="143">
      <pivotArea field="3" type="button" dataOnly="0" labelOnly="1" outline="0" axis="axisCol" fieldPosition="0"/>
    </format>
    <format dxfId="142">
      <pivotArea type="topRight" dataOnly="0" labelOnly="1" outline="0" fieldPosition="0"/>
    </format>
    <format dxfId="141">
      <pivotArea field="1" type="button" dataOnly="0" labelOnly="1" outline="0" axis="axisRow" fieldPosition="0"/>
    </format>
    <format dxfId="140">
      <pivotArea dataOnly="0" labelOnly="1" fieldPosition="0">
        <references count="1">
          <reference field="3" count="0"/>
        </references>
      </pivotArea>
    </format>
    <format dxfId="139">
      <pivotArea dataOnly="0" labelOnly="1" grandCol="1" outline="0" fieldPosition="0"/>
    </format>
    <format dxfId="138">
      <pivotArea type="all" dataOnly="0" outline="0" fieldPosition="0"/>
    </format>
    <format dxfId="137">
      <pivotArea collapsedLevelsAreSubtotals="1" fieldPosition="0">
        <references count="1">
          <reference field="1" count="1">
            <x v="0"/>
          </reference>
        </references>
      </pivotArea>
    </format>
    <format dxfId="136">
      <pivotArea collapsedLevelsAreSubtotals="1" fieldPosition="0">
        <references count="2">
          <reference field="1" count="1" selected="0">
            <x v="0"/>
          </reference>
          <reference field="2" count="0"/>
        </references>
      </pivotArea>
    </format>
    <format dxfId="135">
      <pivotArea dataOnly="0" labelOnly="1" fieldPosition="0">
        <references count="1">
          <reference field="1" count="1">
            <x v="0"/>
          </reference>
        </references>
      </pivotArea>
    </format>
    <format dxfId="134">
      <pivotArea dataOnly="0" labelOnly="1" fieldPosition="0">
        <references count="2">
          <reference field="1" count="1" selected="0">
            <x v="0"/>
          </reference>
          <reference field="2" count="0"/>
        </references>
      </pivotArea>
    </format>
    <format dxfId="133">
      <pivotArea collapsedLevelsAreSubtotals="1" fieldPosition="0">
        <references count="2">
          <reference field="1" count="1" selected="0">
            <x v="1"/>
          </reference>
          <reference field="2" count="0"/>
        </references>
      </pivotArea>
    </format>
    <format dxfId="132">
      <pivotArea dataOnly="0" labelOnly="1" fieldPosition="0">
        <references count="2">
          <reference field="1" count="1" selected="0">
            <x v="1"/>
          </reference>
          <reference field="2" count="0"/>
        </references>
      </pivotArea>
    </format>
    <format dxfId="131">
      <pivotArea collapsedLevelsAreSubtotals="1" fieldPosition="0">
        <references count="2">
          <reference field="1" count="1" selected="0">
            <x v="2"/>
          </reference>
          <reference field="2" count="0"/>
        </references>
      </pivotArea>
    </format>
    <format dxfId="130">
      <pivotArea dataOnly="0" labelOnly="1" fieldPosition="0">
        <references count="2">
          <reference field="1" count="1" selected="0">
            <x v="2"/>
          </reference>
          <reference field="2" count="0"/>
        </references>
      </pivotArea>
    </format>
    <format dxfId="129">
      <pivotArea collapsedLevelsAreSubtotals="1" fieldPosition="0">
        <references count="2">
          <reference field="1" count="1" selected="0">
            <x v="3"/>
          </reference>
          <reference field="2" count="0"/>
        </references>
      </pivotArea>
    </format>
    <format dxfId="128">
      <pivotArea dataOnly="0" labelOnly="1" fieldPosition="0">
        <references count="2">
          <reference field="1" count="1" selected="0">
            <x v="3"/>
          </reference>
          <reference field="2" count="0"/>
        </references>
      </pivotArea>
    </format>
    <format dxfId="127">
      <pivotArea collapsedLevelsAreSubtotals="1" fieldPosition="0">
        <references count="2">
          <reference field="1" count="1" selected="0">
            <x v="4"/>
          </reference>
          <reference field="2" count="0"/>
        </references>
      </pivotArea>
    </format>
    <format dxfId="126">
      <pivotArea dataOnly="0" labelOnly="1" fieldPosition="0">
        <references count="2">
          <reference field="1" count="1" selected="0">
            <x v="4"/>
          </reference>
          <reference field="2" count="0"/>
        </references>
      </pivotArea>
    </format>
    <format dxfId="125">
      <pivotArea dataOnly="0" fieldPosition="0">
        <references count="1">
          <reference field="2" count="1">
            <x v="1"/>
          </reference>
        </references>
      </pivotArea>
    </format>
    <format dxfId="124">
      <pivotArea dataOnly="0" fieldPosition="0">
        <references count="1">
          <reference field="1" count="0"/>
        </references>
      </pivotArea>
    </format>
    <format dxfId="123">
      <pivotArea type="origin" dataOnly="0" labelOnly="1" outline="0" fieldPosition="0"/>
    </format>
    <format dxfId="122">
      <pivotArea field="3" type="button" dataOnly="0" labelOnly="1" outline="0" axis="axisCol" fieldPosition="0"/>
    </format>
    <format dxfId="121">
      <pivotArea type="topRight" dataOnly="0" labelOnly="1" outline="0" fieldPosition="0"/>
    </format>
    <format dxfId="120">
      <pivotArea dataOnly="0" labelOnly="1" fieldPosition="0">
        <references count="1">
          <reference field="3" count="1">
            <x v="0"/>
          </reference>
        </references>
      </pivotArea>
    </format>
    <format dxfId="119">
      <pivotArea dataOnly="0" labelOnly="1" fieldPosition="0">
        <references count="1">
          <reference field="3" count="1">
            <x v="1"/>
          </reference>
        </references>
      </pivotArea>
    </format>
    <format dxfId="118">
      <pivotArea type="origin" dataOnly="0" labelOnly="1" outline="0" fieldPosition="0"/>
    </format>
  </formats>
  <chartFormats count="5">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pivotArea type="data" outline="0" fieldPosition="0">
        <references count="4">
          <reference field="4294967294" count="1" selected="0">
            <x v="0"/>
          </reference>
          <reference field="1" count="1" selected="0">
            <x v="0"/>
          </reference>
          <reference field="2"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9EF48A-09AE-493B-B38B-0439508FC8DE}"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ace">
  <location ref="L7:M13" firstHeaderRow="1" firstDataRow="1" firstDataCol="1"/>
  <pivotFields count="6">
    <pivotField showAll="0">
      <items count="3">
        <item x="1"/>
        <item x="0"/>
        <item t="default"/>
      </items>
    </pivotField>
    <pivotField axis="axisRow" showAll="0">
      <items count="6">
        <item x="4"/>
        <item x="1"/>
        <item x="2"/>
        <item x="0"/>
        <item x="3"/>
        <item t="default"/>
      </items>
    </pivotField>
    <pivotField showAll="0"/>
    <pivotField showAll="0"/>
    <pivotField dataField="1" showAll="0"/>
    <pivotField showAll="0"/>
  </pivotFields>
  <rowFields count="1">
    <field x="1"/>
  </rowFields>
  <rowItems count="6">
    <i>
      <x/>
    </i>
    <i>
      <x v="1"/>
    </i>
    <i>
      <x v="2"/>
    </i>
    <i>
      <x v="3"/>
    </i>
    <i>
      <x v="4"/>
    </i>
    <i t="grand">
      <x/>
    </i>
  </rowItems>
  <colItems count="1">
    <i/>
  </colItems>
  <dataFields count="1">
    <dataField name="Sum of Total Score" fld="4" baseField="0" baseItem="0"/>
  </dataFields>
  <formats count="6">
    <format dxfId="101">
      <pivotArea dataOnly="0" labelOnly="1" fieldPosition="0">
        <references count="1">
          <reference field="1" count="0"/>
        </references>
      </pivotArea>
    </format>
    <format dxfId="100">
      <pivotArea dataOnly="0" labelOnly="1" grandRow="1" outline="0" fieldPosition="0"/>
    </format>
    <format dxfId="99">
      <pivotArea outline="0" collapsedLevelsAreSubtotals="1" fieldPosition="0"/>
    </format>
    <format dxfId="98">
      <pivotArea dataOnly="0" labelOnly="1" fieldPosition="0">
        <references count="1">
          <reference field="1" count="0"/>
        </references>
      </pivotArea>
    </format>
    <format dxfId="97">
      <pivotArea dataOnly="0" labelOnly="1" grandRow="1" outline="0" fieldPosition="0"/>
    </format>
    <format dxfId="96">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CCFF75-979E-420C-BCE5-205759601756}" name="PivotTable6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ace" colHeaderCaption="Lunch">
  <location ref="L4:S12" firstHeaderRow="1" firstDataRow="3" firstDataCol="1"/>
  <pivotFields count="7">
    <pivotField axis="axisCol" showAll="0">
      <items count="3">
        <item x="0"/>
        <item x="1"/>
        <item t="default"/>
      </items>
    </pivotField>
    <pivotField axis="axisRow" showAll="0">
      <items count="6">
        <item x="1"/>
        <item x="0"/>
        <item x="2"/>
        <item x="3"/>
        <item x="4"/>
        <item t="default"/>
      </items>
    </pivotField>
    <pivotField axis="axisCol" showAll="0">
      <items count="3">
        <item x="1"/>
        <item x="0"/>
        <item t="default"/>
      </items>
    </pivotField>
    <pivotField showAll="0"/>
    <pivotField dataField="1" showAll="0"/>
    <pivotField showAll="0"/>
    <pivotField showAll="0"/>
  </pivotFields>
  <rowFields count="1">
    <field x="1"/>
  </rowFields>
  <rowItems count="6">
    <i>
      <x/>
    </i>
    <i>
      <x v="1"/>
    </i>
    <i>
      <x v="2"/>
    </i>
    <i>
      <x v="3"/>
    </i>
    <i>
      <x v="4"/>
    </i>
    <i t="grand">
      <x/>
    </i>
  </rowItems>
  <colFields count="2">
    <field x="2"/>
    <field x="0"/>
  </colFields>
  <colItems count="7">
    <i>
      <x/>
      <x/>
    </i>
    <i r="1">
      <x v="1"/>
    </i>
    <i t="default">
      <x/>
    </i>
    <i>
      <x v="1"/>
      <x/>
    </i>
    <i r="1">
      <x v="1"/>
    </i>
    <i t="default">
      <x v="1"/>
    </i>
    <i t="grand">
      <x/>
    </i>
  </colItems>
  <dataFields count="1">
    <dataField name="Sum of Total Score" fld="4" baseField="0" baseItem="0"/>
  </dataFields>
  <formats count="42">
    <format dxfId="76">
      <pivotArea outline="0" collapsedLevelsAreSubtotals="1" fieldPosition="0">
        <references count="2">
          <reference field="0" count="1" selected="0">
            <x v="0"/>
          </reference>
          <reference field="2" count="1" selected="0">
            <x v="0"/>
          </reference>
        </references>
      </pivotArea>
    </format>
    <format dxfId="75">
      <pivotArea field="2" type="button" dataOnly="0" labelOnly="1" outline="0" axis="axisCol" fieldPosition="0"/>
    </format>
    <format dxfId="74">
      <pivotArea dataOnly="0" labelOnly="1" fieldPosition="0">
        <references count="2">
          <reference field="0" count="1">
            <x v="0"/>
          </reference>
          <reference field="2" count="1" selected="0">
            <x v="0"/>
          </reference>
        </references>
      </pivotArea>
    </format>
    <format dxfId="73">
      <pivotArea outline="0" collapsedLevelsAreSubtotals="1" fieldPosition="0">
        <references count="1">
          <reference field="2" count="1" selected="0" defaultSubtotal="1">
            <x v="0"/>
          </reference>
        </references>
      </pivotArea>
    </format>
    <format dxfId="72">
      <pivotArea type="topRight" dataOnly="0" labelOnly="1" outline="0" fieldPosition="0"/>
    </format>
    <format dxfId="71">
      <pivotArea dataOnly="0" labelOnly="1" fieldPosition="0">
        <references count="1">
          <reference field="2" count="1" defaultSubtotal="1">
            <x v="0"/>
          </reference>
        </references>
      </pivotArea>
    </format>
    <format dxfId="70">
      <pivotArea type="origin" dataOnly="0" labelOnly="1" outline="0" fieldPosition="0"/>
    </format>
    <format dxfId="69">
      <pivotArea field="1" type="button" dataOnly="0" labelOnly="1" outline="0" axis="axisRow" fieldPosition="0"/>
    </format>
    <format dxfId="68">
      <pivotArea dataOnly="0" labelOnly="1" fieldPosition="0">
        <references count="1">
          <reference field="1" count="0"/>
        </references>
      </pivotArea>
    </format>
    <format dxfId="67">
      <pivotArea dataOnly="0" labelOnly="1" grandRow="1" outline="0" fieldPosition="0"/>
    </format>
    <format dxfId="66">
      <pivotArea dataOnly="0" grandRow="1" fieldPosition="0"/>
    </format>
    <format dxfId="65">
      <pivotArea type="origin" dataOnly="0" labelOnly="1" outline="0" offset="A2" fieldPosition="0"/>
    </format>
    <format dxfId="64">
      <pivotArea field="1" type="button" dataOnly="0" labelOnly="1" outline="0" axis="axisRow" fieldPosition="0"/>
    </format>
    <format dxfId="63">
      <pivotArea dataOnly="0" labelOnly="1" fieldPosition="0">
        <references count="1">
          <reference field="1" count="0"/>
        </references>
      </pivotArea>
    </format>
    <format dxfId="62">
      <pivotArea dataOnly="0" labelOnly="1" fieldPosition="0">
        <references count="1">
          <reference field="2" count="0"/>
        </references>
      </pivotArea>
    </format>
    <format dxfId="61">
      <pivotArea dataOnly="0" labelOnly="1" fieldPosition="0">
        <references count="1">
          <reference field="2" count="0" defaultSubtotal="1"/>
        </references>
      </pivotArea>
    </format>
    <format dxfId="60">
      <pivotArea dataOnly="0" labelOnly="1" grandCol="1" outline="0" fieldPosition="0"/>
    </format>
    <format dxfId="59">
      <pivotArea dataOnly="0" labelOnly="1" fieldPosition="0">
        <references count="2">
          <reference field="0" count="0"/>
          <reference field="2" count="1" selected="0">
            <x v="0"/>
          </reference>
        </references>
      </pivotArea>
    </format>
    <format dxfId="58">
      <pivotArea dataOnly="0" labelOnly="1" fieldPosition="0">
        <references count="2">
          <reference field="0" count="0"/>
          <reference field="2" count="1" selected="0">
            <x v="1"/>
          </reference>
        </references>
      </pivotArea>
    </format>
    <format dxfId="57">
      <pivotArea type="origin" dataOnly="0" labelOnly="1" outline="0" offset="A1" fieldPosition="0"/>
    </format>
    <format dxfId="56">
      <pivotArea field="2" type="button" dataOnly="0" labelOnly="1" outline="0" axis="axisCol" fieldPosition="0"/>
    </format>
    <format dxfId="55">
      <pivotArea field="0" type="button" dataOnly="0" labelOnly="1" outline="0" axis="axisCol" fieldPosition="1"/>
    </format>
    <format dxfId="54">
      <pivotArea type="topRight" dataOnly="0" labelOnly="1" outline="0" fieldPosition="0"/>
    </format>
    <format dxfId="53">
      <pivotArea outline="0" collapsedLevelsAreSubtotals="1" fieldPosition="0">
        <references count="2">
          <reference field="0" count="1" selected="0">
            <x v="1"/>
          </reference>
          <reference field="2" count="1" selected="0">
            <x v="1"/>
          </reference>
        </references>
      </pivotArea>
    </format>
    <format dxfId="52">
      <pivotArea dataOnly="0" labelOnly="1" fieldPosition="0">
        <references count="2">
          <reference field="0" count="1">
            <x v="1"/>
          </reference>
          <reference field="2" count="1" selected="0">
            <x v="1"/>
          </reference>
        </references>
      </pivotArea>
    </format>
    <format dxfId="51">
      <pivotArea outline="0" collapsedLevelsAreSubtotals="1" fieldPosition="0">
        <references count="2">
          <reference field="0" count="1" selected="0">
            <x v="1"/>
          </reference>
          <reference field="2" count="1" selected="0">
            <x v="0"/>
          </reference>
        </references>
      </pivotArea>
    </format>
    <format dxfId="50">
      <pivotArea dataOnly="0" labelOnly="1" fieldPosition="0">
        <references count="1">
          <reference field="2" count="1">
            <x v="0"/>
          </reference>
        </references>
      </pivotArea>
    </format>
    <format dxfId="49">
      <pivotArea dataOnly="0" labelOnly="1" fieldPosition="0">
        <references count="2">
          <reference field="0" count="1">
            <x v="1"/>
          </reference>
          <reference field="2" count="1" selected="0">
            <x v="0"/>
          </reference>
        </references>
      </pivotArea>
    </format>
    <format dxfId="48">
      <pivotArea outline="0" collapsedLevelsAreSubtotals="1" fieldPosition="0">
        <references count="2">
          <reference field="0" count="1" selected="0">
            <x v="0"/>
          </reference>
          <reference field="2" count="1" selected="0">
            <x v="1"/>
          </reference>
        </references>
      </pivotArea>
    </format>
    <format dxfId="47">
      <pivotArea dataOnly="0" labelOnly="1" fieldPosition="0">
        <references count="1">
          <reference field="2" count="1">
            <x v="1"/>
          </reference>
        </references>
      </pivotArea>
    </format>
    <format dxfId="46">
      <pivotArea dataOnly="0" labelOnly="1" fieldPosition="0">
        <references count="2">
          <reference field="0" count="1">
            <x v="0"/>
          </reference>
          <reference field="2" count="1" selected="0">
            <x v="1"/>
          </reference>
        </references>
      </pivotArea>
    </format>
    <format dxfId="45">
      <pivotArea collapsedLevelsAreSubtotals="1" fieldPosition="0">
        <references count="1">
          <reference field="1" count="0"/>
        </references>
      </pivotArea>
    </format>
    <format dxfId="44">
      <pivotArea type="origin" dataOnly="0" labelOnly="1" outline="0" fieldPosition="0"/>
    </format>
    <format dxfId="43">
      <pivotArea field="2" type="button" dataOnly="0" labelOnly="1" outline="0" axis="axisCol" fieldPosition="0"/>
    </format>
    <format dxfId="42">
      <pivotArea field="0" type="button" dataOnly="0" labelOnly="1" outline="0" axis="axisCol" fieldPosition="1"/>
    </format>
    <format dxfId="41">
      <pivotArea type="topRight" dataOnly="0" labelOnly="1" outline="0" fieldPosition="0"/>
    </format>
    <format dxfId="40">
      <pivotArea field="1" type="button" dataOnly="0" labelOnly="1" outline="0" axis="axisRow" fieldPosition="0"/>
    </format>
    <format dxfId="39">
      <pivotArea dataOnly="0" labelOnly="1" fieldPosition="0">
        <references count="1">
          <reference field="2" count="0"/>
        </references>
      </pivotArea>
    </format>
    <format dxfId="38">
      <pivotArea dataOnly="0" labelOnly="1" fieldPosition="0">
        <references count="1">
          <reference field="2" count="0" defaultSubtotal="1"/>
        </references>
      </pivotArea>
    </format>
    <format dxfId="37">
      <pivotArea dataOnly="0" labelOnly="1" grandCol="1" outline="0" fieldPosition="0"/>
    </format>
    <format dxfId="36">
      <pivotArea dataOnly="0" labelOnly="1" fieldPosition="0">
        <references count="2">
          <reference field="0" count="0"/>
          <reference field="2" count="1" selected="0">
            <x v="0"/>
          </reference>
        </references>
      </pivotArea>
    </format>
    <format dxfId="35">
      <pivotArea dataOnly="0" labelOnly="1" fieldPosition="0">
        <references count="2">
          <reference field="0" count="0"/>
          <reference field="2" count="1" selected="0">
            <x v="1"/>
          </reference>
        </references>
      </pivotArea>
    </format>
  </formats>
  <chartFormats count="12">
    <chartFormat chart="2" format="8" series="1">
      <pivotArea type="data" outline="0" fieldPosition="0">
        <references count="3">
          <reference field="4294967294" count="1" selected="0">
            <x v="0"/>
          </reference>
          <reference field="0" count="1" selected="0">
            <x v="0"/>
          </reference>
          <reference field="2" count="1" selected="0">
            <x v="0"/>
          </reference>
        </references>
      </pivotArea>
    </chartFormat>
    <chartFormat chart="2" format="9" series="1">
      <pivotArea type="data" outline="0" fieldPosition="0">
        <references count="3">
          <reference field="4294967294" count="1" selected="0">
            <x v="0"/>
          </reference>
          <reference field="0" count="1" selected="0">
            <x v="1"/>
          </reference>
          <reference field="2" count="1" selected="0">
            <x v="0"/>
          </reference>
        </references>
      </pivotArea>
    </chartFormat>
    <chartFormat chart="2" format="10" series="1">
      <pivotArea type="data" outline="0" fieldPosition="0">
        <references count="3">
          <reference field="4294967294" count="1" selected="0">
            <x v="0"/>
          </reference>
          <reference field="0" count="1" selected="0">
            <x v="0"/>
          </reference>
          <reference field="2" count="1" selected="0">
            <x v="1"/>
          </reference>
        </references>
      </pivotArea>
    </chartFormat>
    <chartFormat chart="2" format="11" series="1">
      <pivotArea type="data" outline="0" fieldPosition="0">
        <references count="3">
          <reference field="4294967294" count="1" selected="0">
            <x v="0"/>
          </reference>
          <reference field="0" count="1" selected="0">
            <x v="1"/>
          </reference>
          <reference field="2" count="1" selected="0">
            <x v="1"/>
          </reference>
        </references>
      </pivotArea>
    </chartFormat>
    <chartFormat chart="3" format="0" series="1">
      <pivotArea type="data" outline="0" fieldPosition="0">
        <references count="3">
          <reference field="4294967294" count="1" selected="0">
            <x v="0"/>
          </reference>
          <reference field="0" count="1" selected="0">
            <x v="0"/>
          </reference>
          <reference field="2" count="1" selected="0">
            <x v="0"/>
          </reference>
        </references>
      </pivotArea>
    </chartFormat>
    <chartFormat chart="3" format="1" series="1">
      <pivotArea type="data" outline="0" fieldPosition="0">
        <references count="3">
          <reference field="4294967294" count="1" selected="0">
            <x v="0"/>
          </reference>
          <reference field="0" count="1" selected="0">
            <x v="1"/>
          </reference>
          <reference field="2" count="1" selected="0">
            <x v="0"/>
          </reference>
        </references>
      </pivotArea>
    </chartFormat>
    <chartFormat chart="3" format="2" series="1">
      <pivotArea type="data" outline="0" fieldPosition="0">
        <references count="3">
          <reference field="4294967294" count="1" selected="0">
            <x v="0"/>
          </reference>
          <reference field="0" count="1" selected="0">
            <x v="0"/>
          </reference>
          <reference field="2" count="1" selected="0">
            <x v="1"/>
          </reference>
        </references>
      </pivotArea>
    </chartFormat>
    <chartFormat chart="3" format="3" series="1">
      <pivotArea type="data" outline="0" fieldPosition="0">
        <references count="3">
          <reference field="4294967294" count="1" selected="0">
            <x v="0"/>
          </reference>
          <reference field="0" count="1" selected="0">
            <x v="1"/>
          </reference>
          <reference field="2" count="1" selected="0">
            <x v="1"/>
          </reference>
        </references>
      </pivotArea>
    </chartFormat>
    <chartFormat chart="5" format="0" series="1">
      <pivotArea type="data" outline="0" fieldPosition="0">
        <references count="3">
          <reference field="4294967294" count="1" selected="0">
            <x v="0"/>
          </reference>
          <reference field="0" count="1" selected="0">
            <x v="0"/>
          </reference>
          <reference field="2" count="1" selected="0">
            <x v="0"/>
          </reference>
        </references>
      </pivotArea>
    </chartFormat>
    <chartFormat chart="5" format="1" series="1">
      <pivotArea type="data" outline="0" fieldPosition="0">
        <references count="3">
          <reference field="4294967294" count="1" selected="0">
            <x v="0"/>
          </reference>
          <reference field="0" count="1" selected="0">
            <x v="1"/>
          </reference>
          <reference field="2" count="1" selected="0">
            <x v="0"/>
          </reference>
        </references>
      </pivotArea>
    </chartFormat>
    <chartFormat chart="5" format="2" series="1">
      <pivotArea type="data" outline="0" fieldPosition="0">
        <references count="3">
          <reference field="4294967294" count="1" selected="0">
            <x v="0"/>
          </reference>
          <reference field="0" count="1" selected="0">
            <x v="0"/>
          </reference>
          <reference field="2" count="1" selected="0">
            <x v="1"/>
          </reference>
        </references>
      </pivotArea>
    </chartFormat>
    <chartFormat chart="5" format="3" series="1">
      <pivotArea type="data" outline="0" fieldPosition="0">
        <references count="3">
          <reference field="4294967294" count="1" selected="0">
            <x v="0"/>
          </reference>
          <reference field="0"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406C24A-0B47-4432-891A-13298EF09B55}" sourceName="Gender">
  <pivotTables>
    <pivotTable tabId="13" name="PivotTable38"/>
  </pivotTables>
  <data>
    <tabular pivotCacheId="102260975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1" xr10:uid="{29EBF293-6646-403F-8848-2CFA58294CB6}" sourceName="Race/ethnicity">
  <pivotTables>
    <pivotTable tabId="13" name="PivotTable38"/>
  </pivotTables>
  <data>
    <tabular pivotCacheId="1022609757">
      <items count="5">
        <i x="4" s="1"/>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A6F2D518-40C2-4EA3-8EA2-57BED4228764}" sourceName="Gender">
  <pivotTables>
    <pivotTable tabId="17" name="PivotTable61"/>
  </pivotTables>
  <data>
    <tabular pivotCacheId="147285209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3" xr10:uid="{2D197E1A-B687-47DC-906E-C4C290916B86}" sourceName="Race/ethnicity">
  <pivotTables>
    <pivotTable tabId="17" name="PivotTable61"/>
  </pivotTables>
  <data>
    <tabular pivotCacheId="1472852097">
      <items count="5">
        <i x="1" s="1"/>
        <i x="0"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5" xr10:uid="{342A9090-DF3F-4654-BBEF-C72AC07A1BA5}" sourceName="Gender">
  <pivotTables>
    <pivotTable tabId="15" name="PivotTable66"/>
  </pivotTables>
  <data>
    <tabular pivotCacheId="2069575220">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5" xr10:uid="{8E86F1AE-279C-4FCC-B5EA-7B31ADE05FF2}" sourceName="Race/ethnicity">
  <pivotTables>
    <pivotTable tabId="15" name="PivotTable66"/>
  </pivotTables>
  <data>
    <tabular pivotCacheId="2069575220">
      <items count="5">
        <i x="0" s="1"/>
        <i x="1" s="1"/>
        <i x="2" s="1"/>
        <i x="3" s="1"/>
        <i x="4"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4" xr10:uid="{3C158E19-C342-419E-B153-08D39C291FA1}" sourceName="Gender">
  <pivotTables>
    <pivotTable tabId="16" name="PivotTable2"/>
  </pivotTables>
  <data>
    <tabular pivotCacheId="280809888">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4" xr10:uid="{E345B2E5-C269-4FD9-B6B1-4A7E322DBFB5}" sourceName="Race/ethnicity">
  <pivotTables>
    <pivotTable tabId="16" name="PivotTable2"/>
  </pivotTables>
  <data>
    <tabular pivotCacheId="280809888">
      <items count="5">
        <i x="4" s="1"/>
        <i x="0" s="1"/>
        <i x="2" s="1"/>
        <i x="1"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6" xr10:uid="{4118945D-D7FF-42BD-B083-15F947C49139}" sourceName="Gender">
  <pivotTables>
    <pivotTable tabId="14" name="PivotTable2"/>
  </pivotTables>
  <data>
    <tabular pivotCacheId="1084594449">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6" xr10:uid="{626028AD-246D-4750-9F88-55893E1A4F2C}" sourceName="Race/ethnicity">
  <pivotTables>
    <pivotTable tabId="14" name="PivotTable2"/>
  </pivotTables>
  <data>
    <tabular pivotCacheId="1084594449">
      <items count="5">
        <i x="2" s="1"/>
        <i x="1" s="1"/>
        <i x="0" s="1"/>
        <i x="3" s="1"/>
        <i x="4"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8" xr10:uid="{4DC3F8D0-B048-4AAB-A44A-3CEB716451E1}" sourceName="Gender">
  <pivotTables>
    <pivotTable tabId="12" name="PivotTable2"/>
  </pivotTables>
  <data>
    <tabular pivotCacheId="617608579">
      <items count="2">
        <i x="0" s="1"/>
        <i x="1"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7" xr10:uid="{28AA05F7-5701-427A-BAD7-836EC59B33F8}" sourceName="Race/ethnicity">
  <pivotTables>
    <pivotTable tabId="12" name="PivotTable2"/>
  </pivotTables>
  <data>
    <tabular pivotCacheId="617608579">
      <items count="5">
        <i x="3" s="1"/>
        <i x="1" s="1"/>
        <i x="0" s="1"/>
        <i x="2" s="1"/>
        <i x="4"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5A0C1BD8-C0CD-4ECF-891A-83471DEBAAF0}" sourceName="Lunch">
  <pivotTables>
    <pivotTable tabId="12" name="PivotTable2"/>
  </pivotTables>
  <data>
    <tabular pivotCacheId="617608579">
      <items count="2">
        <i x="1"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2" xr10:uid="{DDFCCDF0-8C45-4108-8198-C06B6B63D131}" sourceName="Test prep">
  <pivotTables>
    <pivotTable tabId="12" name="PivotTable2"/>
  </pivotTables>
  <data>
    <tabular pivotCacheId="617608579">
      <items count="2">
        <i x="1"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13A1628-D49C-4C5B-8260-51604ED7A85C}" sourceName="gender">
  <extLst>
    <x:ext xmlns:x15="http://schemas.microsoft.com/office/spreadsheetml/2010/11/main" uri="{2F2917AC-EB37-4324-AD4E-5DD8C200BD13}">
      <x15:tableSlicerCache tableId="1" column="1"/>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 xr10:uid="{FF2C5852-4FF0-4E34-AF3B-1E26EC0554C0}" sourceName="race/ethnicity">
  <extLst>
    <x:ext xmlns:x15="http://schemas.microsoft.com/office/spreadsheetml/2010/11/main" uri="{2F2917AC-EB37-4324-AD4E-5DD8C200BD13}">
      <x15:tableSlicerCache tableId="1" column="2"/>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level_of_education" xr10:uid="{58FC2E49-1F83-4595-9DE6-8B1CE989802F}" sourceName="parental level of education">
  <extLst>
    <x:ext xmlns:x15="http://schemas.microsoft.com/office/spreadsheetml/2010/11/main" uri="{2F2917AC-EB37-4324-AD4E-5DD8C200BD13}">
      <x15:tableSlicerCache tableId="1" column="3"/>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90FB4712-DA1F-4F16-92D6-3BF6A2C19CB3}" sourceName="test preparation course">
  <extLst>
    <x:ext xmlns:x15="http://schemas.microsoft.com/office/spreadsheetml/2010/11/main" uri="{2F2917AC-EB37-4324-AD4E-5DD8C200BD13}">
      <x15:tableSlicerCache tableId="1" column="5"/>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A31F6248-F3DD-4D45-A81A-00780E313B0E}" sourceName="Gender">
  <extLst>
    <x:ext xmlns:x15="http://schemas.microsoft.com/office/spreadsheetml/2010/11/main" uri="{2F2917AC-EB37-4324-AD4E-5DD8C200BD13}">
      <x15:tableSlicerCache tableId="5" column="1"/>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2" xr10:uid="{435FD57A-4C53-420C-83C1-3B7AC8BF56B6}" sourceName="Race/ethnicity">
  <extLst>
    <x:ext xmlns:x15="http://schemas.microsoft.com/office/spreadsheetml/2010/11/main" uri="{2F2917AC-EB37-4324-AD4E-5DD8C200BD13}">
      <x15:tableSlicerCache tableId="5" column="2"/>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 xr10:uid="{E1151A18-ACB7-4C1A-80F3-32FC24485CD7}" sourceName="Test prep">
  <extLst>
    <x:ext xmlns:x15="http://schemas.microsoft.com/office/spreadsheetml/2010/11/main" uri="{2F2917AC-EB37-4324-AD4E-5DD8C200BD13}">
      <x15:tableSlicerCache tableId="5" column="4"/>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7" xr10:uid="{8C81F4FC-7976-4BED-9190-D6E855365C27}" sourceName="Gender">
  <extLst>
    <x:ext xmlns:x15="http://schemas.microsoft.com/office/spreadsheetml/2010/11/main" uri="{2F2917AC-EB37-4324-AD4E-5DD8C200BD13}">
      <x15:tableSlicerCache tableId="11" column="1"/>
    </x:ext>
  </extLst>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1" xr10:uid="{51B83DFC-84DF-477B-A1D0-B0645DFC75BF}" sourceName="Test prep">
  <extLst>
    <x:ext xmlns:x15="http://schemas.microsoft.com/office/spreadsheetml/2010/11/main" uri="{2F2917AC-EB37-4324-AD4E-5DD8C200BD13}">
      <x15:tableSlicerCache tableId="11" column="4"/>
    </x:ext>
  </extLst>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9" xr10:uid="{EA3D9A76-33F7-4418-96BA-7654CF8063F5}" sourceName="Gender">
  <extLst>
    <x:ext xmlns:x15="http://schemas.microsoft.com/office/spreadsheetml/2010/11/main" uri="{2F2917AC-EB37-4324-AD4E-5DD8C200BD13}">
      <x15:tableSlicerCache tableId="2" column="1"/>
    </x:ext>
  </extLst>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_ethnicity8" xr10:uid="{BA0A559D-6C90-4BA3-84CC-7A21C4ADC94D}" sourceName="Race/ethnicity">
  <extLst>
    <x:ext xmlns:x15="http://schemas.microsoft.com/office/spreadsheetml/2010/11/main" uri="{2F2917AC-EB37-4324-AD4E-5DD8C200BD13}">
      <x15:tableSlicerCache tableId="2" column="2"/>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AF4B5280-607F-4713-BBD9-D049ED2CCA6B}" sourceName="Grade">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E273559-5620-414A-9583-C08F821A805B}" cache="Slicer_gender" caption="gender" columnCount="2" rowHeight="251883"/>
  <slicer name="race/ethnicity" xr10:uid="{9AB95CF3-EE5E-4F52-A4A6-0932D7D5F979}" cache="Slicer_race_ethnicity" caption="race/ethnicity" columnCount="5" rowHeight="251883"/>
  <slicer name="parental level of education" xr10:uid="{B7EB7813-BBAD-4F03-9EF3-34676226EBB1}" cache="Slicer_parental_level_of_education" caption="parental level of education" columnCount="5" rowHeight="251883"/>
  <slicer name="test preparation course" xr10:uid="{D832FE54-5E9A-458B-B6D4-15F01B193B2E}" cache="Slicer_test_preparation_course" caption="test preparation course" columnCoun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8" xr10:uid="{82328545-33FC-414A-81CF-A82105C42E86}" cache="Slicer_Gender8" caption="Gender" columnCount="2" style="SlicerStyleLight5" rowHeight="251883"/>
  <slicer name="Race/ethnicity 7" xr10:uid="{8C3DEAF4-E138-4F7F-9FE3-CD1C01AEFD76}" cache="Slicer_Race_ethnicity7" caption="Race/ethnicity" columnCount="5" style="SlicerStyleLight5" rowHeight="251883"/>
  <slicer name="Lunch" xr10:uid="{2470C0A6-3EDE-47A6-A9F0-3AC95A131E0A}" cache="Slicer_Lunch" caption="Lunch" columnCount="2" style="SlicerStyleLight5" rowHeight="251883"/>
  <slicer name="Test prep 2" xr10:uid="{AFC78FA0-CF4F-4E86-A8F1-E2281D6D3233}" cache="Slicer_Test_prep2" caption="Test prep" columnCount="2" style="SlicerStyleLight5"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9" xr10:uid="{99ED2AC3-8293-4B92-956D-21B37487D0B0}" cache="Slicer_Gender9" caption="Gender" columnCount="2" style="SlicerStyleLight6" rowHeight="251883"/>
  <slicer name="Race/ethnicity 8" xr10:uid="{40B03623-7B3F-4CEC-9DA4-1D1A069DBFB1}" cache="Slicer_Race_ethnicity8" caption="Race/ethnicity" columnCount="5" style="SlicerStyleLight6" rowHeight="251883"/>
  <slicer name="Grade" xr10:uid="{4DA1F60D-FABE-4BB5-9CF5-5BE655D25468}" cache="Slicer_Grade" caption="Grade" columnCount="5" style="SlicerStyleLight6"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6" xr10:uid="{087904A4-76BC-4395-84B2-8B1B3D684B85}" cache="Slicer_Gender6" caption="Gender" columnCount="2" rowHeight="251883"/>
  <slicer name="Race/ethnicity 6" xr10:uid="{BF5EE0C4-007D-4D1C-885F-8517CA02C450}" cache="Slicer_Race_ethnicity6" caption="Race/ethnicity" columnCount="5"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7" xr10:uid="{6D6F8088-48E9-4F13-BE09-DC90A9D44F4A}" cache="Slicer_Gender7" caption="Gender" columnCount="2" rowHeight="251883"/>
  <slicer name="Test prep 1" xr10:uid="{3A1A2F62-A523-4FBF-B9DE-36BA7904387D}" cache="Slicer_Test_prep1" caption="Test prep" columnCount="2"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5" xr10:uid="{DE9FF031-6544-4186-AA89-531786353015}" cache="Slicer_Gender5" caption="Gender" columnCount="2" style="SlicerStyleLight6" rowHeight="251883"/>
  <slicer name="Race/ethnicity 5" xr10:uid="{1E4EB887-111C-4FAE-AD6A-B2E5E12F0968}" cache="Slicer_Race_ethnicity5" caption="Race/ethnicity" columnCount="5" style="SlicerStyleOther2"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BEF56955-C938-43AC-AE4C-D9127087D551}" cache="Slicer_Gender4" caption="Gender" columnCount="2" rowHeight="251883"/>
  <slicer name="Race/ethnicity 4" xr10:uid="{2B68CDC8-EAD4-4F40-BA4C-E9C6D0742896}" cache="Slicer_Race_ethnicity4" caption="Race/ethnicity" columnCount="5" rowHeight="251883"/>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D7E25C8-CA35-4C97-B5C5-14F8AB2D1719}" cache="Slicer_Gender1" caption="Gender" columnCount="2" style="SlicerStyleLight2" rowHeight="251883"/>
  <slicer name="Race/ethnicity 1" xr10:uid="{A1CBB5EE-92A4-4E01-B0AE-99C959D407A1}" cache="Slicer_Race_ethnicity1" caption="Race/ethnicity" columnCount="5" style="SlicerStyleLight2" rowHeight="251883"/>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B90E4F6-FB26-428A-BCBA-63F90C5C9D5D}" cache="Slicer_Gender2" caption="Gender" columnCount="2" rowHeight="251883"/>
  <slicer name="Race/ethnicity 2" xr10:uid="{35373013-5F71-4442-AAB5-2E912BD1EB12}" cache="Slicer_Race_ethnicity2" caption="Race/ethnicity" columnCount="5" rowHeight="251883"/>
  <slicer name="Test prep" xr10:uid="{1DCA5E99-21A1-4C04-B86B-A910608D9A64}" cache="Slicer_Test_prep" caption="Test prep" columnCount="2" rowHeight="251883"/>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C0C20F9C-0BE3-4E62-A927-FDC7A989BE3C}" cache="Slicer_Gender3" caption="Gender" columnCount="2" rowHeight="251883"/>
  <slicer name="Race/ethnicity 3" xr10:uid="{04F5B651-FE1A-482A-AC15-CDFC49F737C1}" cache="Slicer_Race_ethnicity3" caption="Race/ethnicity" columnCoun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F4FEE9-A7A4-4256-BE7E-F430424AFC57}" name="Table1" displayName="Table1" ref="A5:M1006" totalsRowCount="1" headerRowDxfId="490" dataDxfId="489" totalsRowDxfId="488">
  <autoFilter ref="A5:M1005" xr:uid="{25F4FEE9-A7A4-4256-BE7E-F430424AFC57}"/>
  <tableColumns count="13">
    <tableColumn id="1" xr3:uid="{A68F083B-631F-41C0-A129-1EC801C5270A}" name="gender" totalsRowLabel="Total" dataDxfId="487" totalsRowDxfId="486"/>
    <tableColumn id="2" xr3:uid="{B94049F7-AEAE-48A8-9686-AD1C3B96C6C9}" name="race/ethnicity" dataDxfId="485" totalsRowDxfId="484"/>
    <tableColumn id="3" xr3:uid="{100ACBBC-466D-47A5-BC0D-49303F11E33A}" name="parental level of education" dataDxfId="483" totalsRowDxfId="482"/>
    <tableColumn id="4" xr3:uid="{A673126C-240B-441D-83B2-FF4DEF74E0EB}" name="lunch" dataDxfId="481" totalsRowDxfId="480"/>
    <tableColumn id="5" xr3:uid="{6ECF33AF-201D-475E-A4FB-0314DBC8F8D0}" name="test preparation course" dataDxfId="479" totalsRowDxfId="478"/>
    <tableColumn id="6" xr3:uid="{D55243B5-7044-4D5B-A878-A7364665773B}" name="math score" dataDxfId="477" totalsRowDxfId="476"/>
    <tableColumn id="7" xr3:uid="{9AD0EA9C-91C7-4C77-AB7D-B99E68420679}" name="reading score" dataDxfId="475" totalsRowDxfId="474"/>
    <tableColumn id="8" xr3:uid="{2ACF6BCE-2C8E-4FBE-A4FA-29C15211527E}" name="writing score" dataDxfId="473" totalsRowDxfId="472"/>
    <tableColumn id="9" xr3:uid="{5E7F7D3D-A6B5-48CC-BF4B-137E3AACBC64}" name="Total Score" totalsRowFunction="custom" dataDxfId="471" totalsRowDxfId="470" totalsRowCellStyle="Percent">
      <calculatedColumnFormula>SUM(F6:H6)</calculatedColumnFormula>
      <totalsRowFormula>_xlfn.AGGREGATE(9,2,Table1[Total Score])</totalsRowFormula>
    </tableColumn>
    <tableColumn id="13" xr3:uid="{7826328B-2DD0-4EB4-9AE0-C8126EF5FC3E}" name="Average Score" dataDxfId="469" totalsRowDxfId="468" dataCellStyle="Percent" totalsRowCellStyle="Percent">
      <calculatedColumnFormula>AVERAGE(Table1[[#This Row],[math score]:[writing score]])</calculatedColumnFormula>
    </tableColumn>
    <tableColumn id="10" xr3:uid="{FA7E82B5-F6AF-403C-B840-4BC5D2436B33}" name="Minimum Mark" dataDxfId="467" totalsRowDxfId="466">
      <calculatedColumnFormula>3*100</calculatedColumnFormula>
    </tableColumn>
    <tableColumn id="11" xr3:uid="{760184CD-F7E4-4B48-B4CF-4C858C076099}" name="Pass(%)" totalsRowFunction="custom" dataDxfId="465" totalsRowDxfId="464" dataCellStyle="Percent">
      <calculatedColumnFormula>Table1[[#This Row],[Total Score]]/Table1[[#This Row],[Minimum Mark]]</calculatedColumnFormula>
      <totalsRowFormula>SUBTOTAL(9,Table1[Pass(%)])</totalsRowFormula>
    </tableColumn>
    <tableColumn id="12" xr3:uid="{3D655840-0125-4BD1-BB04-1E5CADA29505}" name="Grade" totalsRowFunction="count" dataDxfId="463" totalsRowDxfId="462">
      <calculatedColumnFormula>_xlfn.XLOOKUP(Table1[[#This Row],[Pass(%)]],O:O,P:P,,-1)</calculatedColumnFormula>
    </tableColumn>
  </tableColumns>
  <tableStyleInfo name="TableStyleMedium9"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99CD91-5E66-4F1D-9DEE-47C0FFC15876}" name="Table2" displayName="Table2" ref="C6:I186" totalsRowCount="1" headerRowDxfId="376" dataDxfId="375">
  <autoFilter ref="C6:I185" xr:uid="{8199CD91-5E66-4F1D-9DEE-47C0FFC15876}"/>
  <tableColumns count="7">
    <tableColumn id="1" xr3:uid="{3ADA59DB-A18B-4F80-94EB-C3BC8865B7A6}" name="Gender" totalsRowLabel="Total" dataDxfId="374" totalsRowDxfId="373"/>
    <tableColumn id="2" xr3:uid="{ECC12A58-4DC1-4F88-AD97-49FB17946587}" name="Race/ethnicity" dataDxfId="372" totalsRowDxfId="371"/>
    <tableColumn id="3" xr3:uid="{51707861-BC74-41BE-BEFC-5511A7614988}" name="Lunch" dataDxfId="370" totalsRowDxfId="369"/>
    <tableColumn id="4" xr3:uid="{B2299D6D-2F3B-449A-8784-F8C9C6E05297}" name="Test prep" dataDxfId="368" totalsRowDxfId="367"/>
    <tableColumn id="5" xr3:uid="{B00E15CB-D047-408A-9B30-3E8B6A97CE9C}" name="Total Score" totalsRowFunction="average" dataDxfId="366" totalsRowDxfId="365" dataCellStyle="Percent"/>
    <tableColumn id="7" xr3:uid="{D8B2356A-851A-4E3C-B16E-C40BACB426A7}" name="Rank" dataDxfId="364" totalsRowDxfId="363" dataCellStyle="Percent" totalsRowCellStyle="Percent">
      <calculatedColumnFormula>RANK(Table2[[#This Row],[Total Score]],Table2[[Gender]:[Total Score]],0)</calculatedColumnFormula>
    </tableColumn>
    <tableColumn id="6" xr3:uid="{1F60F6CC-1945-4F45-B46B-8F4381917B54}" name="Grade" totalsRowFunction="count" dataDxfId="362" totalsRowDxfId="361">
      <calculatedColumnFormula>_xlfn.XLOOKUP(Table2[[#This Row],[Total Score]],J:J,K:K,,-1)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8097565-47AD-4B94-8216-FE3925D7F015}" name="Table11" displayName="Table11" ref="B6:H233" totalsRowCount="1" headerRowDxfId="325" dataDxfId="323" headerRowBorderDxfId="324" tableBorderDxfId="322" totalsRowBorderDxfId="321">
  <autoFilter ref="B6:H232" xr:uid="{08097565-47AD-4B94-8216-FE3925D7F015}"/>
  <tableColumns count="7">
    <tableColumn id="1" xr3:uid="{AC5724FE-654A-423E-978E-E1C9E43377E4}" name="Gender" totalsRowLabel="Total" dataDxfId="320" totalsRowDxfId="319"/>
    <tableColumn id="2" xr3:uid="{5D076E55-4346-4D9F-BE5F-0E0A0A91CB9E}" name="Race/ethnicity" dataDxfId="318" totalsRowDxfId="317"/>
    <tableColumn id="3" xr3:uid="{729ED2BD-C374-4B37-B177-491668B07B26}" name="Lunch" dataDxfId="316" totalsRowDxfId="315"/>
    <tableColumn id="4" xr3:uid="{9E5A7CB8-7BA4-461C-A8C2-B06662EB9D01}" name="Test prep" dataDxfId="314" totalsRowDxfId="313"/>
    <tableColumn id="5" xr3:uid="{C5DDC39A-F98E-43C8-9410-6B565151EBBA}" name="Total Score" totalsRowFunction="average" dataDxfId="312" totalsRowDxfId="311"/>
    <tableColumn id="7" xr3:uid="{74CC287D-C457-4C5F-8073-A88B0EA7E942}" name="RANK" totalsRowFunction="sum" dataDxfId="310" totalsRowDxfId="309">
      <calculatedColumnFormula>RANK(Table11[[#This Row],[Total Score]],Table11[[Gender]:[Total Score]],0)</calculatedColumnFormula>
    </tableColumn>
    <tableColumn id="8" xr3:uid="{A097A416-89B1-4930-AFEF-8EC3352FF052}" name="Grading" totalsRowFunction="count" dataDxfId="308" totalsRowDxfId="307">
      <calculatedColumnFormula>_xlfn.XLOOKUP(Table11[[#This Row],[Total Score]],I:I,K:K,,-1)</calculatedColumnFormula>
    </tableColumn>
  </tableColumns>
  <tableStyleInfo name="TableStyleMedium2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A197E6E-EA37-45CA-B118-57575B0E0294}" name="Table9" displayName="Table9" ref="A1:G224" totalsRowCount="1" headerRowDxfId="162" dataDxfId="161">
  <autoFilter ref="A1:G223" xr:uid="{AA197E6E-EA37-45CA-B118-57575B0E0294}"/>
  <tableColumns count="7">
    <tableColumn id="1" xr3:uid="{BE117C07-B254-4B6B-B41F-E20A0C095326}" name="Gender" totalsRowLabel="Total" dataDxfId="13" totalsRowDxfId="12"/>
    <tableColumn id="2" xr3:uid="{B70B223D-8F3C-4FE1-B832-E17BF8F7D377}" name="Race/ethnicity" dataDxfId="11" totalsRowDxfId="10"/>
    <tableColumn id="3" xr3:uid="{4C721553-13FE-48CF-8FC0-BEA4C394EEE3}" name="Lunch" dataDxfId="9" totalsRowDxfId="8"/>
    <tableColumn id="4" xr3:uid="{8BA5C795-9F12-4E7F-BEB8-B13AC99F4748}" name="Test prep" dataDxfId="7" totalsRowDxfId="6"/>
    <tableColumn id="5" xr3:uid="{99F877A6-D5C6-4930-B23B-D5DAF1E8FEE3}" name="Total Score" totalsRowFunction="average" dataDxfId="5" totalsRowDxfId="4"/>
    <tableColumn id="8" xr3:uid="{61F9AD23-4139-431F-BD3B-F87292362EEC}" name="POSITION" totalsRowFunction="sum" dataDxfId="3" totalsRowDxfId="2">
      <calculatedColumnFormula>RANK(Table9[[#This Row],[Total Score]],Table9[[Gender]:[Total Score]],0)</calculatedColumnFormula>
    </tableColumn>
    <tableColumn id="7" xr3:uid="{47FF9BEC-48FD-4CB5-B2E4-0107D5A40AA6}" name="Grading" totalsRowFunction="count" dataDxfId="1" totalsRowDxfId="0">
      <calculatedColumnFormula>_xlfn.XLOOKUP(Table9[[#This Row],[Total Score]],H:H,I:I,,-1)</calculatedColumnFormula>
    </tableColumn>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9B14224-4E8A-4375-B48A-A217EA5D0D02}" name="Table6" displayName="Table6" ref="B1:G120" totalsRowCount="1" headerRowDxfId="117" dataDxfId="116">
  <autoFilter ref="B1:G119" xr:uid="{49B14224-4E8A-4375-B48A-A217EA5D0D02}"/>
  <tableColumns count="6">
    <tableColumn id="1" xr3:uid="{219B8E82-3EF3-4D74-A2E4-30DBD1DE3C10}" name="Gender" totalsRowLabel="Total" dataDxfId="115" totalsRowDxfId="114"/>
    <tableColumn id="2" xr3:uid="{DB55A006-5402-491C-B1CC-D827B221BA04}" name="Race/ethnicity" dataDxfId="113" totalsRowDxfId="112"/>
    <tableColumn id="3" xr3:uid="{E557CE7A-6C16-4FE8-9BA6-A1660AC966BD}" name="Lunch" dataDxfId="111" totalsRowDxfId="110"/>
    <tableColumn id="4" xr3:uid="{2471BEA0-C3D5-407B-8279-C5BF348BC3F0}" name="Test prep" dataDxfId="109" totalsRowDxfId="108"/>
    <tableColumn id="5" xr3:uid="{518C588B-62CE-4F87-8925-B754867DF6D9}" name="Total Score" totalsRowFunction="sum" dataDxfId="107" totalsRowDxfId="106"/>
    <tableColumn id="6" xr3:uid="{A30851D8-418B-4889-9098-1B2140DD0F76}" name="Grading" totalsRowFunction="count" dataDxfId="105" totalsRowDxfId="104">
      <calculatedColumnFormula>_xlfn.XLOOKUP(F2,H:H,I:I,,-1)</calculatedColumnFormula>
    </tableColumn>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692FFF4-765A-4B44-ACFF-771126D13AEE}" name="Table7" displayName="Table7" ref="H1:I7" totalsRowShown="0" tableBorderDxfId="103">
  <autoFilter ref="H1:I7" xr:uid="{7692FFF4-765A-4B44-ACFF-771126D13AEE}"/>
  <tableColumns count="2">
    <tableColumn id="1" xr3:uid="{418031A1-5258-4011-8D7E-7485DBDEBDD3}" name="Grade" dataDxfId="102" dataCellStyle="Heading 3"/>
    <tableColumn id="2" xr3:uid="{06C062DA-6956-4875-B15C-6C139FC66B22}" name="Grading Scale" dataCellStyle="Heading 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34D9424-FFBF-4677-9407-459BCDB9A09D}" name="Table5" displayName="Table5" ref="B5:H202" totalsRowCount="1" headerRowDxfId="95" dataDxfId="94">
  <autoFilter ref="B5:H201" xr:uid="{534D9424-FFBF-4677-9407-459BCDB9A09D}"/>
  <tableColumns count="7">
    <tableColumn id="1" xr3:uid="{7DE2FF68-32F0-452C-9906-37820B6E7274}" name="Gender" totalsRowLabel="Total" dataDxfId="93" totalsRowDxfId="92"/>
    <tableColumn id="2" xr3:uid="{5E897B26-9FE2-475C-A7E0-EF602C223FBE}" name="Race/ethnicity" dataDxfId="91" totalsRowDxfId="90"/>
    <tableColumn id="3" xr3:uid="{DDEF6E62-63C7-4B21-9D9B-CE584EB548F7}" name="Lunch" dataDxfId="89" totalsRowDxfId="88"/>
    <tableColumn id="4" xr3:uid="{EB718739-6B99-45B3-8DD1-43C1B88B6C5D}" name="Test prep" dataDxfId="87" totalsRowDxfId="86"/>
    <tableColumn id="5" xr3:uid="{5868416A-0365-49B7-8148-878E5B2A1898}" name="Total Score" totalsRowFunction="sum" dataDxfId="85" totalsRowDxfId="84"/>
    <tableColumn id="7" xr3:uid="{F7D7B4C1-1F97-4E2B-BF1E-90628E9E73F2}" name="Rank" totalsRowFunction="custom" dataDxfId="83" totalsRowDxfId="82">
      <calculatedColumnFormula>RANK(Table5[[#This Row],[Total Score]],Table5[[Gender]:[Total Score]],0)</calculatedColumnFormula>
      <totalsRowFormula>COUNT(Table5[Rank])</totalsRowFormula>
    </tableColumn>
    <tableColumn id="6" xr3:uid="{4077E524-AB8B-4125-B86F-57A354A02E05}" name="Grading" dataDxfId="81" totalsRowDxfId="80">
      <calculatedColumnFormula>_xlfn.XLOOKUP(F6,I:I,K:K,,-1)</calculatedColumnFormula>
    </tableColumn>
  </tableColumns>
  <tableStyleInfo name="TableStyleMedium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7753AD-5C61-49B4-AB23-21EBF16E2DF0}" name="Table8" displayName="Table8" ref="L5:N6" headerRowCellStyle="Normal" dataCellStyle="Normal" totalsRowCellStyle="Normal">
  <autoFilter ref="L5:N6" xr:uid="{797753AD-5C61-49B4-AB23-21EBF16E2DF0}"/>
  <tableColumns count="3">
    <tableColumn id="1" xr3:uid="{33F7FDC0-3F65-44FA-B64C-72B564AA2981}" name="Education" totalsRowLabel="Total" totalsRowDxfId="79" dataCellStyle="Normal"/>
    <tableColumn id="2" xr3:uid="{91BC3ADA-ADC9-4BEE-8895-2EA81BC5130D}" name="Female %" totalsRowDxfId="78" dataCellStyle="Percent"/>
    <tableColumn id="3" xr3:uid="{60E61BDD-50A3-4594-B1C1-65D3BA5C1BC4}" name="Male %" totalsRowFunction="sum" totalsRowDxfId="77" dataCellStyle="Percent"/>
  </tableColumns>
  <tableStyleInfo name="TableStyleLight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C2CE1A-755F-42EB-A561-CD03B552E767}" name="Table3" displayName="Table3" ref="B1:H61" totalsRowCount="1" headerRowDxfId="34" dataDxfId="33">
  <autoFilter ref="B1:H60" xr:uid="{D0C2CE1A-755F-42EB-A561-CD03B552E767}"/>
  <tableColumns count="7">
    <tableColumn id="1" xr3:uid="{EC9F95A4-72F8-40C2-B085-9241A59D0BCB}" name="Gender" totalsRowLabel="Total" dataDxfId="32" totalsRowDxfId="31"/>
    <tableColumn id="2" xr3:uid="{17517967-EF64-448D-8D71-5D13BF0C7833}" name="Race/ethnicity" dataDxfId="30" totalsRowDxfId="29"/>
    <tableColumn id="3" xr3:uid="{315816D6-0854-4A96-B2CF-08F2A8CA487B}" name="Lunch" dataDxfId="28" totalsRowDxfId="27"/>
    <tableColumn id="4" xr3:uid="{530DD922-864A-4CFA-B796-0C9B73B06ABE}" name="Test prep" dataDxfId="26" totalsRowDxfId="25"/>
    <tableColumn id="5" xr3:uid="{799F3DC0-70B3-4FCF-A6DF-A0AEE60A99AA}" name="Total Score" totalsRowFunction="sum" dataDxfId="24" totalsRowDxfId="23"/>
    <tableColumn id="8" xr3:uid="{46BC45E6-3E8E-42E2-8363-5D2EB725D47A}" name="Rank" dataDxfId="22" totalsRowDxfId="21">
      <calculatedColumnFormula>RANK(Table3[[#This Row],[Total Score]],Table3[[Gender]:[Total Score]],0)</calculatedColumnFormula>
    </tableColumn>
    <tableColumn id="6" xr3:uid="{441653C3-ABE1-491B-ADB8-B3E374211621}" name="Grading" totalsRowFunction="count" dataDxfId="20" totalsRowDxfId="19">
      <calculatedColumnFormula>_xlfn.XLOOKUP(Table3[[#This Row],[Total Score]],I:I,J:J,,-1)</calculatedColumnFormula>
    </tableColumn>
  </tableColumns>
  <tableStyleInfo name="TableStyleLight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4AF584-81B7-40B3-A34B-DB87413DCE08}" name="Table4" displayName="Table4" ref="A2:D7" totalsRowShown="0" tableBorderDxfId="18">
  <tableColumns count="4">
    <tableColumn id="1" xr3:uid="{70DAA644-7765-4792-AAC5-C4BC95CDC825}" name="Sector" dataDxfId="17"/>
    <tableColumn id="2" xr3:uid="{6AF31BF2-D2D4-487A-BA06-A25ECFA1AE38}" name="Education" dataDxfId="16"/>
    <tableColumn id="3" xr3:uid="{DB0A4E46-F956-426F-BCD3-C11F016F367D}" name="Pass rate" dataDxfId="15" dataCellStyle="Percent"/>
    <tableColumn id="4" xr3:uid="{37AD0A2E-F716-415F-9456-8B0B588EDF4E}" name="Avg grade %" dataDxfId="14"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1.xml"/><Relationship Id="rId5" Type="http://schemas.microsoft.com/office/2007/relationships/slicer" Target="../slicers/slicer3.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ivotTable" Target="../pivotTables/pivotTable2.xml"/><Relationship Id="rId5" Type="http://schemas.microsoft.com/office/2007/relationships/slicer" Target="../slicers/slicer5.xml"/><Relationship Id="rId4" Type="http://schemas.microsoft.com/office/2007/relationships/slicer" Target="../slicers/slicer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3.xml"/><Relationship Id="rId4" Type="http://schemas.microsoft.com/office/2007/relationships/slicer" Target="../slicers/slicer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ivotTable" Target="../pivotTables/pivotTable4.xml"/><Relationship Id="rId5" Type="http://schemas.microsoft.com/office/2007/relationships/slicer" Target="../slicers/slicer7.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6.xml"/><Relationship Id="rId1" Type="http://schemas.openxmlformats.org/officeDocument/2006/relationships/pivotTable" Target="../pivotTables/pivotTable5.xml"/><Relationship Id="rId6" Type="http://schemas.microsoft.com/office/2007/relationships/slicer" Target="../slicers/slicer9.xml"/><Relationship Id="rId5" Type="http://schemas.microsoft.com/office/2007/relationships/slicer" Target="../slicers/slicer8.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7.xml"/><Relationship Id="rId1" Type="http://schemas.openxmlformats.org/officeDocument/2006/relationships/pivotTable" Target="../pivotTables/pivotTable6.xml"/><Relationship Id="rId4" Type="http://schemas.microsoft.com/office/2007/relationships/slicer" Target="../slicers/slicer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F56FC-ED5E-46FE-A896-6A6035272E08}">
  <dimension ref="A4:Q1006"/>
  <sheetViews>
    <sheetView topLeftCell="B1" zoomScale="81" zoomScaleNormal="81" workbookViewId="0">
      <selection activeCell="N9" sqref="N9"/>
    </sheetView>
  </sheetViews>
  <sheetFormatPr defaultRowHeight="14.5" x14ac:dyDescent="0.35"/>
  <cols>
    <col min="1" max="1" width="8.54296875" style="1" customWidth="1"/>
    <col min="2" max="2" width="14.6328125" style="1" customWidth="1"/>
    <col min="3" max="3" width="25.54296875" bestFit="1" customWidth="1"/>
    <col min="4" max="4" width="12.6328125" bestFit="1" customWidth="1"/>
    <col min="5" max="5" width="22.08984375" customWidth="1"/>
    <col min="6" max="6" width="12.81640625" bestFit="1" customWidth="1"/>
    <col min="7" max="7" width="14" customWidth="1"/>
    <col min="8" max="8" width="14.26953125" bestFit="1" customWidth="1"/>
    <col min="9" max="9" width="15.26953125" style="1" bestFit="1" customWidth="1"/>
    <col min="10" max="10" width="15.26953125" style="13" customWidth="1"/>
    <col min="11" max="11" width="15.26953125" style="1" customWidth="1"/>
    <col min="12" max="12" width="8.7265625" style="4"/>
    <col min="13" max="13" width="8.7265625" style="70"/>
    <col min="15" max="15" width="13.453125" style="2" customWidth="1"/>
    <col min="16" max="16" width="15.36328125" style="2" customWidth="1"/>
    <col min="17" max="17" width="30.81640625" style="2" bestFit="1" customWidth="1"/>
  </cols>
  <sheetData>
    <row r="4" spans="1:17" ht="15" thickBot="1" x14ac:dyDescent="0.4"/>
    <row r="5" spans="1:17" ht="15" thickBot="1" x14ac:dyDescent="0.4">
      <c r="A5" s="2" t="s">
        <v>0</v>
      </c>
      <c r="B5" s="2" t="s">
        <v>1</v>
      </c>
      <c r="C5" s="6" t="s">
        <v>2</v>
      </c>
      <c r="D5" s="6" t="s">
        <v>3</v>
      </c>
      <c r="E5" s="6" t="s">
        <v>4</v>
      </c>
      <c r="F5" s="6" t="s">
        <v>5</v>
      </c>
      <c r="G5" s="6" t="s">
        <v>6</v>
      </c>
      <c r="H5" s="6" t="s">
        <v>7</v>
      </c>
      <c r="I5" s="2" t="s">
        <v>27</v>
      </c>
      <c r="J5" s="8" t="s">
        <v>61</v>
      </c>
      <c r="K5" s="2" t="s">
        <v>57</v>
      </c>
      <c r="L5" s="4" t="s">
        <v>62</v>
      </c>
      <c r="M5" s="70" t="s">
        <v>28</v>
      </c>
      <c r="O5" s="58" t="s">
        <v>29</v>
      </c>
      <c r="P5" s="55" t="s">
        <v>30</v>
      </c>
      <c r="Q5" s="58" t="s">
        <v>39</v>
      </c>
    </row>
    <row r="6" spans="1:17" ht="15" thickBot="1" x14ac:dyDescent="0.4">
      <c r="A6" s="2" t="s">
        <v>8</v>
      </c>
      <c r="B6" s="2" t="s">
        <v>9</v>
      </c>
      <c r="C6" s="6" t="s">
        <v>10</v>
      </c>
      <c r="D6" s="6" t="s">
        <v>11</v>
      </c>
      <c r="E6" s="6" t="s">
        <v>12</v>
      </c>
      <c r="F6" s="6">
        <v>72</v>
      </c>
      <c r="G6" s="6">
        <v>72</v>
      </c>
      <c r="H6" s="6">
        <v>74</v>
      </c>
      <c r="I6" s="2">
        <f>SUM(F6:H6)</f>
        <v>218</v>
      </c>
      <c r="J6" s="8">
        <f>AVERAGE(Table1[[#This Row],[math score]:[writing score]])</f>
        <v>72.666666666666671</v>
      </c>
      <c r="K6" s="2">
        <f t="shared" ref="K6:K69" si="0">3*100</f>
        <v>300</v>
      </c>
      <c r="L6" s="4">
        <f>Table1[[#This Row],[Total Score]]/Table1[[#This Row],[Minimum Mark]]</f>
        <v>0.72666666666666668</v>
      </c>
      <c r="M6" s="70" t="str">
        <f>_xlfn.XLOOKUP(Table1[[#This Row],[Pass(%)]],O:O,P:P,,-1)</f>
        <v>C-</v>
      </c>
      <c r="O6" s="66">
        <v>0.97</v>
      </c>
      <c r="P6" s="67" t="s">
        <v>31</v>
      </c>
      <c r="Q6" s="68" t="s">
        <v>40</v>
      </c>
    </row>
    <row r="7" spans="1:17" ht="15" thickBot="1" x14ac:dyDescent="0.4">
      <c r="A7" s="2" t="s">
        <v>8</v>
      </c>
      <c r="B7" s="2" t="s">
        <v>13</v>
      </c>
      <c r="C7" s="6" t="s">
        <v>14</v>
      </c>
      <c r="D7" s="6" t="s">
        <v>11</v>
      </c>
      <c r="E7" s="6" t="s">
        <v>15</v>
      </c>
      <c r="F7" s="6">
        <v>69</v>
      </c>
      <c r="G7" s="6">
        <v>90</v>
      </c>
      <c r="H7" s="6">
        <v>88</v>
      </c>
      <c r="I7" s="2">
        <f t="shared" ref="I7:I70" si="1">SUM(F7:H7)</f>
        <v>247</v>
      </c>
      <c r="J7" s="8">
        <f>AVERAGE(Table1[[#This Row],[math score]:[writing score]])</f>
        <v>82.333333333333329</v>
      </c>
      <c r="K7" s="2">
        <f t="shared" si="0"/>
        <v>300</v>
      </c>
      <c r="L7" s="4">
        <f>Table1[[#This Row],[Total Score]]/Table1[[#This Row],[Minimum Mark]]</f>
        <v>0.82333333333333336</v>
      </c>
      <c r="M7" s="70" t="str">
        <f>_xlfn.XLOOKUP(Table1[[#This Row],[Pass(%)]],O:O,P:P,,-1)</f>
        <v>B-</v>
      </c>
      <c r="O7" s="61">
        <v>0.93</v>
      </c>
      <c r="P7" s="56" t="s">
        <v>37</v>
      </c>
      <c r="Q7" s="59" t="s">
        <v>41</v>
      </c>
    </row>
    <row r="8" spans="1:17" ht="15" thickBot="1" x14ac:dyDescent="0.4">
      <c r="A8" s="2" t="s">
        <v>8</v>
      </c>
      <c r="B8" s="2" t="s">
        <v>9</v>
      </c>
      <c r="C8" s="6" t="s">
        <v>16</v>
      </c>
      <c r="D8" s="6" t="s">
        <v>11</v>
      </c>
      <c r="E8" s="6" t="s">
        <v>12</v>
      </c>
      <c r="F8" s="6">
        <v>90</v>
      </c>
      <c r="G8" s="6">
        <v>95</v>
      </c>
      <c r="H8" s="6">
        <v>93</v>
      </c>
      <c r="I8" s="2">
        <f t="shared" si="1"/>
        <v>278</v>
      </c>
      <c r="J8" s="8">
        <f>AVERAGE(Table1[[#This Row],[math score]:[writing score]])</f>
        <v>92.666666666666671</v>
      </c>
      <c r="K8" s="2">
        <f t="shared" si="0"/>
        <v>300</v>
      </c>
      <c r="L8" s="4">
        <f>Table1[[#This Row],[Total Score]]/Table1[[#This Row],[Minimum Mark]]</f>
        <v>0.92666666666666664</v>
      </c>
      <c r="M8" s="70" t="str">
        <f>_xlfn.XLOOKUP(Table1[[#This Row],[Pass(%)]],O:O,P:P,,-1)</f>
        <v>A-</v>
      </c>
      <c r="O8" s="62">
        <v>0.9</v>
      </c>
      <c r="P8" s="57" t="s">
        <v>32</v>
      </c>
      <c r="Q8" s="60" t="s">
        <v>42</v>
      </c>
    </row>
    <row r="9" spans="1:17" ht="21" thickBot="1" x14ac:dyDescent="0.85">
      <c r="A9" s="3" t="s">
        <v>17</v>
      </c>
      <c r="B9" s="3" t="s">
        <v>18</v>
      </c>
      <c r="C9" s="7" t="s">
        <v>19</v>
      </c>
      <c r="D9" s="7" t="s">
        <v>20</v>
      </c>
      <c r="E9" s="7" t="s">
        <v>12</v>
      </c>
      <c r="F9" s="7">
        <v>47</v>
      </c>
      <c r="G9" s="7">
        <v>57</v>
      </c>
      <c r="H9" s="7">
        <v>44</v>
      </c>
      <c r="I9" s="3">
        <f t="shared" si="1"/>
        <v>148</v>
      </c>
      <c r="J9" s="14">
        <f>AVERAGE(Table1[[#This Row],[math score]:[writing score]])</f>
        <v>49.333333333333336</v>
      </c>
      <c r="K9" s="3">
        <f t="shared" si="0"/>
        <v>300</v>
      </c>
      <c r="L9" s="5">
        <f>Table1[[#This Row],[Total Score]]/Table1[[#This Row],[Minimum Mark]]</f>
        <v>0.49333333333333335</v>
      </c>
      <c r="M9" s="71" t="str">
        <f>_xlfn.XLOOKUP(Table1[[#This Row],[Pass(%)]],O:O,P:P,,-1)</f>
        <v>D</v>
      </c>
      <c r="O9" s="63"/>
      <c r="P9" s="64"/>
      <c r="Q9" s="65"/>
    </row>
    <row r="10" spans="1:17" ht="15" thickBot="1" x14ac:dyDescent="0.4">
      <c r="A10" s="2" t="s">
        <v>17</v>
      </c>
      <c r="B10" s="2" t="s">
        <v>13</v>
      </c>
      <c r="C10" s="6" t="s">
        <v>14</v>
      </c>
      <c r="D10" s="6" t="s">
        <v>11</v>
      </c>
      <c r="E10" s="6" t="s">
        <v>12</v>
      </c>
      <c r="F10" s="6">
        <v>76</v>
      </c>
      <c r="G10" s="6">
        <v>78</v>
      </c>
      <c r="H10" s="6">
        <v>75</v>
      </c>
      <c r="I10" s="2">
        <f t="shared" si="1"/>
        <v>229</v>
      </c>
      <c r="J10" s="8">
        <f>AVERAGE(Table1[[#This Row],[math score]:[writing score]])</f>
        <v>76.333333333333329</v>
      </c>
      <c r="K10" s="2">
        <f t="shared" si="0"/>
        <v>300</v>
      </c>
      <c r="L10" s="4">
        <f>Table1[[#This Row],[Total Score]]/Table1[[#This Row],[Minimum Mark]]</f>
        <v>0.76333333333333331</v>
      </c>
      <c r="M10" s="70" t="str">
        <f>_xlfn.XLOOKUP(Table1[[#This Row],[Pass(%)]],O:O,P:P,,-1)</f>
        <v>C</v>
      </c>
      <c r="O10" s="69">
        <v>0.87</v>
      </c>
      <c r="P10" s="55" t="s">
        <v>33</v>
      </c>
      <c r="Q10" s="58" t="s">
        <v>43</v>
      </c>
    </row>
    <row r="11" spans="1:17" ht="21" thickBot="1" x14ac:dyDescent="0.85">
      <c r="A11" s="3" t="s">
        <v>8</v>
      </c>
      <c r="B11" s="3" t="s">
        <v>9</v>
      </c>
      <c r="C11" s="7" t="s">
        <v>19</v>
      </c>
      <c r="D11" s="7" t="s">
        <v>11</v>
      </c>
      <c r="E11" s="7" t="s">
        <v>12</v>
      </c>
      <c r="F11" s="7">
        <v>71</v>
      </c>
      <c r="G11" s="7">
        <v>83</v>
      </c>
      <c r="H11" s="7">
        <v>78</v>
      </c>
      <c r="I11" s="3">
        <f t="shared" si="1"/>
        <v>232</v>
      </c>
      <c r="J11" s="14">
        <f>AVERAGE(Table1[[#This Row],[math score]:[writing score]])</f>
        <v>77.333333333333329</v>
      </c>
      <c r="K11" s="3">
        <f t="shared" si="0"/>
        <v>300</v>
      </c>
      <c r="L11" s="5">
        <f>Table1[[#This Row],[Total Score]]/Table1[[#This Row],[Minimum Mark]]</f>
        <v>0.77333333333333332</v>
      </c>
      <c r="M11" s="71" t="str">
        <f>_xlfn.XLOOKUP(Table1[[#This Row],[Pass(%)]],O:O,P:P,,-1)</f>
        <v>C+</v>
      </c>
      <c r="O11" s="61"/>
      <c r="P11" s="56"/>
      <c r="Q11" s="59"/>
    </row>
    <row r="12" spans="1:17" ht="15" thickBot="1" x14ac:dyDescent="0.4">
      <c r="A12" s="2" t="s">
        <v>8</v>
      </c>
      <c r="B12" s="2" t="s">
        <v>9</v>
      </c>
      <c r="C12" s="6" t="s">
        <v>14</v>
      </c>
      <c r="D12" s="6" t="s">
        <v>11</v>
      </c>
      <c r="E12" s="6" t="s">
        <v>15</v>
      </c>
      <c r="F12" s="6">
        <v>88</v>
      </c>
      <c r="G12" s="6">
        <v>95</v>
      </c>
      <c r="H12" s="6">
        <v>92</v>
      </c>
      <c r="I12" s="2">
        <f t="shared" si="1"/>
        <v>275</v>
      </c>
      <c r="J12" s="8">
        <f>AVERAGE(Table1[[#This Row],[math score]:[writing score]])</f>
        <v>91.666666666666671</v>
      </c>
      <c r="K12" s="2">
        <f t="shared" si="0"/>
        <v>300</v>
      </c>
      <c r="L12" s="4">
        <f>Table1[[#This Row],[Total Score]]/Table1[[#This Row],[Minimum Mark]]</f>
        <v>0.91666666666666663</v>
      </c>
      <c r="M12" s="70" t="str">
        <f>_xlfn.XLOOKUP(Table1[[#This Row],[Pass(%)]],O:O,P:P,,-1)</f>
        <v>A-</v>
      </c>
      <c r="O12" s="61"/>
      <c r="P12" s="56"/>
      <c r="Q12" s="59"/>
    </row>
    <row r="13" spans="1:17" ht="15" thickBot="1" x14ac:dyDescent="0.4">
      <c r="A13" s="2" t="s">
        <v>17</v>
      </c>
      <c r="B13" s="2" t="s">
        <v>9</v>
      </c>
      <c r="C13" s="6" t="s">
        <v>14</v>
      </c>
      <c r="D13" s="6" t="s">
        <v>20</v>
      </c>
      <c r="E13" s="6" t="s">
        <v>12</v>
      </c>
      <c r="F13" s="6">
        <v>40</v>
      </c>
      <c r="G13" s="6">
        <v>43</v>
      </c>
      <c r="H13" s="6">
        <v>39</v>
      </c>
      <c r="I13" s="2">
        <f t="shared" si="1"/>
        <v>122</v>
      </c>
      <c r="J13" s="8">
        <f>AVERAGE(Table1[[#This Row],[math score]:[writing score]])</f>
        <v>40.666666666666664</v>
      </c>
      <c r="K13" s="2">
        <f t="shared" si="0"/>
        <v>300</v>
      </c>
      <c r="L13" s="4">
        <f>Table1[[#This Row],[Total Score]]/Table1[[#This Row],[Minimum Mark]]</f>
        <v>0.40666666666666668</v>
      </c>
      <c r="M13" s="70" t="str">
        <f>_xlfn.XLOOKUP(Table1[[#This Row],[Pass(%)]],O:O,P:P,,-1)</f>
        <v>D</v>
      </c>
      <c r="O13" s="63"/>
      <c r="P13" s="64"/>
      <c r="Q13" s="65"/>
    </row>
    <row r="14" spans="1:17" ht="15" thickBot="1" x14ac:dyDescent="0.4">
      <c r="A14" s="2" t="s">
        <v>17</v>
      </c>
      <c r="B14" s="2" t="s">
        <v>21</v>
      </c>
      <c r="C14" s="6" t="s">
        <v>22</v>
      </c>
      <c r="D14" s="6" t="s">
        <v>20</v>
      </c>
      <c r="E14" s="6" t="s">
        <v>15</v>
      </c>
      <c r="F14" s="6">
        <v>64</v>
      </c>
      <c r="G14" s="6">
        <v>64</v>
      </c>
      <c r="H14" s="6">
        <v>67</v>
      </c>
      <c r="I14" s="2">
        <f t="shared" si="1"/>
        <v>195</v>
      </c>
      <c r="J14" s="8">
        <f>AVERAGE(Table1[[#This Row],[math score]:[writing score]])</f>
        <v>65</v>
      </c>
      <c r="K14" s="2">
        <f t="shared" si="0"/>
        <v>300</v>
      </c>
      <c r="L14" s="4">
        <f>Table1[[#This Row],[Total Score]]/Table1[[#This Row],[Minimum Mark]]</f>
        <v>0.65</v>
      </c>
      <c r="M14" s="70" t="str">
        <f>_xlfn.XLOOKUP(Table1[[#This Row],[Pass(%)]],O:O,P:P,,-1)</f>
        <v>D+</v>
      </c>
      <c r="O14" s="69">
        <v>0.83</v>
      </c>
      <c r="P14" s="55" t="s">
        <v>38</v>
      </c>
      <c r="Q14" s="58" t="s">
        <v>43</v>
      </c>
    </row>
    <row r="15" spans="1:17" ht="15" thickBot="1" x14ac:dyDescent="0.4">
      <c r="A15" s="2" t="s">
        <v>8</v>
      </c>
      <c r="B15" s="2" t="s">
        <v>9</v>
      </c>
      <c r="C15" s="6" t="s">
        <v>22</v>
      </c>
      <c r="D15" s="6" t="s">
        <v>20</v>
      </c>
      <c r="E15" s="6" t="s">
        <v>12</v>
      </c>
      <c r="F15" s="6">
        <v>38</v>
      </c>
      <c r="G15" s="6">
        <v>60</v>
      </c>
      <c r="H15" s="6">
        <v>50</v>
      </c>
      <c r="I15" s="2">
        <f t="shared" si="1"/>
        <v>148</v>
      </c>
      <c r="J15" s="8">
        <f>AVERAGE(Table1[[#This Row],[math score]:[writing score]])</f>
        <v>49.333333333333336</v>
      </c>
      <c r="K15" s="2">
        <f t="shared" si="0"/>
        <v>300</v>
      </c>
      <c r="L15" s="4">
        <f>Table1[[#This Row],[Total Score]]/Table1[[#This Row],[Minimum Mark]]</f>
        <v>0.49333333333333335</v>
      </c>
      <c r="M15" s="70" t="str">
        <f>_xlfn.XLOOKUP(Table1[[#This Row],[Pass(%)]],O:O,P:P,,-1)</f>
        <v>D</v>
      </c>
      <c r="O15" s="61"/>
      <c r="P15" s="56"/>
      <c r="Q15" s="59"/>
    </row>
    <row r="16" spans="1:17" ht="21" thickBot="1" x14ac:dyDescent="0.85">
      <c r="A16" s="3" t="s">
        <v>17</v>
      </c>
      <c r="B16" s="3" t="s">
        <v>13</v>
      </c>
      <c r="C16" s="7" t="s">
        <v>19</v>
      </c>
      <c r="D16" s="7" t="s">
        <v>11</v>
      </c>
      <c r="E16" s="7" t="s">
        <v>12</v>
      </c>
      <c r="F16" s="7">
        <v>58</v>
      </c>
      <c r="G16" s="7">
        <v>54</v>
      </c>
      <c r="H16" s="7">
        <v>52</v>
      </c>
      <c r="I16" s="3">
        <f t="shared" si="1"/>
        <v>164</v>
      </c>
      <c r="J16" s="14">
        <f>AVERAGE(Table1[[#This Row],[math score]:[writing score]])</f>
        <v>54.666666666666664</v>
      </c>
      <c r="K16" s="3">
        <f t="shared" si="0"/>
        <v>300</v>
      </c>
      <c r="L16" s="5">
        <f>Table1[[#This Row],[Total Score]]/Table1[[#This Row],[Minimum Mark]]</f>
        <v>0.54666666666666663</v>
      </c>
      <c r="M16" s="71" t="str">
        <f>_xlfn.XLOOKUP(Table1[[#This Row],[Pass(%)]],O:O,P:P,,-1)</f>
        <v>D+</v>
      </c>
      <c r="O16" s="63"/>
      <c r="P16" s="64"/>
      <c r="Q16" s="65"/>
    </row>
    <row r="17" spans="1:17" ht="21" thickBot="1" x14ac:dyDescent="0.85">
      <c r="A17" s="3" t="s">
        <v>17</v>
      </c>
      <c r="B17" s="3" t="s">
        <v>21</v>
      </c>
      <c r="C17" s="7" t="s">
        <v>19</v>
      </c>
      <c r="D17" s="7" t="s">
        <v>11</v>
      </c>
      <c r="E17" s="7" t="s">
        <v>12</v>
      </c>
      <c r="F17" s="7">
        <v>40</v>
      </c>
      <c r="G17" s="7">
        <v>52</v>
      </c>
      <c r="H17" s="7">
        <v>43</v>
      </c>
      <c r="I17" s="3">
        <f t="shared" si="1"/>
        <v>135</v>
      </c>
      <c r="J17" s="14">
        <f>AVERAGE(Table1[[#This Row],[math score]:[writing score]])</f>
        <v>45</v>
      </c>
      <c r="K17" s="3">
        <f t="shared" si="0"/>
        <v>300</v>
      </c>
      <c r="L17" s="5">
        <f>Table1[[#This Row],[Total Score]]/Table1[[#This Row],[Minimum Mark]]</f>
        <v>0.45</v>
      </c>
      <c r="M17" s="71" t="str">
        <f>_xlfn.XLOOKUP(Table1[[#This Row],[Pass(%)]],O:O,P:P,,-1)</f>
        <v>D</v>
      </c>
      <c r="O17" s="66">
        <v>0.8</v>
      </c>
      <c r="P17" s="67" t="s">
        <v>34</v>
      </c>
      <c r="Q17" s="68" t="s">
        <v>44</v>
      </c>
    </row>
    <row r="18" spans="1:17" ht="15" thickBot="1" x14ac:dyDescent="0.4">
      <c r="A18" s="2" t="s">
        <v>8</v>
      </c>
      <c r="B18" s="2" t="s">
        <v>9</v>
      </c>
      <c r="C18" s="6" t="s">
        <v>22</v>
      </c>
      <c r="D18" s="6" t="s">
        <v>11</v>
      </c>
      <c r="E18" s="6" t="s">
        <v>12</v>
      </c>
      <c r="F18" s="6">
        <v>65</v>
      </c>
      <c r="G18" s="6">
        <v>81</v>
      </c>
      <c r="H18" s="6">
        <v>73</v>
      </c>
      <c r="I18" s="2">
        <f t="shared" si="1"/>
        <v>219</v>
      </c>
      <c r="J18" s="8">
        <f>AVERAGE(Table1[[#This Row],[math score]:[writing score]])</f>
        <v>73</v>
      </c>
      <c r="K18" s="2">
        <f t="shared" si="0"/>
        <v>300</v>
      </c>
      <c r="L18" s="4">
        <f>Table1[[#This Row],[Total Score]]/Table1[[#This Row],[Minimum Mark]]</f>
        <v>0.73</v>
      </c>
      <c r="M18" s="70" t="str">
        <f>_xlfn.XLOOKUP(Table1[[#This Row],[Pass(%)]],O:O,P:P,,-1)</f>
        <v>C</v>
      </c>
      <c r="O18" s="61"/>
      <c r="P18" s="56"/>
      <c r="Q18" s="59"/>
    </row>
    <row r="19" spans="1:17" ht="15" thickBot="1" x14ac:dyDescent="0.4">
      <c r="A19" s="2" t="s">
        <v>17</v>
      </c>
      <c r="B19" s="2" t="s">
        <v>18</v>
      </c>
      <c r="C19" s="6" t="s">
        <v>14</v>
      </c>
      <c r="D19" s="6" t="s">
        <v>11</v>
      </c>
      <c r="E19" s="6" t="s">
        <v>15</v>
      </c>
      <c r="F19" s="6">
        <v>78</v>
      </c>
      <c r="G19" s="6">
        <v>72</v>
      </c>
      <c r="H19" s="6">
        <v>70</v>
      </c>
      <c r="I19" s="2">
        <f t="shared" si="1"/>
        <v>220</v>
      </c>
      <c r="J19" s="8">
        <f>AVERAGE(Table1[[#This Row],[math score]:[writing score]])</f>
        <v>73.333333333333329</v>
      </c>
      <c r="K19" s="2">
        <f t="shared" si="0"/>
        <v>300</v>
      </c>
      <c r="L19" s="4">
        <f>Table1[[#This Row],[Total Score]]/Table1[[#This Row],[Minimum Mark]]</f>
        <v>0.73333333333333328</v>
      </c>
      <c r="M19" s="70" t="str">
        <f>_xlfn.XLOOKUP(Table1[[#This Row],[Pass(%)]],O:O,P:P,,-1)</f>
        <v>C</v>
      </c>
      <c r="O19" s="62">
        <v>0.77</v>
      </c>
      <c r="P19" s="57" t="s">
        <v>36</v>
      </c>
      <c r="Q19" s="60" t="s">
        <v>45</v>
      </c>
    </row>
    <row r="20" spans="1:17" ht="15" thickBot="1" x14ac:dyDescent="0.4">
      <c r="A20" s="2" t="s">
        <v>8</v>
      </c>
      <c r="B20" s="2" t="s">
        <v>18</v>
      </c>
      <c r="C20" s="6" t="s">
        <v>16</v>
      </c>
      <c r="D20" s="6" t="s">
        <v>11</v>
      </c>
      <c r="E20" s="6" t="s">
        <v>12</v>
      </c>
      <c r="F20" s="6">
        <v>50</v>
      </c>
      <c r="G20" s="6">
        <v>53</v>
      </c>
      <c r="H20" s="6">
        <v>58</v>
      </c>
      <c r="I20" s="2">
        <f t="shared" si="1"/>
        <v>161</v>
      </c>
      <c r="J20" s="8">
        <f>AVERAGE(Table1[[#This Row],[math score]:[writing score]])</f>
        <v>53.666666666666664</v>
      </c>
      <c r="K20" s="2">
        <f t="shared" si="0"/>
        <v>300</v>
      </c>
      <c r="L20" s="4">
        <f>Table1[[#This Row],[Total Score]]/Table1[[#This Row],[Minimum Mark]]</f>
        <v>0.53666666666666663</v>
      </c>
      <c r="M20" s="70" t="str">
        <f>_xlfn.XLOOKUP(Table1[[#This Row],[Pass(%)]],O:O,P:P,,-1)</f>
        <v>D+</v>
      </c>
      <c r="O20" s="61"/>
      <c r="P20" s="56"/>
      <c r="Q20" s="59"/>
    </row>
    <row r="21" spans="1:17" ht="15" thickBot="1" x14ac:dyDescent="0.4">
      <c r="A21" s="2" t="s">
        <v>8</v>
      </c>
      <c r="B21" s="2" t="s">
        <v>13</v>
      </c>
      <c r="C21" s="6" t="s">
        <v>23</v>
      </c>
      <c r="D21" s="6" t="s">
        <v>11</v>
      </c>
      <c r="E21" s="6" t="s">
        <v>12</v>
      </c>
      <c r="F21" s="6">
        <v>69</v>
      </c>
      <c r="G21" s="6">
        <v>75</v>
      </c>
      <c r="H21" s="6">
        <v>78</v>
      </c>
      <c r="I21" s="2">
        <f t="shared" si="1"/>
        <v>222</v>
      </c>
      <c r="J21" s="8">
        <f>AVERAGE(Table1[[#This Row],[math score]:[writing score]])</f>
        <v>74</v>
      </c>
      <c r="K21" s="2">
        <f t="shared" si="0"/>
        <v>300</v>
      </c>
      <c r="L21" s="4">
        <f>Table1[[#This Row],[Total Score]]/Table1[[#This Row],[Minimum Mark]]</f>
        <v>0.74</v>
      </c>
      <c r="M21" s="70" t="str">
        <f>_xlfn.XLOOKUP(Table1[[#This Row],[Pass(%)]],O:O,P:P,,-1)</f>
        <v>C</v>
      </c>
      <c r="O21" s="61"/>
      <c r="P21" s="56"/>
      <c r="Q21" s="59"/>
    </row>
    <row r="22" spans="1:17" ht="15" thickBot="1" x14ac:dyDescent="0.4">
      <c r="A22" s="2" t="s">
        <v>17</v>
      </c>
      <c r="B22" s="2" t="s">
        <v>13</v>
      </c>
      <c r="C22" s="6" t="s">
        <v>22</v>
      </c>
      <c r="D22" s="6" t="s">
        <v>11</v>
      </c>
      <c r="E22" s="6" t="s">
        <v>12</v>
      </c>
      <c r="F22" s="6">
        <v>88</v>
      </c>
      <c r="G22" s="6">
        <v>89</v>
      </c>
      <c r="H22" s="6">
        <v>86</v>
      </c>
      <c r="I22" s="2">
        <f t="shared" si="1"/>
        <v>263</v>
      </c>
      <c r="J22" s="8">
        <f>AVERAGE(Table1[[#This Row],[math score]:[writing score]])</f>
        <v>87.666666666666671</v>
      </c>
      <c r="K22" s="2">
        <f t="shared" si="0"/>
        <v>300</v>
      </c>
      <c r="L22" s="4">
        <f>Table1[[#This Row],[Total Score]]/Table1[[#This Row],[Minimum Mark]]</f>
        <v>0.87666666666666671</v>
      </c>
      <c r="M22" s="70" t="str">
        <f>_xlfn.XLOOKUP(Table1[[#This Row],[Pass(%)]],O:O,P:P,,-1)</f>
        <v>B+</v>
      </c>
      <c r="O22" s="61"/>
      <c r="P22" s="56"/>
      <c r="Q22" s="59"/>
    </row>
    <row r="23" spans="1:17" ht="15" thickBot="1" x14ac:dyDescent="0.4">
      <c r="A23" s="2" t="s">
        <v>8</v>
      </c>
      <c r="B23" s="2" t="s">
        <v>9</v>
      </c>
      <c r="C23" s="6" t="s">
        <v>23</v>
      </c>
      <c r="D23" s="6" t="s">
        <v>20</v>
      </c>
      <c r="E23" s="6" t="s">
        <v>12</v>
      </c>
      <c r="F23" s="6">
        <v>18</v>
      </c>
      <c r="G23" s="6">
        <v>32</v>
      </c>
      <c r="H23" s="6">
        <v>28</v>
      </c>
      <c r="I23" s="2">
        <f t="shared" si="1"/>
        <v>78</v>
      </c>
      <c r="J23" s="8">
        <f>AVERAGE(Table1[[#This Row],[math score]:[writing score]])</f>
        <v>26</v>
      </c>
      <c r="K23" s="2">
        <f t="shared" si="0"/>
        <v>300</v>
      </c>
      <c r="L23" s="4">
        <f>Table1[[#This Row],[Total Score]]/Table1[[#This Row],[Minimum Mark]]</f>
        <v>0.26</v>
      </c>
      <c r="M23" s="70" t="str">
        <f>_xlfn.XLOOKUP(Table1[[#This Row],[Pass(%)]],O:O,P:P,,-1)</f>
        <v>F</v>
      </c>
      <c r="O23" s="63"/>
      <c r="P23" s="64"/>
      <c r="Q23" s="65"/>
    </row>
    <row r="24" spans="1:17" ht="15" thickBot="1" x14ac:dyDescent="0.4">
      <c r="A24" s="2" t="s">
        <v>17</v>
      </c>
      <c r="B24" s="2" t="s">
        <v>13</v>
      </c>
      <c r="C24" s="6" t="s">
        <v>16</v>
      </c>
      <c r="D24" s="6" t="s">
        <v>20</v>
      </c>
      <c r="E24" s="6" t="s">
        <v>15</v>
      </c>
      <c r="F24" s="6">
        <v>46</v>
      </c>
      <c r="G24" s="6">
        <v>42</v>
      </c>
      <c r="H24" s="6">
        <v>46</v>
      </c>
      <c r="I24" s="2">
        <f t="shared" si="1"/>
        <v>134</v>
      </c>
      <c r="J24" s="8">
        <f>AVERAGE(Table1[[#This Row],[math score]:[writing score]])</f>
        <v>44.666666666666664</v>
      </c>
      <c r="K24" s="2">
        <f t="shared" si="0"/>
        <v>300</v>
      </c>
      <c r="L24" s="4">
        <f>Table1[[#This Row],[Total Score]]/Table1[[#This Row],[Minimum Mark]]</f>
        <v>0.44666666666666666</v>
      </c>
      <c r="M24" s="70" t="str">
        <f>_xlfn.XLOOKUP(Table1[[#This Row],[Pass(%)]],O:O,P:P,,-1)</f>
        <v>D</v>
      </c>
      <c r="O24" s="66">
        <v>0.73</v>
      </c>
      <c r="P24" s="67" t="s">
        <v>35</v>
      </c>
      <c r="Q24" s="68" t="s">
        <v>48</v>
      </c>
    </row>
    <row r="25" spans="1:17" ht="21" thickBot="1" x14ac:dyDescent="0.85">
      <c r="A25" s="3" t="s">
        <v>8</v>
      </c>
      <c r="B25" s="3" t="s">
        <v>13</v>
      </c>
      <c r="C25" s="7" t="s">
        <v>19</v>
      </c>
      <c r="D25" s="7" t="s">
        <v>20</v>
      </c>
      <c r="E25" s="7" t="s">
        <v>12</v>
      </c>
      <c r="F25" s="7">
        <v>54</v>
      </c>
      <c r="G25" s="7">
        <v>58</v>
      </c>
      <c r="H25" s="7">
        <v>61</v>
      </c>
      <c r="I25" s="3">
        <f t="shared" si="1"/>
        <v>173</v>
      </c>
      <c r="J25" s="14">
        <f>AVERAGE(Table1[[#This Row],[math score]:[writing score]])</f>
        <v>57.666666666666664</v>
      </c>
      <c r="K25" s="3">
        <f t="shared" si="0"/>
        <v>300</v>
      </c>
      <c r="L25" s="5">
        <f>Table1[[#This Row],[Total Score]]/Table1[[#This Row],[Minimum Mark]]</f>
        <v>0.57666666666666666</v>
      </c>
      <c r="M25" s="71" t="str">
        <f>_xlfn.XLOOKUP(Table1[[#This Row],[Pass(%)]],O:O,P:P,,-1)</f>
        <v>D+</v>
      </c>
      <c r="O25" s="61">
        <v>0.7</v>
      </c>
      <c r="P25" s="56" t="s">
        <v>46</v>
      </c>
      <c r="Q25" s="59" t="s">
        <v>49</v>
      </c>
    </row>
    <row r="26" spans="1:17" ht="15" thickBot="1" x14ac:dyDescent="0.4">
      <c r="A26" s="2" t="s">
        <v>17</v>
      </c>
      <c r="B26" s="2" t="s">
        <v>21</v>
      </c>
      <c r="C26" s="6" t="s">
        <v>22</v>
      </c>
      <c r="D26" s="6" t="s">
        <v>11</v>
      </c>
      <c r="E26" s="6" t="s">
        <v>12</v>
      </c>
      <c r="F26" s="6">
        <v>66</v>
      </c>
      <c r="G26" s="6">
        <v>69</v>
      </c>
      <c r="H26" s="6">
        <v>63</v>
      </c>
      <c r="I26" s="2">
        <f t="shared" si="1"/>
        <v>198</v>
      </c>
      <c r="J26" s="8">
        <f>AVERAGE(Table1[[#This Row],[math score]:[writing score]])</f>
        <v>66</v>
      </c>
      <c r="K26" s="2">
        <f t="shared" si="0"/>
        <v>300</v>
      </c>
      <c r="L26" s="4">
        <f>Table1[[#This Row],[Total Score]]/Table1[[#This Row],[Minimum Mark]]</f>
        <v>0.66</v>
      </c>
      <c r="M26" s="70" t="str">
        <f>_xlfn.XLOOKUP(Table1[[#This Row],[Pass(%)]],O:O,P:P,,-1)</f>
        <v>D+</v>
      </c>
      <c r="O26" s="61">
        <v>0.67</v>
      </c>
      <c r="P26" s="56" t="s">
        <v>47</v>
      </c>
      <c r="Q26" s="59" t="s">
        <v>50</v>
      </c>
    </row>
    <row r="27" spans="1:17" ht="15" thickBot="1" x14ac:dyDescent="0.4">
      <c r="A27" s="2" t="s">
        <v>8</v>
      </c>
      <c r="B27" s="2" t="s">
        <v>9</v>
      </c>
      <c r="C27" s="6" t="s">
        <v>14</v>
      </c>
      <c r="D27" s="6" t="s">
        <v>20</v>
      </c>
      <c r="E27" s="6" t="s">
        <v>15</v>
      </c>
      <c r="F27" s="6">
        <v>65</v>
      </c>
      <c r="G27" s="6">
        <v>75</v>
      </c>
      <c r="H27" s="6">
        <v>70</v>
      </c>
      <c r="I27" s="2">
        <f t="shared" si="1"/>
        <v>210</v>
      </c>
      <c r="J27" s="8">
        <f>AVERAGE(Table1[[#This Row],[math score]:[writing score]])</f>
        <v>70</v>
      </c>
      <c r="K27" s="2">
        <f t="shared" si="0"/>
        <v>300</v>
      </c>
      <c r="L27" s="4">
        <f>Table1[[#This Row],[Total Score]]/Table1[[#This Row],[Minimum Mark]]</f>
        <v>0.7</v>
      </c>
      <c r="M27" s="70" t="str">
        <f>_xlfn.XLOOKUP(Table1[[#This Row],[Pass(%)]],O:O,P:P,,-1)</f>
        <v>C-</v>
      </c>
      <c r="O27" s="62">
        <v>0.53</v>
      </c>
      <c r="P27" s="57" t="s">
        <v>47</v>
      </c>
      <c r="Q27" s="60"/>
    </row>
    <row r="28" spans="1:17" ht="15" thickBot="1" x14ac:dyDescent="0.4">
      <c r="A28" s="2" t="s">
        <v>17</v>
      </c>
      <c r="B28" s="2" t="s">
        <v>21</v>
      </c>
      <c r="C28" s="6" t="s">
        <v>14</v>
      </c>
      <c r="D28" s="6" t="s">
        <v>11</v>
      </c>
      <c r="E28" s="6" t="s">
        <v>12</v>
      </c>
      <c r="F28" s="6">
        <v>44</v>
      </c>
      <c r="G28" s="6">
        <v>54</v>
      </c>
      <c r="H28" s="6">
        <v>53</v>
      </c>
      <c r="I28" s="2">
        <f t="shared" si="1"/>
        <v>151</v>
      </c>
      <c r="J28" s="8">
        <f>AVERAGE(Table1[[#This Row],[math score]:[writing score]])</f>
        <v>50.333333333333336</v>
      </c>
      <c r="K28" s="2">
        <f t="shared" si="0"/>
        <v>300</v>
      </c>
      <c r="L28" s="4">
        <f>Table1[[#This Row],[Total Score]]/Table1[[#This Row],[Minimum Mark]]</f>
        <v>0.5033333333333333</v>
      </c>
      <c r="M28" s="70" t="str">
        <f>_xlfn.XLOOKUP(Table1[[#This Row],[Pass(%)]],O:O,P:P,,-1)</f>
        <v>D</v>
      </c>
      <c r="O28" s="61"/>
      <c r="P28" s="56"/>
      <c r="Q28" s="59"/>
    </row>
    <row r="29" spans="1:17" ht="15" thickBot="1" x14ac:dyDescent="0.4">
      <c r="A29" s="2" t="s">
        <v>8</v>
      </c>
      <c r="B29" s="2" t="s">
        <v>13</v>
      </c>
      <c r="C29" s="6" t="s">
        <v>23</v>
      </c>
      <c r="D29" s="6" t="s">
        <v>11</v>
      </c>
      <c r="E29" s="6" t="s">
        <v>12</v>
      </c>
      <c r="F29" s="6">
        <v>69</v>
      </c>
      <c r="G29" s="6">
        <v>73</v>
      </c>
      <c r="H29" s="6">
        <v>73</v>
      </c>
      <c r="I29" s="2">
        <f t="shared" si="1"/>
        <v>215</v>
      </c>
      <c r="J29" s="8">
        <f>AVERAGE(Table1[[#This Row],[math score]:[writing score]])</f>
        <v>71.666666666666671</v>
      </c>
      <c r="K29" s="2">
        <f t="shared" si="0"/>
        <v>300</v>
      </c>
      <c r="L29" s="4">
        <f>Table1[[#This Row],[Total Score]]/Table1[[#This Row],[Minimum Mark]]</f>
        <v>0.71666666666666667</v>
      </c>
      <c r="M29" s="70" t="str">
        <f>_xlfn.XLOOKUP(Table1[[#This Row],[Pass(%)]],O:O,P:P,,-1)</f>
        <v>C-</v>
      </c>
      <c r="O29" s="63"/>
      <c r="P29" s="64"/>
      <c r="Q29" s="65"/>
    </row>
    <row r="30" spans="1:17" ht="15" thickBot="1" x14ac:dyDescent="0.4">
      <c r="A30" s="2" t="s">
        <v>17</v>
      </c>
      <c r="B30" s="2" t="s">
        <v>21</v>
      </c>
      <c r="C30" s="6" t="s">
        <v>10</v>
      </c>
      <c r="D30" s="6" t="s">
        <v>20</v>
      </c>
      <c r="E30" s="6" t="s">
        <v>15</v>
      </c>
      <c r="F30" s="6">
        <v>74</v>
      </c>
      <c r="G30" s="6">
        <v>71</v>
      </c>
      <c r="H30" s="6">
        <v>80</v>
      </c>
      <c r="I30" s="2">
        <f t="shared" si="1"/>
        <v>225</v>
      </c>
      <c r="J30" s="8">
        <f>AVERAGE(Table1[[#This Row],[math score]:[writing score]])</f>
        <v>75</v>
      </c>
      <c r="K30" s="2">
        <f t="shared" si="0"/>
        <v>300</v>
      </c>
      <c r="L30" s="4">
        <f>Table1[[#This Row],[Total Score]]/Table1[[#This Row],[Minimum Mark]]</f>
        <v>0.75</v>
      </c>
      <c r="M30" s="70" t="str">
        <f>_xlfn.XLOOKUP(Table1[[#This Row],[Pass(%)]],O:O,P:P,,-1)</f>
        <v>C</v>
      </c>
      <c r="O30" s="66">
        <v>0.4</v>
      </c>
      <c r="P30" s="67" t="s">
        <v>51</v>
      </c>
      <c r="Q30" s="68" t="s">
        <v>56</v>
      </c>
    </row>
    <row r="31" spans="1:17" ht="15" thickBot="1" x14ac:dyDescent="0.4">
      <c r="A31" s="2" t="s">
        <v>17</v>
      </c>
      <c r="B31" s="2" t="s">
        <v>18</v>
      </c>
      <c r="C31" s="6" t="s">
        <v>16</v>
      </c>
      <c r="D31" s="6" t="s">
        <v>20</v>
      </c>
      <c r="E31" s="6" t="s">
        <v>12</v>
      </c>
      <c r="F31" s="6">
        <v>73</v>
      </c>
      <c r="G31" s="6">
        <v>74</v>
      </c>
      <c r="H31" s="6">
        <v>72</v>
      </c>
      <c r="I31" s="2">
        <f t="shared" si="1"/>
        <v>219</v>
      </c>
      <c r="J31" s="8">
        <f>AVERAGE(Table1[[#This Row],[math score]:[writing score]])</f>
        <v>73</v>
      </c>
      <c r="K31" s="2">
        <f t="shared" si="0"/>
        <v>300</v>
      </c>
      <c r="L31" s="4">
        <f>Table1[[#This Row],[Total Score]]/Table1[[#This Row],[Minimum Mark]]</f>
        <v>0.73</v>
      </c>
      <c r="M31" s="70" t="str">
        <f>_xlfn.XLOOKUP(Table1[[#This Row],[Pass(%)]],O:O,P:P,,-1)</f>
        <v>C</v>
      </c>
      <c r="O31" s="61">
        <v>0.3</v>
      </c>
      <c r="P31" s="56" t="s">
        <v>52</v>
      </c>
      <c r="Q31" s="59" t="s">
        <v>55</v>
      </c>
    </row>
    <row r="32" spans="1:17" ht="15" thickBot="1" x14ac:dyDescent="0.4">
      <c r="A32" s="2" t="s">
        <v>17</v>
      </c>
      <c r="B32" s="2" t="s">
        <v>9</v>
      </c>
      <c r="C32" s="6" t="s">
        <v>14</v>
      </c>
      <c r="D32" s="6" t="s">
        <v>11</v>
      </c>
      <c r="E32" s="6" t="s">
        <v>12</v>
      </c>
      <c r="F32" s="6">
        <v>69</v>
      </c>
      <c r="G32" s="6">
        <v>54</v>
      </c>
      <c r="H32" s="6">
        <v>55</v>
      </c>
      <c r="I32" s="2">
        <f t="shared" si="1"/>
        <v>178</v>
      </c>
      <c r="J32" s="8">
        <f>AVERAGE(Table1[[#This Row],[math score]:[writing score]])</f>
        <v>59.333333333333336</v>
      </c>
      <c r="K32" s="2">
        <f t="shared" si="0"/>
        <v>300</v>
      </c>
      <c r="L32" s="4">
        <f>Table1[[#This Row],[Total Score]]/Table1[[#This Row],[Minimum Mark]]</f>
        <v>0.59333333333333338</v>
      </c>
      <c r="M32" s="70" t="str">
        <f>_xlfn.XLOOKUP(Table1[[#This Row],[Pass(%)]],O:O,P:P,,-1)</f>
        <v>D+</v>
      </c>
      <c r="O32" s="61">
        <v>0.26</v>
      </c>
      <c r="P32" s="56" t="s">
        <v>53</v>
      </c>
      <c r="Q32" s="59" t="s">
        <v>54</v>
      </c>
    </row>
    <row r="33" spans="1:17" ht="15" thickBot="1" x14ac:dyDescent="0.4">
      <c r="A33" s="2" t="s">
        <v>8</v>
      </c>
      <c r="B33" s="2" t="s">
        <v>13</v>
      </c>
      <c r="C33" s="6" t="s">
        <v>10</v>
      </c>
      <c r="D33" s="6" t="s">
        <v>11</v>
      </c>
      <c r="E33" s="6" t="s">
        <v>12</v>
      </c>
      <c r="F33" s="6">
        <v>67</v>
      </c>
      <c r="G33" s="6">
        <v>69</v>
      </c>
      <c r="H33" s="6">
        <v>75</v>
      </c>
      <c r="I33" s="2">
        <f t="shared" si="1"/>
        <v>211</v>
      </c>
      <c r="J33" s="8">
        <f>AVERAGE(Table1[[#This Row],[math score]:[writing score]])</f>
        <v>70.333333333333329</v>
      </c>
      <c r="K33" s="2">
        <f t="shared" si="0"/>
        <v>300</v>
      </c>
      <c r="L33" s="4">
        <f>Table1[[#This Row],[Total Score]]/Table1[[#This Row],[Minimum Mark]]</f>
        <v>0.70333333333333337</v>
      </c>
      <c r="M33" s="70" t="str">
        <f>_xlfn.XLOOKUP(Table1[[#This Row],[Pass(%)]],O:O,P:P,,-1)</f>
        <v>C-</v>
      </c>
      <c r="O33" s="61">
        <v>0.23</v>
      </c>
      <c r="P33" s="56" t="s">
        <v>53</v>
      </c>
      <c r="Q33" s="59" t="s">
        <v>54</v>
      </c>
    </row>
    <row r="34" spans="1:17" ht="15" thickBot="1" x14ac:dyDescent="0.4">
      <c r="A34" s="2" t="s">
        <v>17</v>
      </c>
      <c r="B34" s="2" t="s">
        <v>13</v>
      </c>
      <c r="C34" s="6" t="s">
        <v>22</v>
      </c>
      <c r="D34" s="6" t="s">
        <v>11</v>
      </c>
      <c r="E34" s="6" t="s">
        <v>12</v>
      </c>
      <c r="F34" s="6">
        <v>70</v>
      </c>
      <c r="G34" s="6">
        <v>70</v>
      </c>
      <c r="H34" s="6">
        <v>65</v>
      </c>
      <c r="I34" s="2">
        <f t="shared" si="1"/>
        <v>205</v>
      </c>
      <c r="J34" s="8">
        <f>AVERAGE(Table1[[#This Row],[math score]:[writing score]])</f>
        <v>68.333333333333329</v>
      </c>
      <c r="K34" s="2">
        <f t="shared" si="0"/>
        <v>300</v>
      </c>
      <c r="L34" s="4">
        <f>Table1[[#This Row],[Total Score]]/Table1[[#This Row],[Minimum Mark]]</f>
        <v>0.68333333333333335</v>
      </c>
      <c r="M34" s="70" t="str">
        <f>_xlfn.XLOOKUP(Table1[[#This Row],[Pass(%)]],O:O,P:P,,-1)</f>
        <v>D+</v>
      </c>
      <c r="O34" s="62">
        <v>0.09</v>
      </c>
      <c r="P34" s="57" t="s">
        <v>53</v>
      </c>
      <c r="Q34" s="60" t="s">
        <v>54</v>
      </c>
    </row>
    <row r="35" spans="1:17" x14ac:dyDescent="0.35">
      <c r="A35" s="2" t="s">
        <v>8</v>
      </c>
      <c r="B35" s="2" t="s">
        <v>21</v>
      </c>
      <c r="C35" s="6" t="s">
        <v>16</v>
      </c>
      <c r="D35" s="6" t="s">
        <v>11</v>
      </c>
      <c r="E35" s="6" t="s">
        <v>12</v>
      </c>
      <c r="F35" s="6">
        <v>62</v>
      </c>
      <c r="G35" s="6">
        <v>70</v>
      </c>
      <c r="H35" s="6">
        <v>75</v>
      </c>
      <c r="I35" s="2">
        <f t="shared" si="1"/>
        <v>207</v>
      </c>
      <c r="J35" s="8">
        <f>AVERAGE(Table1[[#This Row],[math score]:[writing score]])</f>
        <v>69</v>
      </c>
      <c r="K35" s="2">
        <f t="shared" si="0"/>
        <v>300</v>
      </c>
      <c r="L35" s="4">
        <f>Table1[[#This Row],[Total Score]]/Table1[[#This Row],[Minimum Mark]]</f>
        <v>0.69</v>
      </c>
      <c r="M35" s="70" t="str">
        <f>_xlfn.XLOOKUP(Table1[[#This Row],[Pass(%)]],O:O,P:P,,-1)</f>
        <v>D+</v>
      </c>
    </row>
    <row r="36" spans="1:17" x14ac:dyDescent="0.35">
      <c r="A36" s="2" t="s">
        <v>8</v>
      </c>
      <c r="B36" s="2" t="s">
        <v>21</v>
      </c>
      <c r="C36" s="6" t="s">
        <v>14</v>
      </c>
      <c r="D36" s="6" t="s">
        <v>11</v>
      </c>
      <c r="E36" s="6" t="s">
        <v>12</v>
      </c>
      <c r="F36" s="6">
        <v>69</v>
      </c>
      <c r="G36" s="6">
        <v>74</v>
      </c>
      <c r="H36" s="6">
        <v>74</v>
      </c>
      <c r="I36" s="2">
        <f t="shared" si="1"/>
        <v>217</v>
      </c>
      <c r="J36" s="8">
        <f>AVERAGE(Table1[[#This Row],[math score]:[writing score]])</f>
        <v>72.333333333333329</v>
      </c>
      <c r="K36" s="2">
        <f t="shared" si="0"/>
        <v>300</v>
      </c>
      <c r="L36" s="4">
        <f>Table1[[#This Row],[Total Score]]/Table1[[#This Row],[Minimum Mark]]</f>
        <v>0.72333333333333338</v>
      </c>
      <c r="M36" s="70" t="str">
        <f>_xlfn.XLOOKUP(Table1[[#This Row],[Pass(%)]],O:O,P:P,,-1)</f>
        <v>C-</v>
      </c>
    </row>
    <row r="37" spans="1:17" x14ac:dyDescent="0.35">
      <c r="A37" s="2" t="s">
        <v>8</v>
      </c>
      <c r="B37" s="2" t="s">
        <v>9</v>
      </c>
      <c r="C37" s="6" t="s">
        <v>14</v>
      </c>
      <c r="D37" s="6" t="s">
        <v>11</v>
      </c>
      <c r="E37" s="6" t="s">
        <v>12</v>
      </c>
      <c r="F37" s="6">
        <v>63</v>
      </c>
      <c r="G37" s="6">
        <v>65</v>
      </c>
      <c r="H37" s="6">
        <v>61</v>
      </c>
      <c r="I37" s="2">
        <f t="shared" si="1"/>
        <v>189</v>
      </c>
      <c r="J37" s="8">
        <f>AVERAGE(Table1[[#This Row],[math score]:[writing score]])</f>
        <v>63</v>
      </c>
      <c r="K37" s="2">
        <f t="shared" si="0"/>
        <v>300</v>
      </c>
      <c r="L37" s="4">
        <f>Table1[[#This Row],[Total Score]]/Table1[[#This Row],[Minimum Mark]]</f>
        <v>0.63</v>
      </c>
      <c r="M37" s="70" t="str">
        <f>_xlfn.XLOOKUP(Table1[[#This Row],[Pass(%)]],O:O,P:P,,-1)</f>
        <v>D+</v>
      </c>
    </row>
    <row r="38" spans="1:17" x14ac:dyDescent="0.35">
      <c r="A38" s="2" t="s">
        <v>8</v>
      </c>
      <c r="B38" s="2" t="s">
        <v>24</v>
      </c>
      <c r="C38" s="6" t="s">
        <v>16</v>
      </c>
      <c r="D38" s="6" t="s">
        <v>20</v>
      </c>
      <c r="E38" s="6" t="s">
        <v>12</v>
      </c>
      <c r="F38" s="6">
        <v>56</v>
      </c>
      <c r="G38" s="6">
        <v>72</v>
      </c>
      <c r="H38" s="6">
        <v>65</v>
      </c>
      <c r="I38" s="2">
        <f t="shared" si="1"/>
        <v>193</v>
      </c>
      <c r="J38" s="8">
        <f>AVERAGE(Table1[[#This Row],[math score]:[writing score]])</f>
        <v>64.333333333333329</v>
      </c>
      <c r="K38" s="2">
        <f t="shared" si="0"/>
        <v>300</v>
      </c>
      <c r="L38" s="4">
        <f>Table1[[#This Row],[Total Score]]/Table1[[#This Row],[Minimum Mark]]</f>
        <v>0.64333333333333331</v>
      </c>
      <c r="M38" s="70" t="str">
        <f>_xlfn.XLOOKUP(Table1[[#This Row],[Pass(%)]],O:O,P:P,,-1)</f>
        <v>D+</v>
      </c>
    </row>
    <row r="39" spans="1:17" x14ac:dyDescent="0.35">
      <c r="A39" s="2" t="s">
        <v>17</v>
      </c>
      <c r="B39" s="2" t="s">
        <v>21</v>
      </c>
      <c r="C39" s="6" t="s">
        <v>14</v>
      </c>
      <c r="D39" s="6" t="s">
        <v>11</v>
      </c>
      <c r="E39" s="6" t="s">
        <v>12</v>
      </c>
      <c r="F39" s="6">
        <v>40</v>
      </c>
      <c r="G39" s="6">
        <v>42</v>
      </c>
      <c r="H39" s="6">
        <v>38</v>
      </c>
      <c r="I39" s="2">
        <f t="shared" si="1"/>
        <v>120</v>
      </c>
      <c r="J39" s="8">
        <f>AVERAGE(Table1[[#This Row],[math score]:[writing score]])</f>
        <v>40</v>
      </c>
      <c r="K39" s="2">
        <f t="shared" si="0"/>
        <v>300</v>
      </c>
      <c r="L39" s="4">
        <f>Table1[[#This Row],[Total Score]]/Table1[[#This Row],[Minimum Mark]]</f>
        <v>0.4</v>
      </c>
      <c r="M39" s="70" t="str">
        <f>_xlfn.XLOOKUP(Table1[[#This Row],[Pass(%)]],O:O,P:P,,-1)</f>
        <v>D</v>
      </c>
    </row>
    <row r="40" spans="1:17" x14ac:dyDescent="0.35">
      <c r="A40" s="2" t="s">
        <v>17</v>
      </c>
      <c r="B40" s="2" t="s">
        <v>24</v>
      </c>
      <c r="C40" s="6" t="s">
        <v>14</v>
      </c>
      <c r="D40" s="6" t="s">
        <v>11</v>
      </c>
      <c r="E40" s="6" t="s">
        <v>12</v>
      </c>
      <c r="F40" s="6">
        <v>97</v>
      </c>
      <c r="G40" s="6">
        <v>87</v>
      </c>
      <c r="H40" s="6">
        <v>82</v>
      </c>
      <c r="I40" s="2">
        <f t="shared" si="1"/>
        <v>266</v>
      </c>
      <c r="J40" s="8">
        <f>AVERAGE(Table1[[#This Row],[math score]:[writing score]])</f>
        <v>88.666666666666671</v>
      </c>
      <c r="K40" s="2">
        <f t="shared" si="0"/>
        <v>300</v>
      </c>
      <c r="L40" s="4">
        <f>Table1[[#This Row],[Total Score]]/Table1[[#This Row],[Minimum Mark]]</f>
        <v>0.88666666666666671</v>
      </c>
      <c r="M40" s="70" t="str">
        <f>_xlfn.XLOOKUP(Table1[[#This Row],[Pass(%)]],O:O,P:P,,-1)</f>
        <v>B+</v>
      </c>
    </row>
    <row r="41" spans="1:17" ht="20.5" x14ac:dyDescent="0.8">
      <c r="A41" s="3" t="s">
        <v>17</v>
      </c>
      <c r="B41" s="3" t="s">
        <v>24</v>
      </c>
      <c r="C41" s="7" t="s">
        <v>19</v>
      </c>
      <c r="D41" s="7" t="s">
        <v>11</v>
      </c>
      <c r="E41" s="7" t="s">
        <v>15</v>
      </c>
      <c r="F41" s="7">
        <v>81</v>
      </c>
      <c r="G41" s="7">
        <v>81</v>
      </c>
      <c r="H41" s="7">
        <v>79</v>
      </c>
      <c r="I41" s="3">
        <f t="shared" si="1"/>
        <v>241</v>
      </c>
      <c r="J41" s="14">
        <f>AVERAGE(Table1[[#This Row],[math score]:[writing score]])</f>
        <v>80.333333333333329</v>
      </c>
      <c r="K41" s="3">
        <f t="shared" si="0"/>
        <v>300</v>
      </c>
      <c r="L41" s="5">
        <f>Table1[[#This Row],[Total Score]]/Table1[[#This Row],[Minimum Mark]]</f>
        <v>0.80333333333333334</v>
      </c>
      <c r="M41" s="71" t="str">
        <f>_xlfn.XLOOKUP(Table1[[#This Row],[Pass(%)]],O:O,P:P,,-1)</f>
        <v>B-</v>
      </c>
    </row>
    <row r="42" spans="1:17" ht="20.5" x14ac:dyDescent="0.8">
      <c r="A42" s="3" t="s">
        <v>8</v>
      </c>
      <c r="B42" s="3" t="s">
        <v>21</v>
      </c>
      <c r="C42" s="7" t="s">
        <v>19</v>
      </c>
      <c r="D42" s="7" t="s">
        <v>11</v>
      </c>
      <c r="E42" s="7" t="s">
        <v>12</v>
      </c>
      <c r="F42" s="7">
        <v>74</v>
      </c>
      <c r="G42" s="7">
        <v>81</v>
      </c>
      <c r="H42" s="7">
        <v>83</v>
      </c>
      <c r="I42" s="3">
        <f t="shared" si="1"/>
        <v>238</v>
      </c>
      <c r="J42" s="14">
        <f>AVERAGE(Table1[[#This Row],[math score]:[writing score]])</f>
        <v>79.333333333333329</v>
      </c>
      <c r="K42" s="3">
        <f t="shared" si="0"/>
        <v>300</v>
      </c>
      <c r="L42" s="5">
        <f>Table1[[#This Row],[Total Score]]/Table1[[#This Row],[Minimum Mark]]</f>
        <v>0.79333333333333333</v>
      </c>
      <c r="M42" s="71" t="str">
        <f>_xlfn.XLOOKUP(Table1[[#This Row],[Pass(%)]],O:O,P:P,,-1)</f>
        <v>C+</v>
      </c>
    </row>
    <row r="43" spans="1:17" x14ac:dyDescent="0.35">
      <c r="A43" s="2" t="s">
        <v>8</v>
      </c>
      <c r="B43" s="2" t="s">
        <v>21</v>
      </c>
      <c r="C43" s="6" t="s">
        <v>23</v>
      </c>
      <c r="D43" s="6" t="s">
        <v>20</v>
      </c>
      <c r="E43" s="6" t="s">
        <v>12</v>
      </c>
      <c r="F43" s="6">
        <v>50</v>
      </c>
      <c r="G43" s="6">
        <v>64</v>
      </c>
      <c r="H43" s="6">
        <v>59</v>
      </c>
      <c r="I43" s="2">
        <f t="shared" si="1"/>
        <v>173</v>
      </c>
      <c r="J43" s="8">
        <f>AVERAGE(Table1[[#This Row],[math score]:[writing score]])</f>
        <v>57.666666666666664</v>
      </c>
      <c r="K43" s="2">
        <f t="shared" si="0"/>
        <v>300</v>
      </c>
      <c r="L43" s="4">
        <f>Table1[[#This Row],[Total Score]]/Table1[[#This Row],[Minimum Mark]]</f>
        <v>0.57666666666666666</v>
      </c>
      <c r="M43" s="70" t="str">
        <f>_xlfn.XLOOKUP(Table1[[#This Row],[Pass(%)]],O:O,P:P,,-1)</f>
        <v>D+</v>
      </c>
    </row>
    <row r="44" spans="1:17" ht="20.5" x14ac:dyDescent="0.8">
      <c r="A44" s="3" t="s">
        <v>8</v>
      </c>
      <c r="B44" s="3" t="s">
        <v>21</v>
      </c>
      <c r="C44" s="7" t="s">
        <v>19</v>
      </c>
      <c r="D44" s="7" t="s">
        <v>20</v>
      </c>
      <c r="E44" s="7" t="s">
        <v>15</v>
      </c>
      <c r="F44" s="7">
        <v>75</v>
      </c>
      <c r="G44" s="7">
        <v>90</v>
      </c>
      <c r="H44" s="7">
        <v>88</v>
      </c>
      <c r="I44" s="3">
        <f t="shared" si="1"/>
        <v>253</v>
      </c>
      <c r="J44" s="14">
        <f>AVERAGE(Table1[[#This Row],[math score]:[writing score]])</f>
        <v>84.333333333333329</v>
      </c>
      <c r="K44" s="3">
        <f t="shared" si="0"/>
        <v>300</v>
      </c>
      <c r="L44" s="5">
        <f>Table1[[#This Row],[Total Score]]/Table1[[#This Row],[Minimum Mark]]</f>
        <v>0.84333333333333338</v>
      </c>
      <c r="M44" s="71" t="str">
        <f>_xlfn.XLOOKUP(Table1[[#This Row],[Pass(%)]],O:O,P:P,,-1)</f>
        <v>B</v>
      </c>
    </row>
    <row r="45" spans="1:17" ht="20.5" x14ac:dyDescent="0.8">
      <c r="A45" s="3" t="s">
        <v>17</v>
      </c>
      <c r="B45" s="3" t="s">
        <v>9</v>
      </c>
      <c r="C45" s="7" t="s">
        <v>19</v>
      </c>
      <c r="D45" s="7" t="s">
        <v>20</v>
      </c>
      <c r="E45" s="7" t="s">
        <v>12</v>
      </c>
      <c r="F45" s="7">
        <v>57</v>
      </c>
      <c r="G45" s="7">
        <v>56</v>
      </c>
      <c r="H45" s="7">
        <v>57</v>
      </c>
      <c r="I45" s="3">
        <f t="shared" si="1"/>
        <v>170</v>
      </c>
      <c r="J45" s="14">
        <f>AVERAGE(Table1[[#This Row],[math score]:[writing score]])</f>
        <v>56.666666666666664</v>
      </c>
      <c r="K45" s="3">
        <f t="shared" si="0"/>
        <v>300</v>
      </c>
      <c r="L45" s="5">
        <f>Table1[[#This Row],[Total Score]]/Table1[[#This Row],[Minimum Mark]]</f>
        <v>0.56666666666666665</v>
      </c>
      <c r="M45" s="71" t="str">
        <f>_xlfn.XLOOKUP(Table1[[#This Row],[Pass(%)]],O:O,P:P,,-1)</f>
        <v>D+</v>
      </c>
    </row>
    <row r="46" spans="1:17" ht="20.5" x14ac:dyDescent="0.8">
      <c r="A46" s="3" t="s">
        <v>17</v>
      </c>
      <c r="B46" s="3" t="s">
        <v>13</v>
      </c>
      <c r="C46" s="7" t="s">
        <v>19</v>
      </c>
      <c r="D46" s="7" t="s">
        <v>20</v>
      </c>
      <c r="E46" s="7" t="s">
        <v>12</v>
      </c>
      <c r="F46" s="7">
        <v>55</v>
      </c>
      <c r="G46" s="7">
        <v>61</v>
      </c>
      <c r="H46" s="7">
        <v>54</v>
      </c>
      <c r="I46" s="3">
        <f t="shared" si="1"/>
        <v>170</v>
      </c>
      <c r="J46" s="14">
        <f>AVERAGE(Table1[[#This Row],[math score]:[writing score]])</f>
        <v>56.666666666666664</v>
      </c>
      <c r="K46" s="3">
        <f t="shared" si="0"/>
        <v>300</v>
      </c>
      <c r="L46" s="5">
        <f>Table1[[#This Row],[Total Score]]/Table1[[#This Row],[Minimum Mark]]</f>
        <v>0.56666666666666665</v>
      </c>
      <c r="M46" s="71" t="str">
        <f>_xlfn.XLOOKUP(Table1[[#This Row],[Pass(%)]],O:O,P:P,,-1)</f>
        <v>D+</v>
      </c>
    </row>
    <row r="47" spans="1:17" ht="20.5" x14ac:dyDescent="0.8">
      <c r="A47" s="3" t="s">
        <v>8</v>
      </c>
      <c r="B47" s="3" t="s">
        <v>13</v>
      </c>
      <c r="C47" s="7" t="s">
        <v>19</v>
      </c>
      <c r="D47" s="7" t="s">
        <v>11</v>
      </c>
      <c r="E47" s="7" t="s">
        <v>12</v>
      </c>
      <c r="F47" s="7">
        <v>58</v>
      </c>
      <c r="G47" s="7">
        <v>73</v>
      </c>
      <c r="H47" s="7">
        <v>68</v>
      </c>
      <c r="I47" s="3">
        <f t="shared" si="1"/>
        <v>199</v>
      </c>
      <c r="J47" s="14">
        <f>AVERAGE(Table1[[#This Row],[math score]:[writing score]])</f>
        <v>66.333333333333329</v>
      </c>
      <c r="K47" s="3">
        <f t="shared" si="0"/>
        <v>300</v>
      </c>
      <c r="L47" s="5">
        <f>Table1[[#This Row],[Total Score]]/Table1[[#This Row],[Minimum Mark]]</f>
        <v>0.66333333333333333</v>
      </c>
      <c r="M47" s="71" t="str">
        <f>_xlfn.XLOOKUP(Table1[[#This Row],[Pass(%)]],O:O,P:P,,-1)</f>
        <v>D+</v>
      </c>
    </row>
    <row r="48" spans="1:17" ht="20.5" x14ac:dyDescent="0.8">
      <c r="A48" s="3" t="s">
        <v>8</v>
      </c>
      <c r="B48" s="3" t="s">
        <v>9</v>
      </c>
      <c r="C48" s="7" t="s">
        <v>19</v>
      </c>
      <c r="D48" s="7" t="s">
        <v>11</v>
      </c>
      <c r="E48" s="7" t="s">
        <v>12</v>
      </c>
      <c r="F48" s="7">
        <v>53</v>
      </c>
      <c r="G48" s="7">
        <v>58</v>
      </c>
      <c r="H48" s="7">
        <v>65</v>
      </c>
      <c r="I48" s="3">
        <f t="shared" si="1"/>
        <v>176</v>
      </c>
      <c r="J48" s="14">
        <f>AVERAGE(Table1[[#This Row],[math score]:[writing score]])</f>
        <v>58.666666666666664</v>
      </c>
      <c r="K48" s="3">
        <f t="shared" si="0"/>
        <v>300</v>
      </c>
      <c r="L48" s="5">
        <f>Table1[[#This Row],[Total Score]]/Table1[[#This Row],[Minimum Mark]]</f>
        <v>0.58666666666666667</v>
      </c>
      <c r="M48" s="71" t="str">
        <f>_xlfn.XLOOKUP(Table1[[#This Row],[Pass(%)]],O:O,P:P,,-1)</f>
        <v>D+</v>
      </c>
    </row>
    <row r="49" spans="1:13" x14ac:dyDescent="0.35">
      <c r="A49" s="2" t="s">
        <v>17</v>
      </c>
      <c r="B49" s="2" t="s">
        <v>9</v>
      </c>
      <c r="C49" s="6" t="s">
        <v>14</v>
      </c>
      <c r="D49" s="6" t="s">
        <v>20</v>
      </c>
      <c r="E49" s="6" t="s">
        <v>15</v>
      </c>
      <c r="F49" s="6">
        <v>59</v>
      </c>
      <c r="G49" s="6">
        <v>65</v>
      </c>
      <c r="H49" s="6">
        <v>66</v>
      </c>
      <c r="I49" s="2">
        <f t="shared" si="1"/>
        <v>190</v>
      </c>
      <c r="J49" s="8">
        <f>AVERAGE(Table1[[#This Row],[math score]:[writing score]])</f>
        <v>63.333333333333336</v>
      </c>
      <c r="K49" s="2">
        <f t="shared" si="0"/>
        <v>300</v>
      </c>
      <c r="L49" s="4">
        <f>Table1[[#This Row],[Total Score]]/Table1[[#This Row],[Minimum Mark]]</f>
        <v>0.6333333333333333</v>
      </c>
      <c r="M49" s="70" t="str">
        <f>_xlfn.XLOOKUP(Table1[[#This Row],[Pass(%)]],O:O,P:P,,-1)</f>
        <v>D+</v>
      </c>
    </row>
    <row r="50" spans="1:13" ht="20.5" x14ac:dyDescent="0.8">
      <c r="A50" s="3" t="s">
        <v>8</v>
      </c>
      <c r="B50" s="3" t="s">
        <v>24</v>
      </c>
      <c r="C50" s="7" t="s">
        <v>19</v>
      </c>
      <c r="D50" s="7" t="s">
        <v>20</v>
      </c>
      <c r="E50" s="7" t="s">
        <v>12</v>
      </c>
      <c r="F50" s="7">
        <v>50</v>
      </c>
      <c r="G50" s="7">
        <v>56</v>
      </c>
      <c r="H50" s="7">
        <v>54</v>
      </c>
      <c r="I50" s="3">
        <f t="shared" si="1"/>
        <v>160</v>
      </c>
      <c r="J50" s="14">
        <f>AVERAGE(Table1[[#This Row],[math score]:[writing score]])</f>
        <v>53.333333333333336</v>
      </c>
      <c r="K50" s="3">
        <f t="shared" si="0"/>
        <v>300</v>
      </c>
      <c r="L50" s="5">
        <f>Table1[[#This Row],[Total Score]]/Table1[[#This Row],[Minimum Mark]]</f>
        <v>0.53333333333333333</v>
      </c>
      <c r="M50" s="71" t="str">
        <f>_xlfn.XLOOKUP(Table1[[#This Row],[Pass(%)]],O:O,P:P,,-1)</f>
        <v>D+</v>
      </c>
    </row>
    <row r="51" spans="1:13" ht="20.5" x14ac:dyDescent="0.8">
      <c r="A51" s="3" t="s">
        <v>17</v>
      </c>
      <c r="B51" s="3" t="s">
        <v>9</v>
      </c>
      <c r="C51" s="7" t="s">
        <v>19</v>
      </c>
      <c r="D51" s="7" t="s">
        <v>11</v>
      </c>
      <c r="E51" s="7" t="s">
        <v>12</v>
      </c>
      <c r="F51" s="7">
        <v>65</v>
      </c>
      <c r="G51" s="7">
        <v>54</v>
      </c>
      <c r="H51" s="7">
        <v>57</v>
      </c>
      <c r="I51" s="3">
        <f t="shared" si="1"/>
        <v>176</v>
      </c>
      <c r="J51" s="14">
        <f>AVERAGE(Table1[[#This Row],[math score]:[writing score]])</f>
        <v>58.666666666666664</v>
      </c>
      <c r="K51" s="3">
        <f t="shared" si="0"/>
        <v>300</v>
      </c>
      <c r="L51" s="5">
        <f>Table1[[#This Row],[Total Score]]/Table1[[#This Row],[Minimum Mark]]</f>
        <v>0.58666666666666667</v>
      </c>
      <c r="M51" s="71" t="str">
        <f>_xlfn.XLOOKUP(Table1[[#This Row],[Pass(%)]],O:O,P:P,,-1)</f>
        <v>D+</v>
      </c>
    </row>
    <row r="52" spans="1:13" ht="20.5" x14ac:dyDescent="0.8">
      <c r="A52" s="3" t="s">
        <v>8</v>
      </c>
      <c r="B52" s="3" t="s">
        <v>18</v>
      </c>
      <c r="C52" s="7" t="s">
        <v>19</v>
      </c>
      <c r="D52" s="7" t="s">
        <v>11</v>
      </c>
      <c r="E52" s="7" t="s">
        <v>15</v>
      </c>
      <c r="F52" s="7">
        <v>55</v>
      </c>
      <c r="G52" s="7">
        <v>65</v>
      </c>
      <c r="H52" s="7">
        <v>62</v>
      </c>
      <c r="I52" s="3">
        <f t="shared" si="1"/>
        <v>182</v>
      </c>
      <c r="J52" s="14">
        <f>AVERAGE(Table1[[#This Row],[math score]:[writing score]])</f>
        <v>60.666666666666664</v>
      </c>
      <c r="K52" s="3">
        <f t="shared" si="0"/>
        <v>300</v>
      </c>
      <c r="L52" s="5">
        <f>Table1[[#This Row],[Total Score]]/Table1[[#This Row],[Minimum Mark]]</f>
        <v>0.60666666666666669</v>
      </c>
      <c r="M52" s="71" t="str">
        <f>_xlfn.XLOOKUP(Table1[[#This Row],[Pass(%)]],O:O,P:P,,-1)</f>
        <v>D+</v>
      </c>
    </row>
    <row r="53" spans="1:13" x14ac:dyDescent="0.35">
      <c r="A53" s="2" t="s">
        <v>8</v>
      </c>
      <c r="B53" s="2" t="s">
        <v>13</v>
      </c>
      <c r="C53" s="6" t="s">
        <v>22</v>
      </c>
      <c r="D53" s="6" t="s">
        <v>11</v>
      </c>
      <c r="E53" s="6" t="s">
        <v>12</v>
      </c>
      <c r="F53" s="6">
        <v>66</v>
      </c>
      <c r="G53" s="6">
        <v>71</v>
      </c>
      <c r="H53" s="6">
        <v>76</v>
      </c>
      <c r="I53" s="2">
        <f t="shared" si="1"/>
        <v>213</v>
      </c>
      <c r="J53" s="8">
        <f>AVERAGE(Table1[[#This Row],[math score]:[writing score]])</f>
        <v>71</v>
      </c>
      <c r="K53" s="2">
        <f t="shared" si="0"/>
        <v>300</v>
      </c>
      <c r="L53" s="4">
        <f>Table1[[#This Row],[Total Score]]/Table1[[#This Row],[Minimum Mark]]</f>
        <v>0.71</v>
      </c>
      <c r="M53" s="70" t="str">
        <f>_xlfn.XLOOKUP(Table1[[#This Row],[Pass(%)]],O:O,P:P,,-1)</f>
        <v>C-</v>
      </c>
    </row>
    <row r="54" spans="1:13" ht="20.5" x14ac:dyDescent="0.8">
      <c r="A54" s="3" t="s">
        <v>8</v>
      </c>
      <c r="B54" s="3" t="s">
        <v>21</v>
      </c>
      <c r="C54" s="7" t="s">
        <v>19</v>
      </c>
      <c r="D54" s="7" t="s">
        <v>20</v>
      </c>
      <c r="E54" s="7" t="s">
        <v>15</v>
      </c>
      <c r="F54" s="7">
        <v>57</v>
      </c>
      <c r="G54" s="7">
        <v>74</v>
      </c>
      <c r="H54" s="7">
        <v>76</v>
      </c>
      <c r="I54" s="3">
        <f t="shared" si="1"/>
        <v>207</v>
      </c>
      <c r="J54" s="14">
        <f>AVERAGE(Table1[[#This Row],[math score]:[writing score]])</f>
        <v>69</v>
      </c>
      <c r="K54" s="3">
        <f t="shared" si="0"/>
        <v>300</v>
      </c>
      <c r="L54" s="5">
        <f>Table1[[#This Row],[Total Score]]/Table1[[#This Row],[Minimum Mark]]</f>
        <v>0.69</v>
      </c>
      <c r="M54" s="71" t="str">
        <f>_xlfn.XLOOKUP(Table1[[#This Row],[Pass(%)]],O:O,P:P,,-1)</f>
        <v>D+</v>
      </c>
    </row>
    <row r="55" spans="1:13" x14ac:dyDescent="0.35">
      <c r="A55" s="2" t="s">
        <v>17</v>
      </c>
      <c r="B55" s="2" t="s">
        <v>13</v>
      </c>
      <c r="C55" s="6" t="s">
        <v>22</v>
      </c>
      <c r="D55" s="6" t="s">
        <v>11</v>
      </c>
      <c r="E55" s="6" t="s">
        <v>15</v>
      </c>
      <c r="F55" s="6">
        <v>82</v>
      </c>
      <c r="G55" s="6">
        <v>84</v>
      </c>
      <c r="H55" s="6">
        <v>82</v>
      </c>
      <c r="I55" s="2">
        <f t="shared" si="1"/>
        <v>248</v>
      </c>
      <c r="J55" s="8">
        <f>AVERAGE(Table1[[#This Row],[math score]:[writing score]])</f>
        <v>82.666666666666671</v>
      </c>
      <c r="K55" s="2">
        <f t="shared" si="0"/>
        <v>300</v>
      </c>
      <c r="L55" s="4">
        <f>Table1[[#This Row],[Total Score]]/Table1[[#This Row],[Minimum Mark]]</f>
        <v>0.82666666666666666</v>
      </c>
      <c r="M55" s="70" t="str">
        <f>_xlfn.XLOOKUP(Table1[[#This Row],[Pass(%)]],O:O,P:P,,-1)</f>
        <v>B-</v>
      </c>
    </row>
    <row r="56" spans="1:13" x14ac:dyDescent="0.35">
      <c r="A56" s="2" t="s">
        <v>17</v>
      </c>
      <c r="B56" s="2" t="s">
        <v>24</v>
      </c>
      <c r="C56" s="6" t="s">
        <v>14</v>
      </c>
      <c r="D56" s="6" t="s">
        <v>11</v>
      </c>
      <c r="E56" s="6" t="s">
        <v>12</v>
      </c>
      <c r="F56" s="6">
        <v>53</v>
      </c>
      <c r="G56" s="6">
        <v>55</v>
      </c>
      <c r="H56" s="6">
        <v>48</v>
      </c>
      <c r="I56" s="2">
        <f t="shared" si="1"/>
        <v>156</v>
      </c>
      <c r="J56" s="8">
        <f>AVERAGE(Table1[[#This Row],[math score]:[writing score]])</f>
        <v>52</v>
      </c>
      <c r="K56" s="2">
        <f t="shared" si="0"/>
        <v>300</v>
      </c>
      <c r="L56" s="4">
        <f>Table1[[#This Row],[Total Score]]/Table1[[#This Row],[Minimum Mark]]</f>
        <v>0.52</v>
      </c>
      <c r="M56" s="70" t="str">
        <f>_xlfn.XLOOKUP(Table1[[#This Row],[Pass(%)]],O:O,P:P,,-1)</f>
        <v>D</v>
      </c>
    </row>
    <row r="57" spans="1:13" ht="20.5" x14ac:dyDescent="0.8">
      <c r="A57" s="3" t="s">
        <v>17</v>
      </c>
      <c r="B57" s="3" t="s">
        <v>24</v>
      </c>
      <c r="C57" s="7" t="s">
        <v>19</v>
      </c>
      <c r="D57" s="7" t="s">
        <v>20</v>
      </c>
      <c r="E57" s="7" t="s">
        <v>15</v>
      </c>
      <c r="F57" s="7">
        <v>77</v>
      </c>
      <c r="G57" s="7">
        <v>69</v>
      </c>
      <c r="H57" s="7">
        <v>68</v>
      </c>
      <c r="I57" s="3">
        <f t="shared" si="1"/>
        <v>214</v>
      </c>
      <c r="J57" s="14">
        <f>AVERAGE(Table1[[#This Row],[math score]:[writing score]])</f>
        <v>71.333333333333329</v>
      </c>
      <c r="K57" s="3">
        <f t="shared" si="0"/>
        <v>300</v>
      </c>
      <c r="L57" s="5">
        <f>Table1[[#This Row],[Total Score]]/Table1[[#This Row],[Minimum Mark]]</f>
        <v>0.71333333333333337</v>
      </c>
      <c r="M57" s="71" t="str">
        <f>_xlfn.XLOOKUP(Table1[[#This Row],[Pass(%)]],O:O,P:P,,-1)</f>
        <v>C-</v>
      </c>
    </row>
    <row r="58" spans="1:13" x14ac:dyDescent="0.35">
      <c r="A58" s="2" t="s">
        <v>17</v>
      </c>
      <c r="B58" s="2" t="s">
        <v>13</v>
      </c>
      <c r="C58" s="6" t="s">
        <v>14</v>
      </c>
      <c r="D58" s="6" t="s">
        <v>11</v>
      </c>
      <c r="E58" s="6" t="s">
        <v>12</v>
      </c>
      <c r="F58" s="6">
        <v>53</v>
      </c>
      <c r="G58" s="6">
        <v>44</v>
      </c>
      <c r="H58" s="6">
        <v>42</v>
      </c>
      <c r="I58" s="2">
        <f t="shared" si="1"/>
        <v>139</v>
      </c>
      <c r="J58" s="8">
        <f>AVERAGE(Table1[[#This Row],[math score]:[writing score]])</f>
        <v>46.333333333333336</v>
      </c>
      <c r="K58" s="2">
        <f t="shared" si="0"/>
        <v>300</v>
      </c>
      <c r="L58" s="4">
        <f>Table1[[#This Row],[Total Score]]/Table1[[#This Row],[Minimum Mark]]</f>
        <v>0.46333333333333332</v>
      </c>
      <c r="M58" s="70" t="str">
        <f>_xlfn.XLOOKUP(Table1[[#This Row],[Pass(%)]],O:O,P:P,,-1)</f>
        <v>D</v>
      </c>
    </row>
    <row r="59" spans="1:13" x14ac:dyDescent="0.35">
      <c r="A59" s="2" t="s">
        <v>17</v>
      </c>
      <c r="B59" s="2" t="s">
        <v>21</v>
      </c>
      <c r="C59" s="6" t="s">
        <v>22</v>
      </c>
      <c r="D59" s="6" t="s">
        <v>11</v>
      </c>
      <c r="E59" s="6" t="s">
        <v>12</v>
      </c>
      <c r="F59" s="6">
        <v>88</v>
      </c>
      <c r="G59" s="6">
        <v>78</v>
      </c>
      <c r="H59" s="6">
        <v>75</v>
      </c>
      <c r="I59" s="2">
        <f t="shared" si="1"/>
        <v>241</v>
      </c>
      <c r="J59" s="8">
        <f>AVERAGE(Table1[[#This Row],[math score]:[writing score]])</f>
        <v>80.333333333333329</v>
      </c>
      <c r="K59" s="2">
        <f t="shared" si="0"/>
        <v>300</v>
      </c>
      <c r="L59" s="4">
        <f>Table1[[#This Row],[Total Score]]/Table1[[#This Row],[Minimum Mark]]</f>
        <v>0.80333333333333334</v>
      </c>
      <c r="M59" s="70" t="str">
        <f>_xlfn.XLOOKUP(Table1[[#This Row],[Pass(%)]],O:O,P:P,,-1)</f>
        <v>B-</v>
      </c>
    </row>
    <row r="60" spans="1:13" x14ac:dyDescent="0.35">
      <c r="A60" s="2" t="s">
        <v>8</v>
      </c>
      <c r="B60" s="2" t="s">
        <v>13</v>
      </c>
      <c r="C60" s="6" t="s">
        <v>23</v>
      </c>
      <c r="D60" s="6" t="s">
        <v>20</v>
      </c>
      <c r="E60" s="6" t="s">
        <v>15</v>
      </c>
      <c r="F60" s="6">
        <v>71</v>
      </c>
      <c r="G60" s="6">
        <v>84</v>
      </c>
      <c r="H60" s="6">
        <v>87</v>
      </c>
      <c r="I60" s="2">
        <f t="shared" si="1"/>
        <v>242</v>
      </c>
      <c r="J60" s="8">
        <f>AVERAGE(Table1[[#This Row],[math score]:[writing score]])</f>
        <v>80.666666666666671</v>
      </c>
      <c r="K60" s="2">
        <f t="shared" si="0"/>
        <v>300</v>
      </c>
      <c r="L60" s="4">
        <f>Table1[[#This Row],[Total Score]]/Table1[[#This Row],[Minimum Mark]]</f>
        <v>0.80666666666666664</v>
      </c>
      <c r="M60" s="70" t="str">
        <f>_xlfn.XLOOKUP(Table1[[#This Row],[Pass(%)]],O:O,P:P,,-1)</f>
        <v>B-</v>
      </c>
    </row>
    <row r="61" spans="1:13" x14ac:dyDescent="0.35">
      <c r="A61" s="2" t="s">
        <v>8</v>
      </c>
      <c r="B61" s="2" t="s">
        <v>13</v>
      </c>
      <c r="C61" s="6" t="s">
        <v>22</v>
      </c>
      <c r="D61" s="6" t="s">
        <v>20</v>
      </c>
      <c r="E61" s="6" t="s">
        <v>12</v>
      </c>
      <c r="F61" s="6">
        <v>33</v>
      </c>
      <c r="G61" s="6">
        <v>41</v>
      </c>
      <c r="H61" s="6">
        <v>43</v>
      </c>
      <c r="I61" s="2">
        <f t="shared" si="1"/>
        <v>117</v>
      </c>
      <c r="J61" s="8">
        <f>AVERAGE(Table1[[#This Row],[math score]:[writing score]])</f>
        <v>39</v>
      </c>
      <c r="K61" s="2">
        <f t="shared" si="0"/>
        <v>300</v>
      </c>
      <c r="L61" s="4">
        <f>Table1[[#This Row],[Total Score]]/Table1[[#This Row],[Minimum Mark]]</f>
        <v>0.39</v>
      </c>
      <c r="M61" s="70" t="str">
        <f>_xlfn.XLOOKUP(Table1[[#This Row],[Pass(%)]],O:O,P:P,,-1)</f>
        <v>D-</v>
      </c>
    </row>
    <row r="62" spans="1:13" ht="20.5" x14ac:dyDescent="0.8">
      <c r="A62" s="3" t="s">
        <v>8</v>
      </c>
      <c r="B62" s="3" t="s">
        <v>24</v>
      </c>
      <c r="C62" s="7" t="s">
        <v>19</v>
      </c>
      <c r="D62" s="7" t="s">
        <v>11</v>
      </c>
      <c r="E62" s="7" t="s">
        <v>15</v>
      </c>
      <c r="F62" s="7">
        <v>82</v>
      </c>
      <c r="G62" s="7">
        <v>85</v>
      </c>
      <c r="H62" s="7">
        <v>86</v>
      </c>
      <c r="I62" s="3">
        <f t="shared" si="1"/>
        <v>253</v>
      </c>
      <c r="J62" s="14">
        <f>AVERAGE(Table1[[#This Row],[math score]:[writing score]])</f>
        <v>84.333333333333329</v>
      </c>
      <c r="K62" s="3">
        <f t="shared" si="0"/>
        <v>300</v>
      </c>
      <c r="L62" s="5">
        <f>Table1[[#This Row],[Total Score]]/Table1[[#This Row],[Minimum Mark]]</f>
        <v>0.84333333333333338</v>
      </c>
      <c r="M62" s="71" t="str">
        <f>_xlfn.XLOOKUP(Table1[[#This Row],[Pass(%)]],O:O,P:P,,-1)</f>
        <v>B</v>
      </c>
    </row>
    <row r="63" spans="1:13" ht="20.5" x14ac:dyDescent="0.8">
      <c r="A63" s="3" t="s">
        <v>17</v>
      </c>
      <c r="B63" s="3" t="s">
        <v>21</v>
      </c>
      <c r="C63" s="7" t="s">
        <v>19</v>
      </c>
      <c r="D63" s="7" t="s">
        <v>11</v>
      </c>
      <c r="E63" s="7" t="s">
        <v>12</v>
      </c>
      <c r="F63" s="7">
        <v>52</v>
      </c>
      <c r="G63" s="7">
        <v>55</v>
      </c>
      <c r="H63" s="7">
        <v>49</v>
      </c>
      <c r="I63" s="3">
        <f t="shared" si="1"/>
        <v>156</v>
      </c>
      <c r="J63" s="14">
        <f>AVERAGE(Table1[[#This Row],[math score]:[writing score]])</f>
        <v>52</v>
      </c>
      <c r="K63" s="3">
        <f t="shared" si="0"/>
        <v>300</v>
      </c>
      <c r="L63" s="5">
        <f>Table1[[#This Row],[Total Score]]/Table1[[#This Row],[Minimum Mark]]</f>
        <v>0.52</v>
      </c>
      <c r="M63" s="71" t="str">
        <f>_xlfn.XLOOKUP(Table1[[#This Row],[Pass(%)]],O:O,P:P,,-1)</f>
        <v>D</v>
      </c>
    </row>
    <row r="64" spans="1:13" x14ac:dyDescent="0.35">
      <c r="A64" s="2" t="s">
        <v>17</v>
      </c>
      <c r="B64" s="2" t="s">
        <v>21</v>
      </c>
      <c r="C64" s="6" t="s">
        <v>14</v>
      </c>
      <c r="D64" s="6" t="s">
        <v>11</v>
      </c>
      <c r="E64" s="6" t="s">
        <v>15</v>
      </c>
      <c r="F64" s="6">
        <v>58</v>
      </c>
      <c r="G64" s="6">
        <v>59</v>
      </c>
      <c r="H64" s="6">
        <v>58</v>
      </c>
      <c r="I64" s="2">
        <f t="shared" si="1"/>
        <v>175</v>
      </c>
      <c r="J64" s="8">
        <f>AVERAGE(Table1[[#This Row],[math score]:[writing score]])</f>
        <v>58.333333333333336</v>
      </c>
      <c r="K64" s="2">
        <f t="shared" si="0"/>
        <v>300</v>
      </c>
      <c r="L64" s="4">
        <f>Table1[[#This Row],[Total Score]]/Table1[[#This Row],[Minimum Mark]]</f>
        <v>0.58333333333333337</v>
      </c>
      <c r="M64" s="70" t="str">
        <f>_xlfn.XLOOKUP(Table1[[#This Row],[Pass(%)]],O:O,P:P,,-1)</f>
        <v>D+</v>
      </c>
    </row>
    <row r="65" spans="1:13" x14ac:dyDescent="0.35">
      <c r="A65" s="2" t="s">
        <v>8</v>
      </c>
      <c r="B65" s="2" t="s">
        <v>13</v>
      </c>
      <c r="C65" s="6" t="s">
        <v>23</v>
      </c>
      <c r="D65" s="6" t="s">
        <v>20</v>
      </c>
      <c r="E65" s="6" t="s">
        <v>12</v>
      </c>
      <c r="F65" s="6">
        <v>0</v>
      </c>
      <c r="G65" s="6">
        <v>17</v>
      </c>
      <c r="H65" s="6">
        <v>10</v>
      </c>
      <c r="I65" s="2">
        <f t="shared" si="1"/>
        <v>27</v>
      </c>
      <c r="J65" s="8">
        <f>AVERAGE(Table1[[#This Row],[math score]:[writing score]])</f>
        <v>9</v>
      </c>
      <c r="K65" s="2">
        <f t="shared" si="0"/>
        <v>300</v>
      </c>
      <c r="L65" s="4">
        <f>Table1[[#This Row],[Total Score]]/Table1[[#This Row],[Minimum Mark]]</f>
        <v>0.09</v>
      </c>
      <c r="M65" s="70" t="str">
        <f>_xlfn.XLOOKUP(Table1[[#This Row],[Pass(%)]],O:O,P:P,,-1)</f>
        <v>F</v>
      </c>
    </row>
    <row r="66" spans="1:13" x14ac:dyDescent="0.35">
      <c r="A66" s="2" t="s">
        <v>17</v>
      </c>
      <c r="B66" s="2" t="s">
        <v>24</v>
      </c>
      <c r="C66" s="6" t="s">
        <v>10</v>
      </c>
      <c r="D66" s="6" t="s">
        <v>20</v>
      </c>
      <c r="E66" s="6" t="s">
        <v>15</v>
      </c>
      <c r="F66" s="6">
        <v>79</v>
      </c>
      <c r="G66" s="6">
        <v>74</v>
      </c>
      <c r="H66" s="6">
        <v>72</v>
      </c>
      <c r="I66" s="2">
        <f t="shared" si="1"/>
        <v>225</v>
      </c>
      <c r="J66" s="8">
        <f>AVERAGE(Table1[[#This Row],[math score]:[writing score]])</f>
        <v>75</v>
      </c>
      <c r="K66" s="2">
        <f t="shared" si="0"/>
        <v>300</v>
      </c>
      <c r="L66" s="4">
        <f>Table1[[#This Row],[Total Score]]/Table1[[#This Row],[Minimum Mark]]</f>
        <v>0.75</v>
      </c>
      <c r="M66" s="70" t="str">
        <f>_xlfn.XLOOKUP(Table1[[#This Row],[Pass(%)]],O:O,P:P,,-1)</f>
        <v>C</v>
      </c>
    </row>
    <row r="67" spans="1:13" x14ac:dyDescent="0.35">
      <c r="A67" s="2" t="s">
        <v>17</v>
      </c>
      <c r="B67" s="2" t="s">
        <v>18</v>
      </c>
      <c r="C67" s="6" t="s">
        <v>23</v>
      </c>
      <c r="D67" s="6" t="s">
        <v>20</v>
      </c>
      <c r="E67" s="6" t="s">
        <v>12</v>
      </c>
      <c r="F67" s="6">
        <v>39</v>
      </c>
      <c r="G67" s="6">
        <v>39</v>
      </c>
      <c r="H67" s="6">
        <v>34</v>
      </c>
      <c r="I67" s="2">
        <f t="shared" si="1"/>
        <v>112</v>
      </c>
      <c r="J67" s="8">
        <f>AVERAGE(Table1[[#This Row],[math score]:[writing score]])</f>
        <v>37.333333333333336</v>
      </c>
      <c r="K67" s="2">
        <f t="shared" si="0"/>
        <v>300</v>
      </c>
      <c r="L67" s="4">
        <f>Table1[[#This Row],[Total Score]]/Table1[[#This Row],[Minimum Mark]]</f>
        <v>0.37333333333333335</v>
      </c>
      <c r="M67" s="70" t="str">
        <f>_xlfn.XLOOKUP(Table1[[#This Row],[Pass(%)]],O:O,P:P,,-1)</f>
        <v>D-</v>
      </c>
    </row>
    <row r="68" spans="1:13" ht="20.5" x14ac:dyDescent="0.8">
      <c r="A68" s="3" t="s">
        <v>17</v>
      </c>
      <c r="B68" s="3" t="s">
        <v>18</v>
      </c>
      <c r="C68" s="7" t="s">
        <v>19</v>
      </c>
      <c r="D68" s="7" t="s">
        <v>20</v>
      </c>
      <c r="E68" s="7" t="s">
        <v>12</v>
      </c>
      <c r="F68" s="7">
        <v>62</v>
      </c>
      <c r="G68" s="7">
        <v>61</v>
      </c>
      <c r="H68" s="7">
        <v>55</v>
      </c>
      <c r="I68" s="3">
        <f t="shared" si="1"/>
        <v>178</v>
      </c>
      <c r="J68" s="14">
        <f>AVERAGE(Table1[[#This Row],[math score]:[writing score]])</f>
        <v>59.333333333333336</v>
      </c>
      <c r="K68" s="3">
        <f t="shared" si="0"/>
        <v>300</v>
      </c>
      <c r="L68" s="5">
        <f>Table1[[#This Row],[Total Score]]/Table1[[#This Row],[Minimum Mark]]</f>
        <v>0.59333333333333338</v>
      </c>
      <c r="M68" s="71" t="str">
        <f>_xlfn.XLOOKUP(Table1[[#This Row],[Pass(%)]],O:O,P:P,,-1)</f>
        <v>D+</v>
      </c>
    </row>
    <row r="69" spans="1:13" ht="20.5" x14ac:dyDescent="0.8">
      <c r="A69" s="3" t="s">
        <v>8</v>
      </c>
      <c r="B69" s="3" t="s">
        <v>13</v>
      </c>
      <c r="C69" s="7" t="s">
        <v>19</v>
      </c>
      <c r="D69" s="7" t="s">
        <v>11</v>
      </c>
      <c r="E69" s="7" t="s">
        <v>12</v>
      </c>
      <c r="F69" s="7">
        <v>69</v>
      </c>
      <c r="G69" s="7">
        <v>80</v>
      </c>
      <c r="H69" s="7">
        <v>71</v>
      </c>
      <c r="I69" s="3">
        <f t="shared" si="1"/>
        <v>220</v>
      </c>
      <c r="J69" s="14">
        <f>AVERAGE(Table1[[#This Row],[math score]:[writing score]])</f>
        <v>73.333333333333329</v>
      </c>
      <c r="K69" s="3">
        <f t="shared" si="0"/>
        <v>300</v>
      </c>
      <c r="L69" s="5">
        <f>Table1[[#This Row],[Total Score]]/Table1[[#This Row],[Minimum Mark]]</f>
        <v>0.73333333333333328</v>
      </c>
      <c r="M69" s="71" t="str">
        <f>_xlfn.XLOOKUP(Table1[[#This Row],[Pass(%)]],O:O,P:P,,-1)</f>
        <v>C</v>
      </c>
    </row>
    <row r="70" spans="1:13" x14ac:dyDescent="0.35">
      <c r="A70" s="2" t="s">
        <v>8</v>
      </c>
      <c r="B70" s="2" t="s">
        <v>21</v>
      </c>
      <c r="C70" s="6" t="s">
        <v>23</v>
      </c>
      <c r="D70" s="6" t="s">
        <v>11</v>
      </c>
      <c r="E70" s="6" t="s">
        <v>12</v>
      </c>
      <c r="F70" s="6">
        <v>59</v>
      </c>
      <c r="G70" s="6">
        <v>58</v>
      </c>
      <c r="H70" s="6">
        <v>59</v>
      </c>
      <c r="I70" s="2">
        <f t="shared" si="1"/>
        <v>176</v>
      </c>
      <c r="J70" s="8">
        <f>AVERAGE(Table1[[#This Row],[math score]:[writing score]])</f>
        <v>58.666666666666664</v>
      </c>
      <c r="K70" s="2">
        <f t="shared" ref="K70:K133" si="2">3*100</f>
        <v>300</v>
      </c>
      <c r="L70" s="4">
        <f>Table1[[#This Row],[Total Score]]/Table1[[#This Row],[Minimum Mark]]</f>
        <v>0.58666666666666667</v>
      </c>
      <c r="M70" s="70" t="str">
        <f>_xlfn.XLOOKUP(Table1[[#This Row],[Pass(%)]],O:O,P:P,,-1)</f>
        <v>D+</v>
      </c>
    </row>
    <row r="71" spans="1:13" x14ac:dyDescent="0.35">
      <c r="A71" s="2" t="s">
        <v>17</v>
      </c>
      <c r="B71" s="2" t="s">
        <v>9</v>
      </c>
      <c r="C71" s="6" t="s">
        <v>23</v>
      </c>
      <c r="D71" s="6" t="s">
        <v>11</v>
      </c>
      <c r="E71" s="6" t="s">
        <v>12</v>
      </c>
      <c r="F71" s="6">
        <v>67</v>
      </c>
      <c r="G71" s="6">
        <v>64</v>
      </c>
      <c r="H71" s="6">
        <v>61</v>
      </c>
      <c r="I71" s="2">
        <f t="shared" ref="I71:I134" si="3">SUM(F71:H71)</f>
        <v>192</v>
      </c>
      <c r="J71" s="8">
        <f>AVERAGE(Table1[[#This Row],[math score]:[writing score]])</f>
        <v>64</v>
      </c>
      <c r="K71" s="2">
        <f t="shared" si="2"/>
        <v>300</v>
      </c>
      <c r="L71" s="4">
        <f>Table1[[#This Row],[Total Score]]/Table1[[#This Row],[Minimum Mark]]</f>
        <v>0.64</v>
      </c>
      <c r="M71" s="70" t="str">
        <f>_xlfn.XLOOKUP(Table1[[#This Row],[Pass(%)]],O:O,P:P,,-1)</f>
        <v>D+</v>
      </c>
    </row>
    <row r="72" spans="1:13" x14ac:dyDescent="0.35">
      <c r="A72" s="2" t="s">
        <v>17</v>
      </c>
      <c r="B72" s="2" t="s">
        <v>21</v>
      </c>
      <c r="C72" s="6" t="s">
        <v>23</v>
      </c>
      <c r="D72" s="6" t="s">
        <v>20</v>
      </c>
      <c r="E72" s="6" t="s">
        <v>12</v>
      </c>
      <c r="F72" s="6">
        <v>45</v>
      </c>
      <c r="G72" s="6">
        <v>37</v>
      </c>
      <c r="H72" s="6">
        <v>37</v>
      </c>
      <c r="I72" s="2">
        <f t="shared" si="3"/>
        <v>119</v>
      </c>
      <c r="J72" s="8">
        <f>AVERAGE(Table1[[#This Row],[math score]:[writing score]])</f>
        <v>39.666666666666664</v>
      </c>
      <c r="K72" s="2">
        <f t="shared" si="2"/>
        <v>300</v>
      </c>
      <c r="L72" s="4">
        <f>Table1[[#This Row],[Total Score]]/Table1[[#This Row],[Minimum Mark]]</f>
        <v>0.39666666666666667</v>
      </c>
      <c r="M72" s="70" t="str">
        <f>_xlfn.XLOOKUP(Table1[[#This Row],[Pass(%)]],O:O,P:P,,-1)</f>
        <v>D-</v>
      </c>
    </row>
    <row r="73" spans="1:13" x14ac:dyDescent="0.35">
      <c r="A73" s="2" t="s">
        <v>8</v>
      </c>
      <c r="B73" s="2" t="s">
        <v>13</v>
      </c>
      <c r="C73" s="6" t="s">
        <v>14</v>
      </c>
      <c r="D73" s="6" t="s">
        <v>11</v>
      </c>
      <c r="E73" s="6" t="s">
        <v>12</v>
      </c>
      <c r="F73" s="6">
        <v>60</v>
      </c>
      <c r="G73" s="6">
        <v>72</v>
      </c>
      <c r="H73" s="6">
        <v>74</v>
      </c>
      <c r="I73" s="2">
        <f t="shared" si="3"/>
        <v>206</v>
      </c>
      <c r="J73" s="8">
        <f>AVERAGE(Table1[[#This Row],[math score]:[writing score]])</f>
        <v>68.666666666666671</v>
      </c>
      <c r="K73" s="2">
        <f t="shared" si="2"/>
        <v>300</v>
      </c>
      <c r="L73" s="4">
        <f>Table1[[#This Row],[Total Score]]/Table1[[#This Row],[Minimum Mark]]</f>
        <v>0.68666666666666665</v>
      </c>
      <c r="M73" s="70" t="str">
        <f>_xlfn.XLOOKUP(Table1[[#This Row],[Pass(%)]],O:O,P:P,,-1)</f>
        <v>D+</v>
      </c>
    </row>
    <row r="74" spans="1:13" ht="20.5" x14ac:dyDescent="0.8">
      <c r="A74" s="3" t="s">
        <v>17</v>
      </c>
      <c r="B74" s="3" t="s">
        <v>9</v>
      </c>
      <c r="C74" s="7" t="s">
        <v>19</v>
      </c>
      <c r="D74" s="7" t="s">
        <v>20</v>
      </c>
      <c r="E74" s="7" t="s">
        <v>12</v>
      </c>
      <c r="F74" s="7">
        <v>61</v>
      </c>
      <c r="G74" s="7">
        <v>58</v>
      </c>
      <c r="H74" s="7">
        <v>56</v>
      </c>
      <c r="I74" s="3">
        <f t="shared" si="3"/>
        <v>175</v>
      </c>
      <c r="J74" s="14">
        <f>AVERAGE(Table1[[#This Row],[math score]:[writing score]])</f>
        <v>58.333333333333336</v>
      </c>
      <c r="K74" s="3">
        <f t="shared" si="2"/>
        <v>300</v>
      </c>
      <c r="L74" s="5">
        <f>Table1[[#This Row],[Total Score]]/Table1[[#This Row],[Minimum Mark]]</f>
        <v>0.58333333333333337</v>
      </c>
      <c r="M74" s="71" t="str">
        <f>_xlfn.XLOOKUP(Table1[[#This Row],[Pass(%)]],O:O,P:P,,-1)</f>
        <v>D+</v>
      </c>
    </row>
    <row r="75" spans="1:13" ht="20.5" x14ac:dyDescent="0.8">
      <c r="A75" s="3" t="s">
        <v>8</v>
      </c>
      <c r="B75" s="3" t="s">
        <v>13</v>
      </c>
      <c r="C75" s="7" t="s">
        <v>19</v>
      </c>
      <c r="D75" s="7" t="s">
        <v>11</v>
      </c>
      <c r="E75" s="7" t="s">
        <v>12</v>
      </c>
      <c r="F75" s="7">
        <v>39</v>
      </c>
      <c r="G75" s="7">
        <v>64</v>
      </c>
      <c r="H75" s="7">
        <v>57</v>
      </c>
      <c r="I75" s="3">
        <f t="shared" si="3"/>
        <v>160</v>
      </c>
      <c r="J75" s="14">
        <f>AVERAGE(Table1[[#This Row],[math score]:[writing score]])</f>
        <v>53.333333333333336</v>
      </c>
      <c r="K75" s="3">
        <f t="shared" si="2"/>
        <v>300</v>
      </c>
      <c r="L75" s="5">
        <f>Table1[[#This Row],[Total Score]]/Table1[[#This Row],[Minimum Mark]]</f>
        <v>0.53333333333333333</v>
      </c>
      <c r="M75" s="71" t="str">
        <f>_xlfn.XLOOKUP(Table1[[#This Row],[Pass(%)]],O:O,P:P,,-1)</f>
        <v>D+</v>
      </c>
    </row>
    <row r="76" spans="1:13" x14ac:dyDescent="0.35">
      <c r="A76" s="2" t="s">
        <v>8</v>
      </c>
      <c r="B76" s="2" t="s">
        <v>21</v>
      </c>
      <c r="C76" s="6" t="s">
        <v>14</v>
      </c>
      <c r="D76" s="6" t="s">
        <v>20</v>
      </c>
      <c r="E76" s="6" t="s">
        <v>15</v>
      </c>
      <c r="F76" s="6">
        <v>58</v>
      </c>
      <c r="G76" s="6">
        <v>63</v>
      </c>
      <c r="H76" s="6">
        <v>73</v>
      </c>
      <c r="I76" s="2">
        <f t="shared" si="3"/>
        <v>194</v>
      </c>
      <c r="J76" s="8">
        <f>AVERAGE(Table1[[#This Row],[math score]:[writing score]])</f>
        <v>64.666666666666671</v>
      </c>
      <c r="K76" s="2">
        <f t="shared" si="2"/>
        <v>300</v>
      </c>
      <c r="L76" s="4">
        <f>Table1[[#This Row],[Total Score]]/Table1[[#This Row],[Minimum Mark]]</f>
        <v>0.64666666666666661</v>
      </c>
      <c r="M76" s="70" t="str">
        <f>_xlfn.XLOOKUP(Table1[[#This Row],[Pass(%)]],O:O,P:P,,-1)</f>
        <v>D+</v>
      </c>
    </row>
    <row r="77" spans="1:13" x14ac:dyDescent="0.35">
      <c r="A77" s="2" t="s">
        <v>17</v>
      </c>
      <c r="B77" s="2" t="s">
        <v>21</v>
      </c>
      <c r="C77" s="6" t="s">
        <v>14</v>
      </c>
      <c r="D77" s="6" t="s">
        <v>11</v>
      </c>
      <c r="E77" s="6" t="s">
        <v>15</v>
      </c>
      <c r="F77" s="6">
        <v>63</v>
      </c>
      <c r="G77" s="6">
        <v>55</v>
      </c>
      <c r="H77" s="6">
        <v>63</v>
      </c>
      <c r="I77" s="2">
        <f t="shared" si="3"/>
        <v>181</v>
      </c>
      <c r="J77" s="8">
        <f>AVERAGE(Table1[[#This Row],[math score]:[writing score]])</f>
        <v>60.333333333333336</v>
      </c>
      <c r="K77" s="2">
        <f t="shared" si="2"/>
        <v>300</v>
      </c>
      <c r="L77" s="4">
        <f>Table1[[#This Row],[Total Score]]/Table1[[#This Row],[Minimum Mark]]</f>
        <v>0.60333333333333339</v>
      </c>
      <c r="M77" s="70" t="str">
        <f>_xlfn.XLOOKUP(Table1[[#This Row],[Pass(%)]],O:O,P:P,,-1)</f>
        <v>D+</v>
      </c>
    </row>
    <row r="78" spans="1:13" ht="20.5" x14ac:dyDescent="0.8">
      <c r="A78" s="3" t="s">
        <v>8</v>
      </c>
      <c r="B78" s="3" t="s">
        <v>18</v>
      </c>
      <c r="C78" s="7" t="s">
        <v>19</v>
      </c>
      <c r="D78" s="7" t="s">
        <v>20</v>
      </c>
      <c r="E78" s="7" t="s">
        <v>12</v>
      </c>
      <c r="F78" s="7">
        <v>41</v>
      </c>
      <c r="G78" s="7">
        <v>51</v>
      </c>
      <c r="H78" s="7">
        <v>48</v>
      </c>
      <c r="I78" s="3">
        <f t="shared" si="3"/>
        <v>140</v>
      </c>
      <c r="J78" s="14">
        <f>AVERAGE(Table1[[#This Row],[math score]:[writing score]])</f>
        <v>46.666666666666664</v>
      </c>
      <c r="K78" s="3">
        <f t="shared" si="2"/>
        <v>300</v>
      </c>
      <c r="L78" s="5">
        <f>Table1[[#This Row],[Total Score]]/Table1[[#This Row],[Minimum Mark]]</f>
        <v>0.46666666666666667</v>
      </c>
      <c r="M78" s="71" t="str">
        <f>_xlfn.XLOOKUP(Table1[[#This Row],[Pass(%)]],O:O,P:P,,-1)</f>
        <v>D</v>
      </c>
    </row>
    <row r="79" spans="1:13" x14ac:dyDescent="0.35">
      <c r="A79" s="2" t="s">
        <v>17</v>
      </c>
      <c r="B79" s="2" t="s">
        <v>13</v>
      </c>
      <c r="C79" s="6" t="s">
        <v>23</v>
      </c>
      <c r="D79" s="6" t="s">
        <v>20</v>
      </c>
      <c r="E79" s="6" t="s">
        <v>12</v>
      </c>
      <c r="F79" s="6">
        <v>61</v>
      </c>
      <c r="G79" s="6">
        <v>57</v>
      </c>
      <c r="H79" s="6">
        <v>56</v>
      </c>
      <c r="I79" s="2">
        <f t="shared" si="3"/>
        <v>174</v>
      </c>
      <c r="J79" s="8">
        <f>AVERAGE(Table1[[#This Row],[math score]:[writing score]])</f>
        <v>58</v>
      </c>
      <c r="K79" s="2">
        <f t="shared" si="2"/>
        <v>300</v>
      </c>
      <c r="L79" s="4">
        <f>Table1[[#This Row],[Total Score]]/Table1[[#This Row],[Minimum Mark]]</f>
        <v>0.57999999999999996</v>
      </c>
      <c r="M79" s="70" t="str">
        <f>_xlfn.XLOOKUP(Table1[[#This Row],[Pass(%)]],O:O,P:P,,-1)</f>
        <v>D+</v>
      </c>
    </row>
    <row r="80" spans="1:13" x14ac:dyDescent="0.35">
      <c r="A80" s="2" t="s">
        <v>17</v>
      </c>
      <c r="B80" s="2" t="s">
        <v>13</v>
      </c>
      <c r="C80" s="6" t="s">
        <v>23</v>
      </c>
      <c r="D80" s="6" t="s">
        <v>11</v>
      </c>
      <c r="E80" s="6" t="s">
        <v>12</v>
      </c>
      <c r="F80" s="6">
        <v>49</v>
      </c>
      <c r="G80" s="6">
        <v>49</v>
      </c>
      <c r="H80" s="6">
        <v>41</v>
      </c>
      <c r="I80" s="2">
        <f t="shared" si="3"/>
        <v>139</v>
      </c>
      <c r="J80" s="8">
        <f>AVERAGE(Table1[[#This Row],[math score]:[writing score]])</f>
        <v>46.333333333333336</v>
      </c>
      <c r="K80" s="2">
        <f t="shared" si="2"/>
        <v>300</v>
      </c>
      <c r="L80" s="4">
        <f>Table1[[#This Row],[Total Score]]/Table1[[#This Row],[Minimum Mark]]</f>
        <v>0.46333333333333332</v>
      </c>
      <c r="M80" s="70" t="str">
        <f>_xlfn.XLOOKUP(Table1[[#This Row],[Pass(%)]],O:O,P:P,,-1)</f>
        <v>D</v>
      </c>
    </row>
    <row r="81" spans="1:13" ht="20.5" x14ac:dyDescent="0.8">
      <c r="A81" s="3" t="s">
        <v>17</v>
      </c>
      <c r="B81" s="3" t="s">
        <v>9</v>
      </c>
      <c r="C81" s="7" t="s">
        <v>19</v>
      </c>
      <c r="D81" s="7" t="s">
        <v>20</v>
      </c>
      <c r="E81" s="7" t="s">
        <v>12</v>
      </c>
      <c r="F81" s="7">
        <v>44</v>
      </c>
      <c r="G81" s="7">
        <v>41</v>
      </c>
      <c r="H81" s="7">
        <v>38</v>
      </c>
      <c r="I81" s="3">
        <f t="shared" si="3"/>
        <v>123</v>
      </c>
      <c r="J81" s="14">
        <f>AVERAGE(Table1[[#This Row],[math score]:[writing score]])</f>
        <v>41</v>
      </c>
      <c r="K81" s="3">
        <f t="shared" si="2"/>
        <v>300</v>
      </c>
      <c r="L81" s="5">
        <f>Table1[[#This Row],[Total Score]]/Table1[[#This Row],[Minimum Mark]]</f>
        <v>0.41</v>
      </c>
      <c r="M81" s="71" t="str">
        <f>_xlfn.XLOOKUP(Table1[[#This Row],[Pass(%)]],O:O,P:P,,-1)</f>
        <v>D</v>
      </c>
    </row>
    <row r="82" spans="1:13" x14ac:dyDescent="0.35">
      <c r="A82" s="2" t="s">
        <v>17</v>
      </c>
      <c r="B82" s="2" t="s">
        <v>24</v>
      </c>
      <c r="C82" s="6" t="s">
        <v>23</v>
      </c>
      <c r="D82" s="6" t="s">
        <v>11</v>
      </c>
      <c r="E82" s="6" t="s">
        <v>12</v>
      </c>
      <c r="F82" s="6">
        <v>30</v>
      </c>
      <c r="G82" s="6">
        <v>26</v>
      </c>
      <c r="H82" s="6">
        <v>22</v>
      </c>
      <c r="I82" s="2">
        <f t="shared" si="3"/>
        <v>78</v>
      </c>
      <c r="J82" s="8">
        <f>AVERAGE(Table1[[#This Row],[math score]:[writing score]])</f>
        <v>26</v>
      </c>
      <c r="K82" s="2">
        <f t="shared" si="2"/>
        <v>300</v>
      </c>
      <c r="L82" s="4">
        <f>Table1[[#This Row],[Total Score]]/Table1[[#This Row],[Minimum Mark]]</f>
        <v>0.26</v>
      </c>
      <c r="M82" s="70" t="str">
        <f>_xlfn.XLOOKUP(Table1[[#This Row],[Pass(%)]],O:O,P:P,,-1)</f>
        <v>F</v>
      </c>
    </row>
    <row r="83" spans="1:13" x14ac:dyDescent="0.35">
      <c r="A83" s="2" t="s">
        <v>17</v>
      </c>
      <c r="B83" s="2" t="s">
        <v>18</v>
      </c>
      <c r="C83" s="6" t="s">
        <v>10</v>
      </c>
      <c r="D83" s="6" t="s">
        <v>11</v>
      </c>
      <c r="E83" s="6" t="s">
        <v>15</v>
      </c>
      <c r="F83" s="6">
        <v>80</v>
      </c>
      <c r="G83" s="6">
        <v>78</v>
      </c>
      <c r="H83" s="6">
        <v>81</v>
      </c>
      <c r="I83" s="2">
        <f t="shared" si="3"/>
        <v>239</v>
      </c>
      <c r="J83" s="8">
        <f>AVERAGE(Table1[[#This Row],[math score]:[writing score]])</f>
        <v>79.666666666666671</v>
      </c>
      <c r="K83" s="2">
        <f t="shared" si="2"/>
        <v>300</v>
      </c>
      <c r="L83" s="4">
        <f>Table1[[#This Row],[Total Score]]/Table1[[#This Row],[Minimum Mark]]</f>
        <v>0.79666666666666663</v>
      </c>
      <c r="M83" s="70" t="str">
        <f>_xlfn.XLOOKUP(Table1[[#This Row],[Pass(%)]],O:O,P:P,,-1)</f>
        <v>C+</v>
      </c>
    </row>
    <row r="84" spans="1:13" x14ac:dyDescent="0.35">
      <c r="A84" s="2" t="s">
        <v>8</v>
      </c>
      <c r="B84" s="2" t="s">
        <v>21</v>
      </c>
      <c r="C84" s="6" t="s">
        <v>23</v>
      </c>
      <c r="D84" s="6" t="s">
        <v>11</v>
      </c>
      <c r="E84" s="6" t="s">
        <v>15</v>
      </c>
      <c r="F84" s="6">
        <v>61</v>
      </c>
      <c r="G84" s="6">
        <v>74</v>
      </c>
      <c r="H84" s="6">
        <v>72</v>
      </c>
      <c r="I84" s="2">
        <f t="shared" si="3"/>
        <v>207</v>
      </c>
      <c r="J84" s="8">
        <f>AVERAGE(Table1[[#This Row],[math score]:[writing score]])</f>
        <v>69</v>
      </c>
      <c r="K84" s="2">
        <f t="shared" si="2"/>
        <v>300</v>
      </c>
      <c r="L84" s="4">
        <f>Table1[[#This Row],[Total Score]]/Table1[[#This Row],[Minimum Mark]]</f>
        <v>0.69</v>
      </c>
      <c r="M84" s="70" t="str">
        <f>_xlfn.XLOOKUP(Table1[[#This Row],[Pass(%)]],O:O,P:P,,-1)</f>
        <v>D+</v>
      </c>
    </row>
    <row r="85" spans="1:13" x14ac:dyDescent="0.35">
      <c r="A85" s="2" t="s">
        <v>8</v>
      </c>
      <c r="B85" s="2" t="s">
        <v>24</v>
      </c>
      <c r="C85" s="6" t="s">
        <v>16</v>
      </c>
      <c r="D85" s="6" t="s">
        <v>11</v>
      </c>
      <c r="E85" s="6" t="s">
        <v>12</v>
      </c>
      <c r="F85" s="6">
        <v>62</v>
      </c>
      <c r="G85" s="6">
        <v>68</v>
      </c>
      <c r="H85" s="6">
        <v>68</v>
      </c>
      <c r="I85" s="2">
        <f t="shared" si="3"/>
        <v>198</v>
      </c>
      <c r="J85" s="8">
        <f>AVERAGE(Table1[[#This Row],[math score]:[writing score]])</f>
        <v>66</v>
      </c>
      <c r="K85" s="2">
        <f t="shared" si="2"/>
        <v>300</v>
      </c>
      <c r="L85" s="4">
        <f>Table1[[#This Row],[Total Score]]/Table1[[#This Row],[Minimum Mark]]</f>
        <v>0.66</v>
      </c>
      <c r="M85" s="70" t="str">
        <f>_xlfn.XLOOKUP(Table1[[#This Row],[Pass(%)]],O:O,P:P,,-1)</f>
        <v>D+</v>
      </c>
    </row>
    <row r="86" spans="1:13" ht="20.5" x14ac:dyDescent="0.8">
      <c r="A86" s="3" t="s">
        <v>8</v>
      </c>
      <c r="B86" s="3" t="s">
        <v>9</v>
      </c>
      <c r="C86" s="7" t="s">
        <v>19</v>
      </c>
      <c r="D86" s="7" t="s">
        <v>11</v>
      </c>
      <c r="E86" s="7" t="s">
        <v>12</v>
      </c>
      <c r="F86" s="7">
        <v>47</v>
      </c>
      <c r="G86" s="7">
        <v>49</v>
      </c>
      <c r="H86" s="7">
        <v>50</v>
      </c>
      <c r="I86" s="3">
        <f t="shared" si="3"/>
        <v>146</v>
      </c>
      <c r="J86" s="14">
        <f>AVERAGE(Table1[[#This Row],[math score]:[writing score]])</f>
        <v>48.666666666666664</v>
      </c>
      <c r="K86" s="3">
        <f t="shared" si="2"/>
        <v>300</v>
      </c>
      <c r="L86" s="5">
        <f>Table1[[#This Row],[Total Score]]/Table1[[#This Row],[Minimum Mark]]</f>
        <v>0.48666666666666669</v>
      </c>
      <c r="M86" s="71" t="str">
        <f>_xlfn.XLOOKUP(Table1[[#This Row],[Pass(%)]],O:O,P:P,,-1)</f>
        <v>D</v>
      </c>
    </row>
    <row r="87" spans="1:13" x14ac:dyDescent="0.35">
      <c r="A87" s="2" t="s">
        <v>17</v>
      </c>
      <c r="B87" s="2" t="s">
        <v>9</v>
      </c>
      <c r="C87" s="6" t="s">
        <v>22</v>
      </c>
      <c r="D87" s="6" t="s">
        <v>20</v>
      </c>
      <c r="E87" s="6" t="s">
        <v>12</v>
      </c>
      <c r="F87" s="6">
        <v>49</v>
      </c>
      <c r="G87" s="6">
        <v>45</v>
      </c>
      <c r="H87" s="6">
        <v>45</v>
      </c>
      <c r="I87" s="2">
        <f t="shared" si="3"/>
        <v>139</v>
      </c>
      <c r="J87" s="8">
        <f>AVERAGE(Table1[[#This Row],[math score]:[writing score]])</f>
        <v>46.333333333333336</v>
      </c>
      <c r="K87" s="2">
        <f t="shared" si="2"/>
        <v>300</v>
      </c>
      <c r="L87" s="4">
        <f>Table1[[#This Row],[Total Score]]/Table1[[#This Row],[Minimum Mark]]</f>
        <v>0.46333333333333332</v>
      </c>
      <c r="M87" s="70" t="str">
        <f>_xlfn.XLOOKUP(Table1[[#This Row],[Pass(%)]],O:O,P:P,,-1)</f>
        <v>D</v>
      </c>
    </row>
    <row r="88" spans="1:13" x14ac:dyDescent="0.35">
      <c r="A88" s="2" t="s">
        <v>17</v>
      </c>
      <c r="B88" s="2" t="s">
        <v>18</v>
      </c>
      <c r="C88" s="6" t="s">
        <v>14</v>
      </c>
      <c r="D88" s="6" t="s">
        <v>20</v>
      </c>
      <c r="E88" s="6" t="s">
        <v>15</v>
      </c>
      <c r="F88" s="6">
        <v>50</v>
      </c>
      <c r="G88" s="6">
        <v>47</v>
      </c>
      <c r="H88" s="6">
        <v>54</v>
      </c>
      <c r="I88" s="2">
        <f t="shared" si="3"/>
        <v>151</v>
      </c>
      <c r="J88" s="8">
        <f>AVERAGE(Table1[[#This Row],[math score]:[writing score]])</f>
        <v>50.333333333333336</v>
      </c>
      <c r="K88" s="2">
        <f t="shared" si="2"/>
        <v>300</v>
      </c>
      <c r="L88" s="4">
        <f>Table1[[#This Row],[Total Score]]/Table1[[#This Row],[Minimum Mark]]</f>
        <v>0.5033333333333333</v>
      </c>
      <c r="M88" s="70" t="str">
        <f>_xlfn.XLOOKUP(Table1[[#This Row],[Pass(%)]],O:O,P:P,,-1)</f>
        <v>D</v>
      </c>
    </row>
    <row r="89" spans="1:13" ht="20.5" x14ac:dyDescent="0.8">
      <c r="A89" s="3" t="s">
        <v>17</v>
      </c>
      <c r="B89" s="3" t="s">
        <v>24</v>
      </c>
      <c r="C89" s="7" t="s">
        <v>19</v>
      </c>
      <c r="D89" s="7" t="s">
        <v>11</v>
      </c>
      <c r="E89" s="7" t="s">
        <v>12</v>
      </c>
      <c r="F89" s="7">
        <v>72</v>
      </c>
      <c r="G89" s="7">
        <v>64</v>
      </c>
      <c r="H89" s="7">
        <v>63</v>
      </c>
      <c r="I89" s="3">
        <f t="shared" si="3"/>
        <v>199</v>
      </c>
      <c r="J89" s="14">
        <f>AVERAGE(Table1[[#This Row],[math score]:[writing score]])</f>
        <v>66.333333333333329</v>
      </c>
      <c r="K89" s="3">
        <f t="shared" si="2"/>
        <v>300</v>
      </c>
      <c r="L89" s="5">
        <f>Table1[[#This Row],[Total Score]]/Table1[[#This Row],[Minimum Mark]]</f>
        <v>0.66333333333333333</v>
      </c>
      <c r="M89" s="71" t="str">
        <f>_xlfn.XLOOKUP(Table1[[#This Row],[Pass(%)]],O:O,P:P,,-1)</f>
        <v>D+</v>
      </c>
    </row>
    <row r="90" spans="1:13" x14ac:dyDescent="0.35">
      <c r="A90" s="2" t="s">
        <v>17</v>
      </c>
      <c r="B90" s="2" t="s">
        <v>21</v>
      </c>
      <c r="C90" s="6" t="s">
        <v>22</v>
      </c>
      <c r="D90" s="6" t="s">
        <v>20</v>
      </c>
      <c r="E90" s="6" t="s">
        <v>12</v>
      </c>
      <c r="F90" s="6">
        <v>42</v>
      </c>
      <c r="G90" s="6">
        <v>39</v>
      </c>
      <c r="H90" s="6">
        <v>34</v>
      </c>
      <c r="I90" s="2">
        <f t="shared" si="3"/>
        <v>115</v>
      </c>
      <c r="J90" s="8">
        <f>AVERAGE(Table1[[#This Row],[math score]:[writing score]])</f>
        <v>38.333333333333336</v>
      </c>
      <c r="K90" s="2">
        <f t="shared" si="2"/>
        <v>300</v>
      </c>
      <c r="L90" s="4">
        <f>Table1[[#This Row],[Total Score]]/Table1[[#This Row],[Minimum Mark]]</f>
        <v>0.38333333333333336</v>
      </c>
      <c r="M90" s="70" t="str">
        <f>_xlfn.XLOOKUP(Table1[[#This Row],[Pass(%)]],O:O,P:P,,-1)</f>
        <v>D-</v>
      </c>
    </row>
    <row r="91" spans="1:13" x14ac:dyDescent="0.35">
      <c r="A91" s="2" t="s">
        <v>8</v>
      </c>
      <c r="B91" s="2" t="s">
        <v>13</v>
      </c>
      <c r="C91" s="6" t="s">
        <v>14</v>
      </c>
      <c r="D91" s="6" t="s">
        <v>11</v>
      </c>
      <c r="E91" s="6" t="s">
        <v>12</v>
      </c>
      <c r="F91" s="6">
        <v>73</v>
      </c>
      <c r="G91" s="6">
        <v>80</v>
      </c>
      <c r="H91" s="6">
        <v>82</v>
      </c>
      <c r="I91" s="2">
        <f t="shared" si="3"/>
        <v>235</v>
      </c>
      <c r="J91" s="8">
        <f>AVERAGE(Table1[[#This Row],[math score]:[writing score]])</f>
        <v>78.333333333333329</v>
      </c>
      <c r="K91" s="2">
        <f t="shared" si="2"/>
        <v>300</v>
      </c>
      <c r="L91" s="4">
        <f>Table1[[#This Row],[Total Score]]/Table1[[#This Row],[Minimum Mark]]</f>
        <v>0.78333333333333333</v>
      </c>
      <c r="M91" s="70" t="str">
        <f>_xlfn.XLOOKUP(Table1[[#This Row],[Pass(%)]],O:O,P:P,,-1)</f>
        <v>C+</v>
      </c>
    </row>
    <row r="92" spans="1:13" x14ac:dyDescent="0.35">
      <c r="A92" s="2" t="s">
        <v>8</v>
      </c>
      <c r="B92" s="2" t="s">
        <v>13</v>
      </c>
      <c r="C92" s="6" t="s">
        <v>14</v>
      </c>
      <c r="D92" s="6" t="s">
        <v>20</v>
      </c>
      <c r="E92" s="6" t="s">
        <v>12</v>
      </c>
      <c r="F92" s="6">
        <v>76</v>
      </c>
      <c r="G92" s="6">
        <v>83</v>
      </c>
      <c r="H92" s="6">
        <v>88</v>
      </c>
      <c r="I92" s="2">
        <f t="shared" si="3"/>
        <v>247</v>
      </c>
      <c r="J92" s="8">
        <f>AVERAGE(Table1[[#This Row],[math score]:[writing score]])</f>
        <v>82.333333333333329</v>
      </c>
      <c r="K92" s="2">
        <f t="shared" si="2"/>
        <v>300</v>
      </c>
      <c r="L92" s="4">
        <f>Table1[[#This Row],[Total Score]]/Table1[[#This Row],[Minimum Mark]]</f>
        <v>0.82333333333333336</v>
      </c>
      <c r="M92" s="70" t="str">
        <f>_xlfn.XLOOKUP(Table1[[#This Row],[Pass(%)]],O:O,P:P,,-1)</f>
        <v>B-</v>
      </c>
    </row>
    <row r="93" spans="1:13" ht="20.5" x14ac:dyDescent="0.8">
      <c r="A93" s="3" t="s">
        <v>8</v>
      </c>
      <c r="B93" s="3" t="s">
        <v>21</v>
      </c>
      <c r="C93" s="7" t="s">
        <v>19</v>
      </c>
      <c r="D93" s="7" t="s">
        <v>11</v>
      </c>
      <c r="E93" s="7" t="s">
        <v>12</v>
      </c>
      <c r="F93" s="7">
        <v>71</v>
      </c>
      <c r="G93" s="7">
        <v>71</v>
      </c>
      <c r="H93" s="7">
        <v>74</v>
      </c>
      <c r="I93" s="3">
        <f t="shared" si="3"/>
        <v>216</v>
      </c>
      <c r="J93" s="14">
        <f>AVERAGE(Table1[[#This Row],[math score]:[writing score]])</f>
        <v>72</v>
      </c>
      <c r="K93" s="3">
        <f t="shared" si="2"/>
        <v>300</v>
      </c>
      <c r="L93" s="5">
        <f>Table1[[#This Row],[Total Score]]/Table1[[#This Row],[Minimum Mark]]</f>
        <v>0.72</v>
      </c>
      <c r="M93" s="71" t="str">
        <f>_xlfn.XLOOKUP(Table1[[#This Row],[Pass(%)]],O:O,P:P,,-1)</f>
        <v>C-</v>
      </c>
    </row>
    <row r="94" spans="1:13" x14ac:dyDescent="0.35">
      <c r="A94" s="2" t="s">
        <v>8</v>
      </c>
      <c r="B94" s="2" t="s">
        <v>18</v>
      </c>
      <c r="C94" s="6" t="s">
        <v>14</v>
      </c>
      <c r="D94" s="6" t="s">
        <v>11</v>
      </c>
      <c r="E94" s="6" t="s">
        <v>12</v>
      </c>
      <c r="F94" s="6">
        <v>58</v>
      </c>
      <c r="G94" s="6">
        <v>70</v>
      </c>
      <c r="H94" s="6">
        <v>67</v>
      </c>
      <c r="I94" s="2">
        <f t="shared" si="3"/>
        <v>195</v>
      </c>
      <c r="J94" s="8">
        <f>AVERAGE(Table1[[#This Row],[math score]:[writing score]])</f>
        <v>65</v>
      </c>
      <c r="K94" s="2">
        <f t="shared" si="2"/>
        <v>300</v>
      </c>
      <c r="L94" s="4">
        <f>Table1[[#This Row],[Total Score]]/Table1[[#This Row],[Minimum Mark]]</f>
        <v>0.65</v>
      </c>
      <c r="M94" s="70" t="str">
        <f>_xlfn.XLOOKUP(Table1[[#This Row],[Pass(%)]],O:O,P:P,,-1)</f>
        <v>D+</v>
      </c>
    </row>
    <row r="95" spans="1:13" x14ac:dyDescent="0.35">
      <c r="A95" s="2" t="s">
        <v>8</v>
      </c>
      <c r="B95" s="2" t="s">
        <v>21</v>
      </c>
      <c r="C95" s="6" t="s">
        <v>23</v>
      </c>
      <c r="D95" s="6" t="s">
        <v>11</v>
      </c>
      <c r="E95" s="6" t="s">
        <v>12</v>
      </c>
      <c r="F95" s="6">
        <v>73</v>
      </c>
      <c r="G95" s="6">
        <v>86</v>
      </c>
      <c r="H95" s="6">
        <v>82</v>
      </c>
      <c r="I95" s="2">
        <f t="shared" si="3"/>
        <v>241</v>
      </c>
      <c r="J95" s="8">
        <f>AVERAGE(Table1[[#This Row],[math score]:[writing score]])</f>
        <v>80.333333333333329</v>
      </c>
      <c r="K95" s="2">
        <f t="shared" si="2"/>
        <v>300</v>
      </c>
      <c r="L95" s="4">
        <f>Table1[[#This Row],[Total Score]]/Table1[[#This Row],[Minimum Mark]]</f>
        <v>0.80333333333333334</v>
      </c>
      <c r="M95" s="70" t="str">
        <f>_xlfn.XLOOKUP(Table1[[#This Row],[Pass(%)]],O:O,P:P,,-1)</f>
        <v>B-</v>
      </c>
    </row>
    <row r="96" spans="1:13" x14ac:dyDescent="0.35">
      <c r="A96" s="2" t="s">
        <v>8</v>
      </c>
      <c r="B96" s="2" t="s">
        <v>13</v>
      </c>
      <c r="C96" s="6" t="s">
        <v>10</v>
      </c>
      <c r="D96" s="6" t="s">
        <v>11</v>
      </c>
      <c r="E96" s="6" t="s">
        <v>12</v>
      </c>
      <c r="F96" s="6">
        <v>65</v>
      </c>
      <c r="G96" s="6">
        <v>72</v>
      </c>
      <c r="H96" s="6">
        <v>74</v>
      </c>
      <c r="I96" s="2">
        <f t="shared" si="3"/>
        <v>211</v>
      </c>
      <c r="J96" s="8">
        <f>AVERAGE(Table1[[#This Row],[math score]:[writing score]])</f>
        <v>70.333333333333329</v>
      </c>
      <c r="K96" s="2">
        <f t="shared" si="2"/>
        <v>300</v>
      </c>
      <c r="L96" s="4">
        <f>Table1[[#This Row],[Total Score]]/Table1[[#This Row],[Minimum Mark]]</f>
        <v>0.70333333333333337</v>
      </c>
      <c r="M96" s="70" t="str">
        <f>_xlfn.XLOOKUP(Table1[[#This Row],[Pass(%)]],O:O,P:P,,-1)</f>
        <v>C-</v>
      </c>
    </row>
    <row r="97" spans="1:13" x14ac:dyDescent="0.35">
      <c r="A97" s="2" t="s">
        <v>17</v>
      </c>
      <c r="B97" s="2" t="s">
        <v>13</v>
      </c>
      <c r="C97" s="6" t="s">
        <v>22</v>
      </c>
      <c r="D97" s="6" t="s">
        <v>20</v>
      </c>
      <c r="E97" s="6" t="s">
        <v>12</v>
      </c>
      <c r="F97" s="6">
        <v>27</v>
      </c>
      <c r="G97" s="6">
        <v>34</v>
      </c>
      <c r="H97" s="6">
        <v>36</v>
      </c>
      <c r="I97" s="2">
        <f t="shared" si="3"/>
        <v>97</v>
      </c>
      <c r="J97" s="8">
        <f>AVERAGE(Table1[[#This Row],[math score]:[writing score]])</f>
        <v>32.333333333333336</v>
      </c>
      <c r="K97" s="2">
        <f t="shared" si="2"/>
        <v>300</v>
      </c>
      <c r="L97" s="4">
        <f>Table1[[#This Row],[Total Score]]/Table1[[#This Row],[Minimum Mark]]</f>
        <v>0.32333333333333331</v>
      </c>
      <c r="M97" s="70" t="str">
        <f>_xlfn.XLOOKUP(Table1[[#This Row],[Pass(%)]],O:O,P:P,,-1)</f>
        <v>D-</v>
      </c>
    </row>
    <row r="98" spans="1:13" x14ac:dyDescent="0.35">
      <c r="A98" s="2" t="s">
        <v>17</v>
      </c>
      <c r="B98" s="2" t="s">
        <v>13</v>
      </c>
      <c r="C98" s="6" t="s">
        <v>22</v>
      </c>
      <c r="D98" s="6" t="s">
        <v>11</v>
      </c>
      <c r="E98" s="6" t="s">
        <v>12</v>
      </c>
      <c r="F98" s="6">
        <v>71</v>
      </c>
      <c r="G98" s="6">
        <v>79</v>
      </c>
      <c r="H98" s="6">
        <v>71</v>
      </c>
      <c r="I98" s="2">
        <f t="shared" si="3"/>
        <v>221</v>
      </c>
      <c r="J98" s="8">
        <f>AVERAGE(Table1[[#This Row],[math score]:[writing score]])</f>
        <v>73.666666666666671</v>
      </c>
      <c r="K98" s="2">
        <f t="shared" si="2"/>
        <v>300</v>
      </c>
      <c r="L98" s="4">
        <f>Table1[[#This Row],[Total Score]]/Table1[[#This Row],[Minimum Mark]]</f>
        <v>0.73666666666666669</v>
      </c>
      <c r="M98" s="70" t="str">
        <f>_xlfn.XLOOKUP(Table1[[#This Row],[Pass(%)]],O:O,P:P,,-1)</f>
        <v>C</v>
      </c>
    </row>
    <row r="99" spans="1:13" ht="20.5" x14ac:dyDescent="0.8">
      <c r="A99" s="3" t="s">
        <v>17</v>
      </c>
      <c r="B99" s="3" t="s">
        <v>13</v>
      </c>
      <c r="C99" s="7" t="s">
        <v>19</v>
      </c>
      <c r="D99" s="7" t="s">
        <v>20</v>
      </c>
      <c r="E99" s="7" t="s">
        <v>15</v>
      </c>
      <c r="F99" s="7">
        <v>43</v>
      </c>
      <c r="G99" s="7">
        <v>45</v>
      </c>
      <c r="H99" s="7">
        <v>50</v>
      </c>
      <c r="I99" s="3">
        <f t="shared" si="3"/>
        <v>138</v>
      </c>
      <c r="J99" s="14">
        <f>AVERAGE(Table1[[#This Row],[math score]:[writing score]])</f>
        <v>46</v>
      </c>
      <c r="K99" s="3">
        <f t="shared" si="2"/>
        <v>300</v>
      </c>
      <c r="L99" s="5">
        <f>Table1[[#This Row],[Total Score]]/Table1[[#This Row],[Minimum Mark]]</f>
        <v>0.46</v>
      </c>
      <c r="M99" s="71" t="str">
        <f>_xlfn.XLOOKUP(Table1[[#This Row],[Pass(%)]],O:O,P:P,,-1)</f>
        <v>D</v>
      </c>
    </row>
    <row r="100" spans="1:13" x14ac:dyDescent="0.35">
      <c r="A100" s="2" t="s">
        <v>8</v>
      </c>
      <c r="B100" s="2" t="s">
        <v>9</v>
      </c>
      <c r="C100" s="6" t="s">
        <v>14</v>
      </c>
      <c r="D100" s="6" t="s">
        <v>11</v>
      </c>
      <c r="E100" s="6" t="s">
        <v>12</v>
      </c>
      <c r="F100" s="6">
        <v>79</v>
      </c>
      <c r="G100" s="6">
        <v>86</v>
      </c>
      <c r="H100" s="6">
        <v>92</v>
      </c>
      <c r="I100" s="2">
        <f t="shared" si="3"/>
        <v>257</v>
      </c>
      <c r="J100" s="8">
        <f>AVERAGE(Table1[[#This Row],[math score]:[writing score]])</f>
        <v>85.666666666666671</v>
      </c>
      <c r="K100" s="2">
        <f t="shared" si="2"/>
        <v>300</v>
      </c>
      <c r="L100" s="4">
        <f>Table1[[#This Row],[Total Score]]/Table1[[#This Row],[Minimum Mark]]</f>
        <v>0.85666666666666669</v>
      </c>
      <c r="M100" s="70" t="str">
        <f>_xlfn.XLOOKUP(Table1[[#This Row],[Pass(%)]],O:O,P:P,,-1)</f>
        <v>B</v>
      </c>
    </row>
    <row r="101" spans="1:13" ht="20.5" x14ac:dyDescent="0.8">
      <c r="A101" s="3" t="s">
        <v>17</v>
      </c>
      <c r="B101" s="3" t="s">
        <v>13</v>
      </c>
      <c r="C101" s="7" t="s">
        <v>19</v>
      </c>
      <c r="D101" s="7" t="s">
        <v>20</v>
      </c>
      <c r="E101" s="7" t="s">
        <v>15</v>
      </c>
      <c r="F101" s="7">
        <v>78</v>
      </c>
      <c r="G101" s="7">
        <v>81</v>
      </c>
      <c r="H101" s="7">
        <v>82</v>
      </c>
      <c r="I101" s="3">
        <f t="shared" si="3"/>
        <v>241</v>
      </c>
      <c r="J101" s="14">
        <f>AVERAGE(Table1[[#This Row],[math score]:[writing score]])</f>
        <v>80.333333333333329</v>
      </c>
      <c r="K101" s="3">
        <f t="shared" si="2"/>
        <v>300</v>
      </c>
      <c r="L101" s="5">
        <f>Table1[[#This Row],[Total Score]]/Table1[[#This Row],[Minimum Mark]]</f>
        <v>0.80333333333333334</v>
      </c>
      <c r="M101" s="71" t="str">
        <f>_xlfn.XLOOKUP(Table1[[#This Row],[Pass(%)]],O:O,P:P,,-1)</f>
        <v>B-</v>
      </c>
    </row>
    <row r="102" spans="1:13" x14ac:dyDescent="0.35">
      <c r="A102" s="2" t="s">
        <v>17</v>
      </c>
      <c r="B102" s="2" t="s">
        <v>9</v>
      </c>
      <c r="C102" s="6" t="s">
        <v>23</v>
      </c>
      <c r="D102" s="6" t="s">
        <v>11</v>
      </c>
      <c r="E102" s="6" t="s">
        <v>15</v>
      </c>
      <c r="F102" s="6">
        <v>65</v>
      </c>
      <c r="G102" s="6">
        <v>66</v>
      </c>
      <c r="H102" s="6">
        <v>62</v>
      </c>
      <c r="I102" s="2">
        <f t="shared" si="3"/>
        <v>193</v>
      </c>
      <c r="J102" s="8">
        <f>AVERAGE(Table1[[#This Row],[math score]:[writing score]])</f>
        <v>64.333333333333329</v>
      </c>
      <c r="K102" s="2">
        <f t="shared" si="2"/>
        <v>300</v>
      </c>
      <c r="L102" s="4">
        <f>Table1[[#This Row],[Total Score]]/Table1[[#This Row],[Minimum Mark]]</f>
        <v>0.64333333333333331</v>
      </c>
      <c r="M102" s="70" t="str">
        <f>_xlfn.XLOOKUP(Table1[[#This Row],[Pass(%)]],O:O,P:P,,-1)</f>
        <v>D+</v>
      </c>
    </row>
    <row r="103" spans="1:13" x14ac:dyDescent="0.35">
      <c r="A103" s="2" t="s">
        <v>8</v>
      </c>
      <c r="B103" s="2" t="s">
        <v>24</v>
      </c>
      <c r="C103" s="6" t="s">
        <v>14</v>
      </c>
      <c r="D103" s="6" t="s">
        <v>11</v>
      </c>
      <c r="E103" s="6" t="s">
        <v>15</v>
      </c>
      <c r="F103" s="6">
        <v>63</v>
      </c>
      <c r="G103" s="6">
        <v>72</v>
      </c>
      <c r="H103" s="6">
        <v>70</v>
      </c>
      <c r="I103" s="2">
        <f t="shared" si="3"/>
        <v>205</v>
      </c>
      <c r="J103" s="8">
        <f>AVERAGE(Table1[[#This Row],[math score]:[writing score]])</f>
        <v>68.333333333333329</v>
      </c>
      <c r="K103" s="2">
        <f t="shared" si="2"/>
        <v>300</v>
      </c>
      <c r="L103" s="4">
        <f>Table1[[#This Row],[Total Score]]/Table1[[#This Row],[Minimum Mark]]</f>
        <v>0.68333333333333335</v>
      </c>
      <c r="M103" s="70" t="str">
        <f>_xlfn.XLOOKUP(Table1[[#This Row],[Pass(%)]],O:O,P:P,,-1)</f>
        <v>D+</v>
      </c>
    </row>
    <row r="104" spans="1:13" x14ac:dyDescent="0.35">
      <c r="A104" s="2" t="s">
        <v>8</v>
      </c>
      <c r="B104" s="2" t="s">
        <v>21</v>
      </c>
      <c r="C104" s="6" t="s">
        <v>14</v>
      </c>
      <c r="D104" s="6" t="s">
        <v>20</v>
      </c>
      <c r="E104" s="6" t="s">
        <v>12</v>
      </c>
      <c r="F104" s="6">
        <v>58</v>
      </c>
      <c r="G104" s="6">
        <v>67</v>
      </c>
      <c r="H104" s="6">
        <v>62</v>
      </c>
      <c r="I104" s="2">
        <f t="shared" si="3"/>
        <v>187</v>
      </c>
      <c r="J104" s="8">
        <f>AVERAGE(Table1[[#This Row],[math score]:[writing score]])</f>
        <v>62.333333333333336</v>
      </c>
      <c r="K104" s="2">
        <f t="shared" si="2"/>
        <v>300</v>
      </c>
      <c r="L104" s="4">
        <f>Table1[[#This Row],[Total Score]]/Table1[[#This Row],[Minimum Mark]]</f>
        <v>0.62333333333333329</v>
      </c>
      <c r="M104" s="70" t="str">
        <f>_xlfn.XLOOKUP(Table1[[#This Row],[Pass(%)]],O:O,P:P,,-1)</f>
        <v>D+</v>
      </c>
    </row>
    <row r="105" spans="1:13" x14ac:dyDescent="0.35">
      <c r="A105" s="2" t="s">
        <v>8</v>
      </c>
      <c r="B105" s="2" t="s">
        <v>21</v>
      </c>
      <c r="C105" s="6" t="s">
        <v>10</v>
      </c>
      <c r="D105" s="6" t="s">
        <v>11</v>
      </c>
      <c r="E105" s="6" t="s">
        <v>12</v>
      </c>
      <c r="F105" s="6">
        <v>65</v>
      </c>
      <c r="G105" s="6">
        <v>67</v>
      </c>
      <c r="H105" s="6">
        <v>62</v>
      </c>
      <c r="I105" s="2">
        <f t="shared" si="3"/>
        <v>194</v>
      </c>
      <c r="J105" s="8">
        <f>AVERAGE(Table1[[#This Row],[math score]:[writing score]])</f>
        <v>64.666666666666671</v>
      </c>
      <c r="K105" s="2">
        <f t="shared" si="2"/>
        <v>300</v>
      </c>
      <c r="L105" s="4">
        <f>Table1[[#This Row],[Total Score]]/Table1[[#This Row],[Minimum Mark]]</f>
        <v>0.64666666666666661</v>
      </c>
      <c r="M105" s="70" t="str">
        <f>_xlfn.XLOOKUP(Table1[[#This Row],[Pass(%)]],O:O,P:P,,-1)</f>
        <v>D+</v>
      </c>
    </row>
    <row r="106" spans="1:13" x14ac:dyDescent="0.35">
      <c r="A106" s="2" t="s">
        <v>17</v>
      </c>
      <c r="B106" s="2" t="s">
        <v>9</v>
      </c>
      <c r="C106" s="6" t="s">
        <v>14</v>
      </c>
      <c r="D106" s="6" t="s">
        <v>11</v>
      </c>
      <c r="E106" s="6" t="s">
        <v>12</v>
      </c>
      <c r="F106" s="6">
        <v>79</v>
      </c>
      <c r="G106" s="6">
        <v>67</v>
      </c>
      <c r="H106" s="6">
        <v>67</v>
      </c>
      <c r="I106" s="2">
        <f t="shared" si="3"/>
        <v>213</v>
      </c>
      <c r="J106" s="8">
        <f>AVERAGE(Table1[[#This Row],[math score]:[writing score]])</f>
        <v>71</v>
      </c>
      <c r="K106" s="2">
        <f t="shared" si="2"/>
        <v>300</v>
      </c>
      <c r="L106" s="4">
        <f>Table1[[#This Row],[Total Score]]/Table1[[#This Row],[Minimum Mark]]</f>
        <v>0.71</v>
      </c>
      <c r="M106" s="70" t="str">
        <f>_xlfn.XLOOKUP(Table1[[#This Row],[Pass(%)]],O:O,P:P,,-1)</f>
        <v>C-</v>
      </c>
    </row>
    <row r="107" spans="1:13" x14ac:dyDescent="0.35">
      <c r="A107" s="2" t="s">
        <v>17</v>
      </c>
      <c r="B107" s="2" t="s">
        <v>21</v>
      </c>
      <c r="C107" s="6" t="s">
        <v>10</v>
      </c>
      <c r="D107" s="6" t="s">
        <v>11</v>
      </c>
      <c r="E107" s="6" t="s">
        <v>15</v>
      </c>
      <c r="F107" s="6">
        <v>68</v>
      </c>
      <c r="G107" s="6">
        <v>74</v>
      </c>
      <c r="H107" s="6">
        <v>74</v>
      </c>
      <c r="I107" s="2">
        <f t="shared" si="3"/>
        <v>216</v>
      </c>
      <c r="J107" s="8">
        <f>AVERAGE(Table1[[#This Row],[math score]:[writing score]])</f>
        <v>72</v>
      </c>
      <c r="K107" s="2">
        <f t="shared" si="2"/>
        <v>300</v>
      </c>
      <c r="L107" s="4">
        <f>Table1[[#This Row],[Total Score]]/Table1[[#This Row],[Minimum Mark]]</f>
        <v>0.72</v>
      </c>
      <c r="M107" s="70" t="str">
        <f>_xlfn.XLOOKUP(Table1[[#This Row],[Pass(%)]],O:O,P:P,,-1)</f>
        <v>C-</v>
      </c>
    </row>
    <row r="108" spans="1:13" ht="20.5" x14ac:dyDescent="0.8">
      <c r="A108" s="3" t="s">
        <v>8</v>
      </c>
      <c r="B108" s="3" t="s">
        <v>21</v>
      </c>
      <c r="C108" s="7" t="s">
        <v>19</v>
      </c>
      <c r="D108" s="7" t="s">
        <v>11</v>
      </c>
      <c r="E108" s="7" t="s">
        <v>12</v>
      </c>
      <c r="F108" s="7">
        <v>85</v>
      </c>
      <c r="G108" s="7">
        <v>91</v>
      </c>
      <c r="H108" s="7">
        <v>89</v>
      </c>
      <c r="I108" s="3">
        <f t="shared" si="3"/>
        <v>265</v>
      </c>
      <c r="J108" s="14">
        <f>AVERAGE(Table1[[#This Row],[math score]:[writing score]])</f>
        <v>88.333333333333329</v>
      </c>
      <c r="K108" s="3">
        <f t="shared" si="2"/>
        <v>300</v>
      </c>
      <c r="L108" s="5">
        <f>Table1[[#This Row],[Total Score]]/Table1[[#This Row],[Minimum Mark]]</f>
        <v>0.8833333333333333</v>
      </c>
      <c r="M108" s="71" t="str">
        <f>_xlfn.XLOOKUP(Table1[[#This Row],[Pass(%)]],O:O,P:P,,-1)</f>
        <v>B+</v>
      </c>
    </row>
    <row r="109" spans="1:13" x14ac:dyDescent="0.35">
      <c r="A109" s="2" t="s">
        <v>17</v>
      </c>
      <c r="B109" s="2" t="s">
        <v>9</v>
      </c>
      <c r="C109" s="6" t="s">
        <v>22</v>
      </c>
      <c r="D109" s="6" t="s">
        <v>11</v>
      </c>
      <c r="E109" s="6" t="s">
        <v>15</v>
      </c>
      <c r="F109" s="6">
        <v>60</v>
      </c>
      <c r="G109" s="6">
        <v>44</v>
      </c>
      <c r="H109" s="6">
        <v>47</v>
      </c>
      <c r="I109" s="2">
        <f t="shared" si="3"/>
        <v>151</v>
      </c>
      <c r="J109" s="8">
        <f>AVERAGE(Table1[[#This Row],[math score]:[writing score]])</f>
        <v>50.333333333333336</v>
      </c>
      <c r="K109" s="2">
        <f t="shared" si="2"/>
        <v>300</v>
      </c>
      <c r="L109" s="4">
        <f>Table1[[#This Row],[Total Score]]/Table1[[#This Row],[Minimum Mark]]</f>
        <v>0.5033333333333333</v>
      </c>
      <c r="M109" s="70" t="str">
        <f>_xlfn.XLOOKUP(Table1[[#This Row],[Pass(%)]],O:O,P:P,,-1)</f>
        <v>D</v>
      </c>
    </row>
    <row r="110" spans="1:13" x14ac:dyDescent="0.35">
      <c r="A110" s="2" t="s">
        <v>17</v>
      </c>
      <c r="B110" s="2" t="s">
        <v>13</v>
      </c>
      <c r="C110" s="6" t="s">
        <v>14</v>
      </c>
      <c r="D110" s="6" t="s">
        <v>11</v>
      </c>
      <c r="E110" s="6" t="s">
        <v>15</v>
      </c>
      <c r="F110" s="6">
        <v>98</v>
      </c>
      <c r="G110" s="6">
        <v>86</v>
      </c>
      <c r="H110" s="6">
        <v>90</v>
      </c>
      <c r="I110" s="2">
        <f t="shared" si="3"/>
        <v>274</v>
      </c>
      <c r="J110" s="8">
        <f>AVERAGE(Table1[[#This Row],[math score]:[writing score]])</f>
        <v>91.333333333333329</v>
      </c>
      <c r="K110" s="2">
        <f t="shared" si="2"/>
        <v>300</v>
      </c>
      <c r="L110" s="4">
        <f>Table1[[#This Row],[Total Score]]/Table1[[#This Row],[Minimum Mark]]</f>
        <v>0.91333333333333333</v>
      </c>
      <c r="M110" s="70" t="str">
        <f>_xlfn.XLOOKUP(Table1[[#This Row],[Pass(%)]],O:O,P:P,,-1)</f>
        <v>A-</v>
      </c>
    </row>
    <row r="111" spans="1:13" x14ac:dyDescent="0.35">
      <c r="A111" s="2" t="s">
        <v>8</v>
      </c>
      <c r="B111" s="2" t="s">
        <v>13</v>
      </c>
      <c r="C111" s="6" t="s">
        <v>14</v>
      </c>
      <c r="D111" s="6" t="s">
        <v>11</v>
      </c>
      <c r="E111" s="6" t="s">
        <v>12</v>
      </c>
      <c r="F111" s="6">
        <v>58</v>
      </c>
      <c r="G111" s="6">
        <v>67</v>
      </c>
      <c r="H111" s="6">
        <v>72</v>
      </c>
      <c r="I111" s="2">
        <f t="shared" si="3"/>
        <v>197</v>
      </c>
      <c r="J111" s="8">
        <f>AVERAGE(Table1[[#This Row],[math score]:[writing score]])</f>
        <v>65.666666666666671</v>
      </c>
      <c r="K111" s="2">
        <f t="shared" si="2"/>
        <v>300</v>
      </c>
      <c r="L111" s="4">
        <f>Table1[[#This Row],[Total Score]]/Table1[[#This Row],[Minimum Mark]]</f>
        <v>0.65666666666666662</v>
      </c>
      <c r="M111" s="70" t="str">
        <f>_xlfn.XLOOKUP(Table1[[#This Row],[Pass(%)]],O:O,P:P,,-1)</f>
        <v>D+</v>
      </c>
    </row>
    <row r="112" spans="1:13" x14ac:dyDescent="0.35">
      <c r="A112" s="2" t="s">
        <v>8</v>
      </c>
      <c r="B112" s="2" t="s">
        <v>21</v>
      </c>
      <c r="C112" s="6" t="s">
        <v>16</v>
      </c>
      <c r="D112" s="6" t="s">
        <v>11</v>
      </c>
      <c r="E112" s="6" t="s">
        <v>12</v>
      </c>
      <c r="F112" s="6">
        <v>87</v>
      </c>
      <c r="G112" s="6">
        <v>100</v>
      </c>
      <c r="H112" s="6">
        <v>100</v>
      </c>
      <c r="I112" s="2">
        <f t="shared" si="3"/>
        <v>287</v>
      </c>
      <c r="J112" s="8">
        <f>AVERAGE(Table1[[#This Row],[math score]:[writing score]])</f>
        <v>95.666666666666671</v>
      </c>
      <c r="K112" s="2">
        <f t="shared" si="2"/>
        <v>300</v>
      </c>
      <c r="L112" s="4">
        <f>Table1[[#This Row],[Total Score]]/Table1[[#This Row],[Minimum Mark]]</f>
        <v>0.95666666666666667</v>
      </c>
      <c r="M112" s="70" t="str">
        <f>_xlfn.XLOOKUP(Table1[[#This Row],[Pass(%)]],O:O,P:P,,-1)</f>
        <v>A</v>
      </c>
    </row>
    <row r="113" spans="1:13" ht="20.5" x14ac:dyDescent="0.8">
      <c r="A113" s="3" t="s">
        <v>17</v>
      </c>
      <c r="B113" s="3" t="s">
        <v>24</v>
      </c>
      <c r="C113" s="7" t="s">
        <v>19</v>
      </c>
      <c r="D113" s="7" t="s">
        <v>11</v>
      </c>
      <c r="E113" s="7" t="s">
        <v>15</v>
      </c>
      <c r="F113" s="7">
        <v>66</v>
      </c>
      <c r="G113" s="7">
        <v>63</v>
      </c>
      <c r="H113" s="7">
        <v>64</v>
      </c>
      <c r="I113" s="3">
        <f t="shared" si="3"/>
        <v>193</v>
      </c>
      <c r="J113" s="14">
        <f>AVERAGE(Table1[[#This Row],[math score]:[writing score]])</f>
        <v>64.333333333333329</v>
      </c>
      <c r="K113" s="3">
        <f t="shared" si="2"/>
        <v>300</v>
      </c>
      <c r="L113" s="5">
        <f>Table1[[#This Row],[Total Score]]/Table1[[#This Row],[Minimum Mark]]</f>
        <v>0.64333333333333331</v>
      </c>
      <c r="M113" s="71" t="str">
        <f>_xlfn.XLOOKUP(Table1[[#This Row],[Pass(%)]],O:O,P:P,,-1)</f>
        <v>D+</v>
      </c>
    </row>
    <row r="114" spans="1:13" ht="20.5" x14ac:dyDescent="0.8">
      <c r="A114" s="3" t="s">
        <v>8</v>
      </c>
      <c r="B114" s="3" t="s">
        <v>9</v>
      </c>
      <c r="C114" s="7" t="s">
        <v>19</v>
      </c>
      <c r="D114" s="7" t="s">
        <v>20</v>
      </c>
      <c r="E114" s="7" t="s">
        <v>12</v>
      </c>
      <c r="F114" s="7">
        <v>52</v>
      </c>
      <c r="G114" s="7">
        <v>76</v>
      </c>
      <c r="H114" s="7">
        <v>70</v>
      </c>
      <c r="I114" s="3">
        <f t="shared" si="3"/>
        <v>198</v>
      </c>
      <c r="J114" s="14">
        <f>AVERAGE(Table1[[#This Row],[math score]:[writing score]])</f>
        <v>66</v>
      </c>
      <c r="K114" s="3">
        <f t="shared" si="2"/>
        <v>300</v>
      </c>
      <c r="L114" s="5">
        <f>Table1[[#This Row],[Total Score]]/Table1[[#This Row],[Minimum Mark]]</f>
        <v>0.66</v>
      </c>
      <c r="M114" s="71" t="str">
        <f>_xlfn.XLOOKUP(Table1[[#This Row],[Pass(%)]],O:O,P:P,,-1)</f>
        <v>D+</v>
      </c>
    </row>
    <row r="115" spans="1:13" x14ac:dyDescent="0.35">
      <c r="A115" s="2" t="s">
        <v>8</v>
      </c>
      <c r="B115" s="2" t="s">
        <v>9</v>
      </c>
      <c r="C115" s="6" t="s">
        <v>23</v>
      </c>
      <c r="D115" s="6" t="s">
        <v>11</v>
      </c>
      <c r="E115" s="6" t="s">
        <v>12</v>
      </c>
      <c r="F115" s="6">
        <v>70</v>
      </c>
      <c r="G115" s="6">
        <v>64</v>
      </c>
      <c r="H115" s="6">
        <v>72</v>
      </c>
      <c r="I115" s="2">
        <f t="shared" si="3"/>
        <v>206</v>
      </c>
      <c r="J115" s="8">
        <f>AVERAGE(Table1[[#This Row],[math score]:[writing score]])</f>
        <v>68.666666666666671</v>
      </c>
      <c r="K115" s="2">
        <f t="shared" si="2"/>
        <v>300</v>
      </c>
      <c r="L115" s="4">
        <f>Table1[[#This Row],[Total Score]]/Table1[[#This Row],[Minimum Mark]]</f>
        <v>0.68666666666666665</v>
      </c>
      <c r="M115" s="70" t="str">
        <f>_xlfn.XLOOKUP(Table1[[#This Row],[Pass(%)]],O:O,P:P,,-1)</f>
        <v>D+</v>
      </c>
    </row>
    <row r="116" spans="1:13" ht="20.5" x14ac:dyDescent="0.8">
      <c r="A116" s="3" t="s">
        <v>8</v>
      </c>
      <c r="B116" s="3" t="s">
        <v>21</v>
      </c>
      <c r="C116" s="7" t="s">
        <v>19</v>
      </c>
      <c r="D116" s="7" t="s">
        <v>20</v>
      </c>
      <c r="E116" s="7" t="s">
        <v>15</v>
      </c>
      <c r="F116" s="7">
        <v>77</v>
      </c>
      <c r="G116" s="7">
        <v>89</v>
      </c>
      <c r="H116" s="7">
        <v>98</v>
      </c>
      <c r="I116" s="3">
        <f t="shared" si="3"/>
        <v>264</v>
      </c>
      <c r="J116" s="14">
        <f>AVERAGE(Table1[[#This Row],[math score]:[writing score]])</f>
        <v>88</v>
      </c>
      <c r="K116" s="3">
        <f t="shared" si="2"/>
        <v>300</v>
      </c>
      <c r="L116" s="5">
        <f>Table1[[#This Row],[Total Score]]/Table1[[#This Row],[Minimum Mark]]</f>
        <v>0.88</v>
      </c>
      <c r="M116" s="71" t="str">
        <f>_xlfn.XLOOKUP(Table1[[#This Row],[Pass(%)]],O:O,P:P,,-1)</f>
        <v>B+</v>
      </c>
    </row>
    <row r="117" spans="1:13" x14ac:dyDescent="0.35">
      <c r="A117" s="2" t="s">
        <v>17</v>
      </c>
      <c r="B117" s="2" t="s">
        <v>13</v>
      </c>
      <c r="C117" s="6" t="s">
        <v>22</v>
      </c>
      <c r="D117" s="6" t="s">
        <v>11</v>
      </c>
      <c r="E117" s="6" t="s">
        <v>12</v>
      </c>
      <c r="F117" s="6">
        <v>62</v>
      </c>
      <c r="G117" s="6">
        <v>55</v>
      </c>
      <c r="H117" s="6">
        <v>49</v>
      </c>
      <c r="I117" s="2">
        <f t="shared" si="3"/>
        <v>166</v>
      </c>
      <c r="J117" s="8">
        <f>AVERAGE(Table1[[#This Row],[math score]:[writing score]])</f>
        <v>55.333333333333336</v>
      </c>
      <c r="K117" s="2">
        <f t="shared" si="2"/>
        <v>300</v>
      </c>
      <c r="L117" s="4">
        <f>Table1[[#This Row],[Total Score]]/Table1[[#This Row],[Minimum Mark]]</f>
        <v>0.55333333333333334</v>
      </c>
      <c r="M117" s="70" t="str">
        <f>_xlfn.XLOOKUP(Table1[[#This Row],[Pass(%)]],O:O,P:P,,-1)</f>
        <v>D+</v>
      </c>
    </row>
    <row r="118" spans="1:13" ht="20.5" x14ac:dyDescent="0.8">
      <c r="A118" s="3" t="s">
        <v>17</v>
      </c>
      <c r="B118" s="3" t="s">
        <v>18</v>
      </c>
      <c r="C118" s="7" t="s">
        <v>19</v>
      </c>
      <c r="D118" s="7" t="s">
        <v>11</v>
      </c>
      <c r="E118" s="7" t="s">
        <v>12</v>
      </c>
      <c r="F118" s="7">
        <v>54</v>
      </c>
      <c r="G118" s="7">
        <v>53</v>
      </c>
      <c r="H118" s="7">
        <v>47</v>
      </c>
      <c r="I118" s="3">
        <f t="shared" si="3"/>
        <v>154</v>
      </c>
      <c r="J118" s="14">
        <f>AVERAGE(Table1[[#This Row],[math score]:[writing score]])</f>
        <v>51.333333333333336</v>
      </c>
      <c r="K118" s="3">
        <f t="shared" si="2"/>
        <v>300</v>
      </c>
      <c r="L118" s="5">
        <f>Table1[[#This Row],[Total Score]]/Table1[[#This Row],[Minimum Mark]]</f>
        <v>0.51333333333333331</v>
      </c>
      <c r="M118" s="71" t="str">
        <f>_xlfn.XLOOKUP(Table1[[#This Row],[Pass(%)]],O:O,P:P,,-1)</f>
        <v>D</v>
      </c>
    </row>
    <row r="119" spans="1:13" x14ac:dyDescent="0.35">
      <c r="A119" s="2" t="s">
        <v>8</v>
      </c>
      <c r="B119" s="2" t="s">
        <v>21</v>
      </c>
      <c r="C119" s="6" t="s">
        <v>14</v>
      </c>
      <c r="D119" s="6" t="s">
        <v>11</v>
      </c>
      <c r="E119" s="6" t="s">
        <v>12</v>
      </c>
      <c r="F119" s="6">
        <v>51</v>
      </c>
      <c r="G119" s="6">
        <v>58</v>
      </c>
      <c r="H119" s="6">
        <v>54</v>
      </c>
      <c r="I119" s="2">
        <f t="shared" si="3"/>
        <v>163</v>
      </c>
      <c r="J119" s="8">
        <f>AVERAGE(Table1[[#This Row],[math score]:[writing score]])</f>
        <v>54.333333333333336</v>
      </c>
      <c r="K119" s="2">
        <f t="shared" si="2"/>
        <v>300</v>
      </c>
      <c r="L119" s="4">
        <f>Table1[[#This Row],[Total Score]]/Table1[[#This Row],[Minimum Mark]]</f>
        <v>0.54333333333333333</v>
      </c>
      <c r="M119" s="70" t="str">
        <f>_xlfn.XLOOKUP(Table1[[#This Row],[Pass(%)]],O:O,P:P,,-1)</f>
        <v>D+</v>
      </c>
    </row>
    <row r="120" spans="1:13" x14ac:dyDescent="0.35">
      <c r="A120" s="2" t="s">
        <v>8</v>
      </c>
      <c r="B120" s="2" t="s">
        <v>24</v>
      </c>
      <c r="C120" s="6" t="s">
        <v>10</v>
      </c>
      <c r="D120" s="6" t="s">
        <v>11</v>
      </c>
      <c r="E120" s="6" t="s">
        <v>15</v>
      </c>
      <c r="F120" s="6">
        <v>99</v>
      </c>
      <c r="G120" s="6">
        <v>100</v>
      </c>
      <c r="H120" s="6">
        <v>100</v>
      </c>
      <c r="I120" s="2">
        <f t="shared" si="3"/>
        <v>299</v>
      </c>
      <c r="J120" s="8">
        <f>AVERAGE(Table1[[#This Row],[math score]:[writing score]])</f>
        <v>99.666666666666671</v>
      </c>
      <c r="K120" s="2">
        <f t="shared" si="2"/>
        <v>300</v>
      </c>
      <c r="L120" s="4">
        <f>Table1[[#This Row],[Total Score]]/Table1[[#This Row],[Minimum Mark]]</f>
        <v>0.9966666666666667</v>
      </c>
      <c r="M120" s="70" t="str">
        <f>_xlfn.XLOOKUP(Table1[[#This Row],[Pass(%)]],O:O,P:P,,-1)</f>
        <v>A+</v>
      </c>
    </row>
    <row r="121" spans="1:13" x14ac:dyDescent="0.35">
      <c r="A121" s="2" t="s">
        <v>17</v>
      </c>
      <c r="B121" s="2" t="s">
        <v>13</v>
      </c>
      <c r="C121" s="6" t="s">
        <v>22</v>
      </c>
      <c r="D121" s="6" t="s">
        <v>11</v>
      </c>
      <c r="E121" s="6" t="s">
        <v>12</v>
      </c>
      <c r="F121" s="6">
        <v>84</v>
      </c>
      <c r="G121" s="6">
        <v>77</v>
      </c>
      <c r="H121" s="6">
        <v>74</v>
      </c>
      <c r="I121" s="2">
        <f t="shared" si="3"/>
        <v>235</v>
      </c>
      <c r="J121" s="8">
        <f>AVERAGE(Table1[[#This Row],[math score]:[writing score]])</f>
        <v>78.333333333333329</v>
      </c>
      <c r="K121" s="2">
        <f t="shared" si="2"/>
        <v>300</v>
      </c>
      <c r="L121" s="4">
        <f>Table1[[#This Row],[Total Score]]/Table1[[#This Row],[Minimum Mark]]</f>
        <v>0.78333333333333333</v>
      </c>
      <c r="M121" s="70" t="str">
        <f>_xlfn.XLOOKUP(Table1[[#This Row],[Pass(%)]],O:O,P:P,,-1)</f>
        <v>C+</v>
      </c>
    </row>
    <row r="122" spans="1:13" x14ac:dyDescent="0.35">
      <c r="A122" s="2" t="s">
        <v>8</v>
      </c>
      <c r="B122" s="2" t="s">
        <v>9</v>
      </c>
      <c r="C122" s="6" t="s">
        <v>10</v>
      </c>
      <c r="D122" s="6" t="s">
        <v>20</v>
      </c>
      <c r="E122" s="6" t="s">
        <v>12</v>
      </c>
      <c r="F122" s="6">
        <v>75</v>
      </c>
      <c r="G122" s="6">
        <v>85</v>
      </c>
      <c r="H122" s="6">
        <v>82</v>
      </c>
      <c r="I122" s="2">
        <f t="shared" si="3"/>
        <v>242</v>
      </c>
      <c r="J122" s="8">
        <f>AVERAGE(Table1[[#This Row],[math score]:[writing score]])</f>
        <v>80.666666666666671</v>
      </c>
      <c r="K122" s="2">
        <f t="shared" si="2"/>
        <v>300</v>
      </c>
      <c r="L122" s="4">
        <f>Table1[[#This Row],[Total Score]]/Table1[[#This Row],[Minimum Mark]]</f>
        <v>0.80666666666666664</v>
      </c>
      <c r="M122" s="70" t="str">
        <f>_xlfn.XLOOKUP(Table1[[#This Row],[Pass(%)]],O:O,P:P,,-1)</f>
        <v>B-</v>
      </c>
    </row>
    <row r="123" spans="1:13" x14ac:dyDescent="0.35">
      <c r="A123" s="2" t="s">
        <v>8</v>
      </c>
      <c r="B123" s="2" t="s">
        <v>21</v>
      </c>
      <c r="C123" s="6" t="s">
        <v>10</v>
      </c>
      <c r="D123" s="6" t="s">
        <v>11</v>
      </c>
      <c r="E123" s="6" t="s">
        <v>12</v>
      </c>
      <c r="F123" s="6">
        <v>78</v>
      </c>
      <c r="G123" s="6">
        <v>82</v>
      </c>
      <c r="H123" s="6">
        <v>79</v>
      </c>
      <c r="I123" s="2">
        <f t="shared" si="3"/>
        <v>239</v>
      </c>
      <c r="J123" s="8">
        <f>AVERAGE(Table1[[#This Row],[math score]:[writing score]])</f>
        <v>79.666666666666671</v>
      </c>
      <c r="K123" s="2">
        <f t="shared" si="2"/>
        <v>300</v>
      </c>
      <c r="L123" s="4">
        <f>Table1[[#This Row],[Total Score]]/Table1[[#This Row],[Minimum Mark]]</f>
        <v>0.79666666666666663</v>
      </c>
      <c r="M123" s="70" t="str">
        <f>_xlfn.XLOOKUP(Table1[[#This Row],[Pass(%)]],O:O,P:P,,-1)</f>
        <v>C+</v>
      </c>
    </row>
    <row r="124" spans="1:13" x14ac:dyDescent="0.35">
      <c r="A124" s="2" t="s">
        <v>8</v>
      </c>
      <c r="B124" s="2" t="s">
        <v>21</v>
      </c>
      <c r="C124" s="6" t="s">
        <v>23</v>
      </c>
      <c r="D124" s="6" t="s">
        <v>11</v>
      </c>
      <c r="E124" s="6" t="s">
        <v>12</v>
      </c>
      <c r="F124" s="6">
        <v>51</v>
      </c>
      <c r="G124" s="6">
        <v>63</v>
      </c>
      <c r="H124" s="6">
        <v>61</v>
      </c>
      <c r="I124" s="2">
        <f t="shared" si="3"/>
        <v>175</v>
      </c>
      <c r="J124" s="8">
        <f>AVERAGE(Table1[[#This Row],[math score]:[writing score]])</f>
        <v>58.333333333333336</v>
      </c>
      <c r="K124" s="2">
        <f t="shared" si="2"/>
        <v>300</v>
      </c>
      <c r="L124" s="4">
        <f>Table1[[#This Row],[Total Score]]/Table1[[#This Row],[Minimum Mark]]</f>
        <v>0.58333333333333337</v>
      </c>
      <c r="M124" s="70" t="str">
        <f>_xlfn.XLOOKUP(Table1[[#This Row],[Pass(%)]],O:O,P:P,,-1)</f>
        <v>D+</v>
      </c>
    </row>
    <row r="125" spans="1:13" x14ac:dyDescent="0.35">
      <c r="A125" s="2" t="s">
        <v>8</v>
      </c>
      <c r="B125" s="2" t="s">
        <v>13</v>
      </c>
      <c r="C125" s="6" t="s">
        <v>14</v>
      </c>
      <c r="D125" s="6" t="s">
        <v>11</v>
      </c>
      <c r="E125" s="6" t="s">
        <v>12</v>
      </c>
      <c r="F125" s="6">
        <v>55</v>
      </c>
      <c r="G125" s="6">
        <v>69</v>
      </c>
      <c r="H125" s="6">
        <v>65</v>
      </c>
      <c r="I125" s="2">
        <f t="shared" si="3"/>
        <v>189</v>
      </c>
      <c r="J125" s="8">
        <f>AVERAGE(Table1[[#This Row],[math score]:[writing score]])</f>
        <v>63</v>
      </c>
      <c r="K125" s="2">
        <f t="shared" si="2"/>
        <v>300</v>
      </c>
      <c r="L125" s="4">
        <f>Table1[[#This Row],[Total Score]]/Table1[[#This Row],[Minimum Mark]]</f>
        <v>0.63</v>
      </c>
      <c r="M125" s="70" t="str">
        <f>_xlfn.XLOOKUP(Table1[[#This Row],[Pass(%)]],O:O,P:P,,-1)</f>
        <v>D+</v>
      </c>
    </row>
    <row r="126" spans="1:13" x14ac:dyDescent="0.35">
      <c r="A126" s="2" t="s">
        <v>8</v>
      </c>
      <c r="B126" s="2" t="s">
        <v>13</v>
      </c>
      <c r="C126" s="6" t="s">
        <v>10</v>
      </c>
      <c r="D126" s="6" t="s">
        <v>11</v>
      </c>
      <c r="E126" s="6" t="s">
        <v>15</v>
      </c>
      <c r="F126" s="6">
        <v>79</v>
      </c>
      <c r="G126" s="6">
        <v>92</v>
      </c>
      <c r="H126" s="6">
        <v>89</v>
      </c>
      <c r="I126" s="2">
        <f t="shared" si="3"/>
        <v>260</v>
      </c>
      <c r="J126" s="8">
        <f>AVERAGE(Table1[[#This Row],[math score]:[writing score]])</f>
        <v>86.666666666666671</v>
      </c>
      <c r="K126" s="2">
        <f t="shared" si="2"/>
        <v>300</v>
      </c>
      <c r="L126" s="4">
        <f>Table1[[#This Row],[Total Score]]/Table1[[#This Row],[Minimum Mark]]</f>
        <v>0.8666666666666667</v>
      </c>
      <c r="M126" s="70" t="str">
        <f>_xlfn.XLOOKUP(Table1[[#This Row],[Pass(%)]],O:O,P:P,,-1)</f>
        <v>B</v>
      </c>
    </row>
    <row r="127" spans="1:13" ht="20.5" x14ac:dyDescent="0.8">
      <c r="A127" s="3" t="s">
        <v>17</v>
      </c>
      <c r="B127" s="3" t="s">
        <v>9</v>
      </c>
      <c r="C127" s="7" t="s">
        <v>19</v>
      </c>
      <c r="D127" s="7" t="s">
        <v>11</v>
      </c>
      <c r="E127" s="7" t="s">
        <v>15</v>
      </c>
      <c r="F127" s="7">
        <v>91</v>
      </c>
      <c r="G127" s="7">
        <v>89</v>
      </c>
      <c r="H127" s="7">
        <v>92</v>
      </c>
      <c r="I127" s="3">
        <f t="shared" si="3"/>
        <v>272</v>
      </c>
      <c r="J127" s="14">
        <f>AVERAGE(Table1[[#This Row],[math score]:[writing score]])</f>
        <v>90.666666666666671</v>
      </c>
      <c r="K127" s="3">
        <f t="shared" si="2"/>
        <v>300</v>
      </c>
      <c r="L127" s="5">
        <f>Table1[[#This Row],[Total Score]]/Table1[[#This Row],[Minimum Mark]]</f>
        <v>0.90666666666666662</v>
      </c>
      <c r="M127" s="71" t="str">
        <f>_xlfn.XLOOKUP(Table1[[#This Row],[Pass(%)]],O:O,P:P,,-1)</f>
        <v>A-</v>
      </c>
    </row>
    <row r="128" spans="1:13" x14ac:dyDescent="0.35">
      <c r="A128" s="2" t="s">
        <v>8</v>
      </c>
      <c r="B128" s="2" t="s">
        <v>13</v>
      </c>
      <c r="C128" s="6" t="s">
        <v>14</v>
      </c>
      <c r="D128" s="6" t="s">
        <v>11</v>
      </c>
      <c r="E128" s="6" t="s">
        <v>15</v>
      </c>
      <c r="F128" s="6">
        <v>88</v>
      </c>
      <c r="G128" s="6">
        <v>93</v>
      </c>
      <c r="H128" s="6">
        <v>93</v>
      </c>
      <c r="I128" s="2">
        <f t="shared" si="3"/>
        <v>274</v>
      </c>
      <c r="J128" s="8">
        <f>AVERAGE(Table1[[#This Row],[math score]:[writing score]])</f>
        <v>91.333333333333329</v>
      </c>
      <c r="K128" s="2">
        <f t="shared" si="2"/>
        <v>300</v>
      </c>
      <c r="L128" s="4">
        <f>Table1[[#This Row],[Total Score]]/Table1[[#This Row],[Minimum Mark]]</f>
        <v>0.91333333333333333</v>
      </c>
      <c r="M128" s="70" t="str">
        <f>_xlfn.XLOOKUP(Table1[[#This Row],[Pass(%)]],O:O,P:P,,-1)</f>
        <v>A-</v>
      </c>
    </row>
    <row r="129" spans="1:13" x14ac:dyDescent="0.35">
      <c r="A129" s="2" t="s">
        <v>17</v>
      </c>
      <c r="B129" s="2" t="s">
        <v>21</v>
      </c>
      <c r="C129" s="6" t="s">
        <v>22</v>
      </c>
      <c r="D129" s="6" t="s">
        <v>20</v>
      </c>
      <c r="E129" s="6" t="s">
        <v>12</v>
      </c>
      <c r="F129" s="6">
        <v>63</v>
      </c>
      <c r="G129" s="6">
        <v>57</v>
      </c>
      <c r="H129" s="6">
        <v>56</v>
      </c>
      <c r="I129" s="2">
        <f t="shared" si="3"/>
        <v>176</v>
      </c>
      <c r="J129" s="8">
        <f>AVERAGE(Table1[[#This Row],[math score]:[writing score]])</f>
        <v>58.666666666666664</v>
      </c>
      <c r="K129" s="2">
        <f t="shared" si="2"/>
        <v>300</v>
      </c>
      <c r="L129" s="4">
        <f>Table1[[#This Row],[Total Score]]/Table1[[#This Row],[Minimum Mark]]</f>
        <v>0.58666666666666667</v>
      </c>
      <c r="M129" s="70" t="str">
        <f>_xlfn.XLOOKUP(Table1[[#This Row],[Pass(%)]],O:O,P:P,,-1)</f>
        <v>D+</v>
      </c>
    </row>
    <row r="130" spans="1:13" x14ac:dyDescent="0.35">
      <c r="A130" s="2" t="s">
        <v>17</v>
      </c>
      <c r="B130" s="2" t="s">
        <v>24</v>
      </c>
      <c r="C130" s="6" t="s">
        <v>14</v>
      </c>
      <c r="D130" s="6" t="s">
        <v>11</v>
      </c>
      <c r="E130" s="6" t="s">
        <v>12</v>
      </c>
      <c r="F130" s="6">
        <v>83</v>
      </c>
      <c r="G130" s="6">
        <v>80</v>
      </c>
      <c r="H130" s="6">
        <v>73</v>
      </c>
      <c r="I130" s="2">
        <f t="shared" si="3"/>
        <v>236</v>
      </c>
      <c r="J130" s="8">
        <f>AVERAGE(Table1[[#This Row],[math score]:[writing score]])</f>
        <v>78.666666666666671</v>
      </c>
      <c r="K130" s="2">
        <f t="shared" si="2"/>
        <v>300</v>
      </c>
      <c r="L130" s="4">
        <f>Table1[[#This Row],[Total Score]]/Table1[[#This Row],[Minimum Mark]]</f>
        <v>0.78666666666666663</v>
      </c>
      <c r="M130" s="70" t="str">
        <f>_xlfn.XLOOKUP(Table1[[#This Row],[Pass(%)]],O:O,P:P,,-1)</f>
        <v>C+</v>
      </c>
    </row>
    <row r="131" spans="1:13" x14ac:dyDescent="0.35">
      <c r="A131" s="2" t="s">
        <v>8</v>
      </c>
      <c r="B131" s="2" t="s">
        <v>9</v>
      </c>
      <c r="C131" s="6" t="s">
        <v>22</v>
      </c>
      <c r="D131" s="6" t="s">
        <v>11</v>
      </c>
      <c r="E131" s="6" t="s">
        <v>12</v>
      </c>
      <c r="F131" s="6">
        <v>87</v>
      </c>
      <c r="G131" s="6">
        <v>95</v>
      </c>
      <c r="H131" s="6">
        <v>86</v>
      </c>
      <c r="I131" s="2">
        <f t="shared" si="3"/>
        <v>268</v>
      </c>
      <c r="J131" s="8">
        <f>AVERAGE(Table1[[#This Row],[math score]:[writing score]])</f>
        <v>89.333333333333329</v>
      </c>
      <c r="K131" s="2">
        <f t="shared" si="2"/>
        <v>300</v>
      </c>
      <c r="L131" s="4">
        <f>Table1[[#This Row],[Total Score]]/Table1[[#This Row],[Minimum Mark]]</f>
        <v>0.89333333333333331</v>
      </c>
      <c r="M131" s="70" t="str">
        <f>_xlfn.XLOOKUP(Table1[[#This Row],[Pass(%)]],O:O,P:P,,-1)</f>
        <v>B+</v>
      </c>
    </row>
    <row r="132" spans="1:13" x14ac:dyDescent="0.35">
      <c r="A132" s="2" t="s">
        <v>17</v>
      </c>
      <c r="B132" s="2" t="s">
        <v>9</v>
      </c>
      <c r="C132" s="6" t="s">
        <v>23</v>
      </c>
      <c r="D132" s="6" t="s">
        <v>11</v>
      </c>
      <c r="E132" s="6" t="s">
        <v>12</v>
      </c>
      <c r="F132" s="6">
        <v>72</v>
      </c>
      <c r="G132" s="6">
        <v>68</v>
      </c>
      <c r="H132" s="6">
        <v>67</v>
      </c>
      <c r="I132" s="2">
        <f t="shared" si="3"/>
        <v>207</v>
      </c>
      <c r="J132" s="8">
        <f>AVERAGE(Table1[[#This Row],[math score]:[writing score]])</f>
        <v>69</v>
      </c>
      <c r="K132" s="2">
        <f t="shared" si="2"/>
        <v>300</v>
      </c>
      <c r="L132" s="4">
        <f>Table1[[#This Row],[Total Score]]/Table1[[#This Row],[Minimum Mark]]</f>
        <v>0.69</v>
      </c>
      <c r="M132" s="70" t="str">
        <f>_xlfn.XLOOKUP(Table1[[#This Row],[Pass(%)]],O:O,P:P,,-1)</f>
        <v>D+</v>
      </c>
    </row>
    <row r="133" spans="1:13" x14ac:dyDescent="0.35">
      <c r="A133" s="2" t="s">
        <v>17</v>
      </c>
      <c r="B133" s="2" t="s">
        <v>21</v>
      </c>
      <c r="C133" s="6" t="s">
        <v>14</v>
      </c>
      <c r="D133" s="6" t="s">
        <v>11</v>
      </c>
      <c r="E133" s="6" t="s">
        <v>15</v>
      </c>
      <c r="F133" s="6">
        <v>65</v>
      </c>
      <c r="G133" s="6">
        <v>77</v>
      </c>
      <c r="H133" s="6">
        <v>74</v>
      </c>
      <c r="I133" s="2">
        <f t="shared" si="3"/>
        <v>216</v>
      </c>
      <c r="J133" s="8">
        <f>AVERAGE(Table1[[#This Row],[math score]:[writing score]])</f>
        <v>72</v>
      </c>
      <c r="K133" s="2">
        <f t="shared" si="2"/>
        <v>300</v>
      </c>
      <c r="L133" s="4">
        <f>Table1[[#This Row],[Total Score]]/Table1[[#This Row],[Minimum Mark]]</f>
        <v>0.72</v>
      </c>
      <c r="M133" s="70" t="str">
        <f>_xlfn.XLOOKUP(Table1[[#This Row],[Pass(%)]],O:O,P:P,,-1)</f>
        <v>C-</v>
      </c>
    </row>
    <row r="134" spans="1:13" x14ac:dyDescent="0.35">
      <c r="A134" s="2" t="s">
        <v>17</v>
      </c>
      <c r="B134" s="2" t="s">
        <v>21</v>
      </c>
      <c r="C134" s="6" t="s">
        <v>16</v>
      </c>
      <c r="D134" s="6" t="s">
        <v>11</v>
      </c>
      <c r="E134" s="6" t="s">
        <v>12</v>
      </c>
      <c r="F134" s="6">
        <v>82</v>
      </c>
      <c r="G134" s="6">
        <v>82</v>
      </c>
      <c r="H134" s="6">
        <v>74</v>
      </c>
      <c r="I134" s="2">
        <f t="shared" si="3"/>
        <v>238</v>
      </c>
      <c r="J134" s="8">
        <f>AVERAGE(Table1[[#This Row],[math score]:[writing score]])</f>
        <v>79.333333333333329</v>
      </c>
      <c r="K134" s="2">
        <f t="shared" ref="K134:K197" si="4">3*100</f>
        <v>300</v>
      </c>
      <c r="L134" s="4">
        <f>Table1[[#This Row],[Total Score]]/Table1[[#This Row],[Minimum Mark]]</f>
        <v>0.79333333333333333</v>
      </c>
      <c r="M134" s="70" t="str">
        <f>_xlfn.XLOOKUP(Table1[[#This Row],[Pass(%)]],O:O,P:P,,-1)</f>
        <v>C+</v>
      </c>
    </row>
    <row r="135" spans="1:13" x14ac:dyDescent="0.35">
      <c r="A135" s="2" t="s">
        <v>8</v>
      </c>
      <c r="B135" s="2" t="s">
        <v>18</v>
      </c>
      <c r="C135" s="6" t="s">
        <v>10</v>
      </c>
      <c r="D135" s="6" t="s">
        <v>11</v>
      </c>
      <c r="E135" s="6" t="s">
        <v>12</v>
      </c>
      <c r="F135" s="6">
        <v>51</v>
      </c>
      <c r="G135" s="6">
        <v>49</v>
      </c>
      <c r="H135" s="6">
        <v>51</v>
      </c>
      <c r="I135" s="2">
        <f t="shared" ref="I135:I198" si="5">SUM(F135:H135)</f>
        <v>151</v>
      </c>
      <c r="J135" s="8">
        <f>AVERAGE(Table1[[#This Row],[math score]:[writing score]])</f>
        <v>50.333333333333336</v>
      </c>
      <c r="K135" s="2">
        <f t="shared" si="4"/>
        <v>300</v>
      </c>
      <c r="L135" s="4">
        <f>Table1[[#This Row],[Total Score]]/Table1[[#This Row],[Minimum Mark]]</f>
        <v>0.5033333333333333</v>
      </c>
      <c r="M135" s="70" t="str">
        <f>_xlfn.XLOOKUP(Table1[[#This Row],[Pass(%)]],O:O,P:P,,-1)</f>
        <v>D</v>
      </c>
    </row>
    <row r="136" spans="1:13" x14ac:dyDescent="0.35">
      <c r="A136" s="2" t="s">
        <v>17</v>
      </c>
      <c r="B136" s="2" t="s">
        <v>21</v>
      </c>
      <c r="C136" s="6" t="s">
        <v>16</v>
      </c>
      <c r="D136" s="6" t="s">
        <v>11</v>
      </c>
      <c r="E136" s="6" t="s">
        <v>12</v>
      </c>
      <c r="F136" s="6">
        <v>89</v>
      </c>
      <c r="G136" s="6">
        <v>84</v>
      </c>
      <c r="H136" s="6">
        <v>82</v>
      </c>
      <c r="I136" s="2">
        <f t="shared" si="5"/>
        <v>255</v>
      </c>
      <c r="J136" s="8">
        <f>AVERAGE(Table1[[#This Row],[math score]:[writing score]])</f>
        <v>85</v>
      </c>
      <c r="K136" s="2">
        <f t="shared" si="4"/>
        <v>300</v>
      </c>
      <c r="L136" s="4">
        <f>Table1[[#This Row],[Total Score]]/Table1[[#This Row],[Minimum Mark]]</f>
        <v>0.85</v>
      </c>
      <c r="M136" s="70" t="str">
        <f>_xlfn.XLOOKUP(Table1[[#This Row],[Pass(%)]],O:O,P:P,,-1)</f>
        <v>B</v>
      </c>
    </row>
    <row r="137" spans="1:13" x14ac:dyDescent="0.35">
      <c r="A137" s="2" t="s">
        <v>17</v>
      </c>
      <c r="B137" s="2" t="s">
        <v>13</v>
      </c>
      <c r="C137" s="6" t="s">
        <v>23</v>
      </c>
      <c r="D137" s="6" t="s">
        <v>20</v>
      </c>
      <c r="E137" s="6" t="s">
        <v>15</v>
      </c>
      <c r="F137" s="6">
        <v>53</v>
      </c>
      <c r="G137" s="6">
        <v>37</v>
      </c>
      <c r="H137" s="6">
        <v>40</v>
      </c>
      <c r="I137" s="2">
        <f t="shared" si="5"/>
        <v>130</v>
      </c>
      <c r="J137" s="8">
        <f>AVERAGE(Table1[[#This Row],[math score]:[writing score]])</f>
        <v>43.333333333333336</v>
      </c>
      <c r="K137" s="2">
        <f t="shared" si="4"/>
        <v>300</v>
      </c>
      <c r="L137" s="4">
        <f>Table1[[#This Row],[Total Score]]/Table1[[#This Row],[Minimum Mark]]</f>
        <v>0.43333333333333335</v>
      </c>
      <c r="M137" s="70" t="str">
        <f>_xlfn.XLOOKUP(Table1[[#This Row],[Pass(%)]],O:O,P:P,,-1)</f>
        <v>D</v>
      </c>
    </row>
    <row r="138" spans="1:13" x14ac:dyDescent="0.35">
      <c r="A138" s="2" t="s">
        <v>17</v>
      </c>
      <c r="B138" s="2" t="s">
        <v>24</v>
      </c>
      <c r="C138" s="6" t="s">
        <v>14</v>
      </c>
      <c r="D138" s="6" t="s">
        <v>20</v>
      </c>
      <c r="E138" s="6" t="s">
        <v>15</v>
      </c>
      <c r="F138" s="6">
        <v>87</v>
      </c>
      <c r="G138" s="6">
        <v>74</v>
      </c>
      <c r="H138" s="6">
        <v>70</v>
      </c>
      <c r="I138" s="2">
        <f t="shared" si="5"/>
        <v>231</v>
      </c>
      <c r="J138" s="8">
        <f>AVERAGE(Table1[[#This Row],[math score]:[writing score]])</f>
        <v>77</v>
      </c>
      <c r="K138" s="2">
        <f t="shared" si="4"/>
        <v>300</v>
      </c>
      <c r="L138" s="4">
        <f>Table1[[#This Row],[Total Score]]/Table1[[#This Row],[Minimum Mark]]</f>
        <v>0.77</v>
      </c>
      <c r="M138" s="70" t="str">
        <f>_xlfn.XLOOKUP(Table1[[#This Row],[Pass(%)]],O:O,P:P,,-1)</f>
        <v>C+</v>
      </c>
    </row>
    <row r="139" spans="1:13" x14ac:dyDescent="0.35">
      <c r="A139" s="2" t="s">
        <v>8</v>
      </c>
      <c r="B139" s="2" t="s">
        <v>13</v>
      </c>
      <c r="C139" s="6" t="s">
        <v>14</v>
      </c>
      <c r="D139" s="6" t="s">
        <v>11</v>
      </c>
      <c r="E139" s="6" t="s">
        <v>15</v>
      </c>
      <c r="F139" s="6">
        <v>75</v>
      </c>
      <c r="G139" s="6">
        <v>81</v>
      </c>
      <c r="H139" s="6">
        <v>84</v>
      </c>
      <c r="I139" s="2">
        <f t="shared" si="5"/>
        <v>240</v>
      </c>
      <c r="J139" s="8">
        <f>AVERAGE(Table1[[#This Row],[math score]:[writing score]])</f>
        <v>80</v>
      </c>
      <c r="K139" s="2">
        <f t="shared" si="4"/>
        <v>300</v>
      </c>
      <c r="L139" s="4">
        <f>Table1[[#This Row],[Total Score]]/Table1[[#This Row],[Minimum Mark]]</f>
        <v>0.8</v>
      </c>
      <c r="M139" s="70" t="str">
        <f>_xlfn.XLOOKUP(Table1[[#This Row],[Pass(%)]],O:O,P:P,,-1)</f>
        <v>B-</v>
      </c>
    </row>
    <row r="140" spans="1:13" x14ac:dyDescent="0.35">
      <c r="A140" s="2" t="s">
        <v>17</v>
      </c>
      <c r="B140" s="2" t="s">
        <v>21</v>
      </c>
      <c r="C140" s="6" t="s">
        <v>10</v>
      </c>
      <c r="D140" s="6" t="s">
        <v>20</v>
      </c>
      <c r="E140" s="6" t="s">
        <v>15</v>
      </c>
      <c r="F140" s="6">
        <v>74</v>
      </c>
      <c r="G140" s="6">
        <v>79</v>
      </c>
      <c r="H140" s="6">
        <v>75</v>
      </c>
      <c r="I140" s="2">
        <f t="shared" si="5"/>
        <v>228</v>
      </c>
      <c r="J140" s="8">
        <f>AVERAGE(Table1[[#This Row],[math score]:[writing score]])</f>
        <v>76</v>
      </c>
      <c r="K140" s="2">
        <f t="shared" si="4"/>
        <v>300</v>
      </c>
      <c r="L140" s="4">
        <f>Table1[[#This Row],[Total Score]]/Table1[[#This Row],[Minimum Mark]]</f>
        <v>0.76</v>
      </c>
      <c r="M140" s="70" t="str">
        <f>_xlfn.XLOOKUP(Table1[[#This Row],[Pass(%)]],O:O,P:P,,-1)</f>
        <v>C</v>
      </c>
    </row>
    <row r="141" spans="1:13" x14ac:dyDescent="0.35">
      <c r="A141" s="2" t="s">
        <v>17</v>
      </c>
      <c r="B141" s="2" t="s">
        <v>13</v>
      </c>
      <c r="C141" s="6" t="s">
        <v>10</v>
      </c>
      <c r="D141" s="6" t="s">
        <v>11</v>
      </c>
      <c r="E141" s="6" t="s">
        <v>12</v>
      </c>
      <c r="F141" s="6">
        <v>58</v>
      </c>
      <c r="G141" s="6">
        <v>55</v>
      </c>
      <c r="H141" s="6">
        <v>48</v>
      </c>
      <c r="I141" s="2">
        <f t="shared" si="5"/>
        <v>161</v>
      </c>
      <c r="J141" s="8">
        <f>AVERAGE(Table1[[#This Row],[math score]:[writing score]])</f>
        <v>53.666666666666664</v>
      </c>
      <c r="K141" s="2">
        <f t="shared" si="4"/>
        <v>300</v>
      </c>
      <c r="L141" s="4">
        <f>Table1[[#This Row],[Total Score]]/Table1[[#This Row],[Minimum Mark]]</f>
        <v>0.53666666666666663</v>
      </c>
      <c r="M141" s="70" t="str">
        <f>_xlfn.XLOOKUP(Table1[[#This Row],[Pass(%)]],O:O,P:P,,-1)</f>
        <v>D+</v>
      </c>
    </row>
    <row r="142" spans="1:13" x14ac:dyDescent="0.35">
      <c r="A142" s="2" t="s">
        <v>17</v>
      </c>
      <c r="B142" s="2" t="s">
        <v>9</v>
      </c>
      <c r="C142" s="6" t="s">
        <v>23</v>
      </c>
      <c r="D142" s="6" t="s">
        <v>11</v>
      </c>
      <c r="E142" s="6" t="s">
        <v>15</v>
      </c>
      <c r="F142" s="6">
        <v>51</v>
      </c>
      <c r="G142" s="6">
        <v>54</v>
      </c>
      <c r="H142" s="6">
        <v>41</v>
      </c>
      <c r="I142" s="2">
        <f t="shared" si="5"/>
        <v>146</v>
      </c>
      <c r="J142" s="8">
        <f>AVERAGE(Table1[[#This Row],[math score]:[writing score]])</f>
        <v>48.666666666666664</v>
      </c>
      <c r="K142" s="2">
        <f t="shared" si="4"/>
        <v>300</v>
      </c>
      <c r="L142" s="4">
        <f>Table1[[#This Row],[Total Score]]/Table1[[#This Row],[Minimum Mark]]</f>
        <v>0.48666666666666669</v>
      </c>
      <c r="M142" s="70" t="str">
        <f>_xlfn.XLOOKUP(Table1[[#This Row],[Pass(%)]],O:O,P:P,,-1)</f>
        <v>D</v>
      </c>
    </row>
    <row r="143" spans="1:13" x14ac:dyDescent="0.35">
      <c r="A143" s="2" t="s">
        <v>17</v>
      </c>
      <c r="B143" s="2" t="s">
        <v>24</v>
      </c>
      <c r="C143" s="6" t="s">
        <v>22</v>
      </c>
      <c r="D143" s="6" t="s">
        <v>11</v>
      </c>
      <c r="E143" s="6" t="s">
        <v>12</v>
      </c>
      <c r="F143" s="6">
        <v>70</v>
      </c>
      <c r="G143" s="6">
        <v>55</v>
      </c>
      <c r="H143" s="6">
        <v>56</v>
      </c>
      <c r="I143" s="2">
        <f t="shared" si="5"/>
        <v>181</v>
      </c>
      <c r="J143" s="8">
        <f>AVERAGE(Table1[[#This Row],[math score]:[writing score]])</f>
        <v>60.333333333333336</v>
      </c>
      <c r="K143" s="2">
        <f t="shared" si="4"/>
        <v>300</v>
      </c>
      <c r="L143" s="4">
        <f>Table1[[#This Row],[Total Score]]/Table1[[#This Row],[Minimum Mark]]</f>
        <v>0.60333333333333339</v>
      </c>
      <c r="M143" s="70" t="str">
        <f>_xlfn.XLOOKUP(Table1[[#This Row],[Pass(%)]],O:O,P:P,,-1)</f>
        <v>D+</v>
      </c>
    </row>
    <row r="144" spans="1:13" ht="20.5" x14ac:dyDescent="0.8">
      <c r="A144" s="3" t="s">
        <v>8</v>
      </c>
      <c r="B144" s="3" t="s">
        <v>13</v>
      </c>
      <c r="C144" s="7" t="s">
        <v>19</v>
      </c>
      <c r="D144" s="7" t="s">
        <v>11</v>
      </c>
      <c r="E144" s="7" t="s">
        <v>12</v>
      </c>
      <c r="F144" s="7">
        <v>59</v>
      </c>
      <c r="G144" s="7">
        <v>66</v>
      </c>
      <c r="H144" s="7">
        <v>67</v>
      </c>
      <c r="I144" s="3">
        <f t="shared" si="5"/>
        <v>192</v>
      </c>
      <c r="J144" s="14">
        <f>AVERAGE(Table1[[#This Row],[math score]:[writing score]])</f>
        <v>64</v>
      </c>
      <c r="K144" s="3">
        <f t="shared" si="4"/>
        <v>300</v>
      </c>
      <c r="L144" s="5">
        <f>Table1[[#This Row],[Total Score]]/Table1[[#This Row],[Minimum Mark]]</f>
        <v>0.64</v>
      </c>
      <c r="M144" s="71" t="str">
        <f>_xlfn.XLOOKUP(Table1[[#This Row],[Pass(%)]],O:O,P:P,,-1)</f>
        <v>D+</v>
      </c>
    </row>
    <row r="145" spans="1:13" x14ac:dyDescent="0.35">
      <c r="A145" s="2" t="s">
        <v>17</v>
      </c>
      <c r="B145" s="2" t="s">
        <v>21</v>
      </c>
      <c r="C145" s="6" t="s">
        <v>14</v>
      </c>
      <c r="D145" s="6" t="s">
        <v>11</v>
      </c>
      <c r="E145" s="6" t="s">
        <v>15</v>
      </c>
      <c r="F145" s="6">
        <v>71</v>
      </c>
      <c r="G145" s="6">
        <v>61</v>
      </c>
      <c r="H145" s="6">
        <v>69</v>
      </c>
      <c r="I145" s="2">
        <f t="shared" si="5"/>
        <v>201</v>
      </c>
      <c r="J145" s="8">
        <f>AVERAGE(Table1[[#This Row],[math score]:[writing score]])</f>
        <v>67</v>
      </c>
      <c r="K145" s="2">
        <f t="shared" si="4"/>
        <v>300</v>
      </c>
      <c r="L145" s="4">
        <f>Table1[[#This Row],[Total Score]]/Table1[[#This Row],[Minimum Mark]]</f>
        <v>0.67</v>
      </c>
      <c r="M145" s="70" t="str">
        <f>_xlfn.XLOOKUP(Table1[[#This Row],[Pass(%)]],O:O,P:P,,-1)</f>
        <v>D+</v>
      </c>
    </row>
    <row r="146" spans="1:13" x14ac:dyDescent="0.35">
      <c r="A146" s="2" t="s">
        <v>8</v>
      </c>
      <c r="B146" s="2" t="s">
        <v>21</v>
      </c>
      <c r="C146" s="6" t="s">
        <v>23</v>
      </c>
      <c r="D146" s="6" t="s">
        <v>11</v>
      </c>
      <c r="E146" s="6" t="s">
        <v>12</v>
      </c>
      <c r="F146" s="6">
        <v>76</v>
      </c>
      <c r="G146" s="6">
        <v>72</v>
      </c>
      <c r="H146" s="6">
        <v>71</v>
      </c>
      <c r="I146" s="2">
        <f t="shared" si="5"/>
        <v>219</v>
      </c>
      <c r="J146" s="8">
        <f>AVERAGE(Table1[[#This Row],[math score]:[writing score]])</f>
        <v>73</v>
      </c>
      <c r="K146" s="2">
        <f t="shared" si="4"/>
        <v>300</v>
      </c>
      <c r="L146" s="4">
        <f>Table1[[#This Row],[Total Score]]/Table1[[#This Row],[Minimum Mark]]</f>
        <v>0.73</v>
      </c>
      <c r="M146" s="70" t="str">
        <f>_xlfn.XLOOKUP(Table1[[#This Row],[Pass(%)]],O:O,P:P,,-1)</f>
        <v>C</v>
      </c>
    </row>
    <row r="147" spans="1:13" x14ac:dyDescent="0.35">
      <c r="A147" s="2" t="s">
        <v>8</v>
      </c>
      <c r="B147" s="2" t="s">
        <v>13</v>
      </c>
      <c r="C147" s="6" t="s">
        <v>14</v>
      </c>
      <c r="D147" s="6" t="s">
        <v>20</v>
      </c>
      <c r="E147" s="6" t="s">
        <v>12</v>
      </c>
      <c r="F147" s="6">
        <v>59</v>
      </c>
      <c r="G147" s="6">
        <v>62</v>
      </c>
      <c r="H147" s="6">
        <v>64</v>
      </c>
      <c r="I147" s="2">
        <f t="shared" si="5"/>
        <v>185</v>
      </c>
      <c r="J147" s="8">
        <f>AVERAGE(Table1[[#This Row],[math score]:[writing score]])</f>
        <v>61.666666666666664</v>
      </c>
      <c r="K147" s="2">
        <f t="shared" si="4"/>
        <v>300</v>
      </c>
      <c r="L147" s="4">
        <f>Table1[[#This Row],[Total Score]]/Table1[[#This Row],[Minimum Mark]]</f>
        <v>0.6166666666666667</v>
      </c>
      <c r="M147" s="70" t="str">
        <f>_xlfn.XLOOKUP(Table1[[#This Row],[Pass(%)]],O:O,P:P,,-1)</f>
        <v>D+</v>
      </c>
    </row>
    <row r="148" spans="1:13" x14ac:dyDescent="0.35">
      <c r="A148" s="2" t="s">
        <v>8</v>
      </c>
      <c r="B148" s="2" t="s">
        <v>24</v>
      </c>
      <c r="C148" s="6" t="s">
        <v>14</v>
      </c>
      <c r="D148" s="6" t="s">
        <v>20</v>
      </c>
      <c r="E148" s="6" t="s">
        <v>15</v>
      </c>
      <c r="F148" s="6">
        <v>42</v>
      </c>
      <c r="G148" s="6">
        <v>55</v>
      </c>
      <c r="H148" s="6">
        <v>54</v>
      </c>
      <c r="I148" s="2">
        <f t="shared" si="5"/>
        <v>151</v>
      </c>
      <c r="J148" s="8">
        <f>AVERAGE(Table1[[#This Row],[math score]:[writing score]])</f>
        <v>50.333333333333336</v>
      </c>
      <c r="K148" s="2">
        <f t="shared" si="4"/>
        <v>300</v>
      </c>
      <c r="L148" s="4">
        <f>Table1[[#This Row],[Total Score]]/Table1[[#This Row],[Minimum Mark]]</f>
        <v>0.5033333333333333</v>
      </c>
      <c r="M148" s="70" t="str">
        <f>_xlfn.XLOOKUP(Table1[[#This Row],[Pass(%)]],O:O,P:P,,-1)</f>
        <v>D</v>
      </c>
    </row>
    <row r="149" spans="1:13" x14ac:dyDescent="0.35">
      <c r="A149" s="2" t="s">
        <v>17</v>
      </c>
      <c r="B149" s="2" t="s">
        <v>18</v>
      </c>
      <c r="C149" s="6" t="s">
        <v>22</v>
      </c>
      <c r="D149" s="6" t="s">
        <v>11</v>
      </c>
      <c r="E149" s="6" t="s">
        <v>12</v>
      </c>
      <c r="F149" s="6">
        <v>57</v>
      </c>
      <c r="G149" s="6">
        <v>43</v>
      </c>
      <c r="H149" s="6">
        <v>47</v>
      </c>
      <c r="I149" s="2">
        <f t="shared" si="5"/>
        <v>147</v>
      </c>
      <c r="J149" s="8">
        <f>AVERAGE(Table1[[#This Row],[math score]:[writing score]])</f>
        <v>49</v>
      </c>
      <c r="K149" s="2">
        <f t="shared" si="4"/>
        <v>300</v>
      </c>
      <c r="L149" s="4">
        <f>Table1[[#This Row],[Total Score]]/Table1[[#This Row],[Minimum Mark]]</f>
        <v>0.49</v>
      </c>
      <c r="M149" s="70" t="str">
        <f>_xlfn.XLOOKUP(Table1[[#This Row],[Pass(%)]],O:O,P:P,,-1)</f>
        <v>D</v>
      </c>
    </row>
    <row r="150" spans="1:13" x14ac:dyDescent="0.35">
      <c r="A150" s="2" t="s">
        <v>17</v>
      </c>
      <c r="B150" s="2" t="s">
        <v>21</v>
      </c>
      <c r="C150" s="6" t="s">
        <v>14</v>
      </c>
      <c r="D150" s="6" t="s">
        <v>11</v>
      </c>
      <c r="E150" s="6" t="s">
        <v>12</v>
      </c>
      <c r="F150" s="6">
        <v>88</v>
      </c>
      <c r="G150" s="6">
        <v>73</v>
      </c>
      <c r="H150" s="6">
        <v>78</v>
      </c>
      <c r="I150" s="2">
        <f t="shared" si="5"/>
        <v>239</v>
      </c>
      <c r="J150" s="8">
        <f>AVERAGE(Table1[[#This Row],[math score]:[writing score]])</f>
        <v>79.666666666666671</v>
      </c>
      <c r="K150" s="2">
        <f t="shared" si="4"/>
        <v>300</v>
      </c>
      <c r="L150" s="4">
        <f>Table1[[#This Row],[Total Score]]/Table1[[#This Row],[Minimum Mark]]</f>
        <v>0.79666666666666663</v>
      </c>
      <c r="M150" s="70" t="str">
        <f>_xlfn.XLOOKUP(Table1[[#This Row],[Pass(%)]],O:O,P:P,,-1)</f>
        <v>C+</v>
      </c>
    </row>
    <row r="151" spans="1:13" x14ac:dyDescent="0.35">
      <c r="A151" s="2" t="s">
        <v>8</v>
      </c>
      <c r="B151" s="2" t="s">
        <v>13</v>
      </c>
      <c r="C151" s="6" t="s">
        <v>14</v>
      </c>
      <c r="D151" s="6" t="s">
        <v>20</v>
      </c>
      <c r="E151" s="6" t="s">
        <v>12</v>
      </c>
      <c r="F151" s="6">
        <v>22</v>
      </c>
      <c r="G151" s="6">
        <v>39</v>
      </c>
      <c r="H151" s="6">
        <v>33</v>
      </c>
      <c r="I151" s="2">
        <f t="shared" si="5"/>
        <v>94</v>
      </c>
      <c r="J151" s="8">
        <f>AVERAGE(Table1[[#This Row],[math score]:[writing score]])</f>
        <v>31.333333333333332</v>
      </c>
      <c r="K151" s="2">
        <f t="shared" si="4"/>
        <v>300</v>
      </c>
      <c r="L151" s="4">
        <f>Table1[[#This Row],[Total Score]]/Table1[[#This Row],[Minimum Mark]]</f>
        <v>0.31333333333333335</v>
      </c>
      <c r="M151" s="70" t="str">
        <f>_xlfn.XLOOKUP(Table1[[#This Row],[Pass(%)]],O:O,P:P,,-1)</f>
        <v>D-</v>
      </c>
    </row>
    <row r="152" spans="1:13" x14ac:dyDescent="0.35">
      <c r="A152" s="2" t="s">
        <v>17</v>
      </c>
      <c r="B152" s="2" t="s">
        <v>9</v>
      </c>
      <c r="C152" s="6" t="s">
        <v>23</v>
      </c>
      <c r="D152" s="6" t="s">
        <v>11</v>
      </c>
      <c r="E152" s="6" t="s">
        <v>12</v>
      </c>
      <c r="F152" s="6">
        <v>88</v>
      </c>
      <c r="G152" s="6">
        <v>84</v>
      </c>
      <c r="H152" s="6">
        <v>75</v>
      </c>
      <c r="I152" s="2">
        <f t="shared" si="5"/>
        <v>247</v>
      </c>
      <c r="J152" s="8">
        <f>AVERAGE(Table1[[#This Row],[math score]:[writing score]])</f>
        <v>82.333333333333329</v>
      </c>
      <c r="K152" s="2">
        <f t="shared" si="4"/>
        <v>300</v>
      </c>
      <c r="L152" s="4">
        <f>Table1[[#This Row],[Total Score]]/Table1[[#This Row],[Minimum Mark]]</f>
        <v>0.82333333333333336</v>
      </c>
      <c r="M152" s="70" t="str">
        <f>_xlfn.XLOOKUP(Table1[[#This Row],[Pass(%)]],O:O,P:P,,-1)</f>
        <v>B-</v>
      </c>
    </row>
    <row r="153" spans="1:13" ht="20.5" x14ac:dyDescent="0.8">
      <c r="A153" s="3" t="s">
        <v>17</v>
      </c>
      <c r="B153" s="3" t="s">
        <v>13</v>
      </c>
      <c r="C153" s="7" t="s">
        <v>19</v>
      </c>
      <c r="D153" s="7" t="s">
        <v>20</v>
      </c>
      <c r="E153" s="7" t="s">
        <v>12</v>
      </c>
      <c r="F153" s="7">
        <v>73</v>
      </c>
      <c r="G153" s="7">
        <v>68</v>
      </c>
      <c r="H153" s="7">
        <v>66</v>
      </c>
      <c r="I153" s="3">
        <f t="shared" si="5"/>
        <v>207</v>
      </c>
      <c r="J153" s="14">
        <f>AVERAGE(Table1[[#This Row],[math score]:[writing score]])</f>
        <v>69</v>
      </c>
      <c r="K153" s="3">
        <f t="shared" si="4"/>
        <v>300</v>
      </c>
      <c r="L153" s="5">
        <f>Table1[[#This Row],[Total Score]]/Table1[[#This Row],[Minimum Mark]]</f>
        <v>0.69</v>
      </c>
      <c r="M153" s="71" t="str">
        <f>_xlfn.XLOOKUP(Table1[[#This Row],[Pass(%)]],O:O,P:P,,-1)</f>
        <v>D+</v>
      </c>
    </row>
    <row r="154" spans="1:13" x14ac:dyDescent="0.35">
      <c r="A154" s="2" t="s">
        <v>8</v>
      </c>
      <c r="B154" s="2" t="s">
        <v>21</v>
      </c>
      <c r="C154" s="6" t="s">
        <v>10</v>
      </c>
      <c r="D154" s="6" t="s">
        <v>11</v>
      </c>
      <c r="E154" s="6" t="s">
        <v>15</v>
      </c>
      <c r="F154" s="6">
        <v>68</v>
      </c>
      <c r="G154" s="6">
        <v>75</v>
      </c>
      <c r="H154" s="6">
        <v>81</v>
      </c>
      <c r="I154" s="2">
        <f t="shared" si="5"/>
        <v>224</v>
      </c>
      <c r="J154" s="8">
        <f>AVERAGE(Table1[[#This Row],[math score]:[writing score]])</f>
        <v>74.666666666666671</v>
      </c>
      <c r="K154" s="2">
        <f t="shared" si="4"/>
        <v>300</v>
      </c>
      <c r="L154" s="4">
        <f>Table1[[#This Row],[Total Score]]/Table1[[#This Row],[Minimum Mark]]</f>
        <v>0.7466666666666667</v>
      </c>
      <c r="M154" s="70" t="str">
        <f>_xlfn.XLOOKUP(Table1[[#This Row],[Pass(%)]],O:O,P:P,,-1)</f>
        <v>C</v>
      </c>
    </row>
    <row r="155" spans="1:13" ht="20.5" x14ac:dyDescent="0.8">
      <c r="A155" s="3" t="s">
        <v>17</v>
      </c>
      <c r="B155" s="3" t="s">
        <v>24</v>
      </c>
      <c r="C155" s="7" t="s">
        <v>19</v>
      </c>
      <c r="D155" s="7" t="s">
        <v>20</v>
      </c>
      <c r="E155" s="7" t="s">
        <v>15</v>
      </c>
      <c r="F155" s="7">
        <v>100</v>
      </c>
      <c r="G155" s="7">
        <v>100</v>
      </c>
      <c r="H155" s="7">
        <v>93</v>
      </c>
      <c r="I155" s="3">
        <f t="shared" si="5"/>
        <v>293</v>
      </c>
      <c r="J155" s="14">
        <f>AVERAGE(Table1[[#This Row],[math score]:[writing score]])</f>
        <v>97.666666666666671</v>
      </c>
      <c r="K155" s="3">
        <f t="shared" si="4"/>
        <v>300</v>
      </c>
      <c r="L155" s="5">
        <f>Table1[[#This Row],[Total Score]]/Table1[[#This Row],[Minimum Mark]]</f>
        <v>0.97666666666666668</v>
      </c>
      <c r="M155" s="71" t="str">
        <f>_xlfn.XLOOKUP(Table1[[#This Row],[Pass(%)]],O:O,P:P,,-1)</f>
        <v>A+</v>
      </c>
    </row>
    <row r="156" spans="1:13" x14ac:dyDescent="0.35">
      <c r="A156" s="2" t="s">
        <v>17</v>
      </c>
      <c r="B156" s="2" t="s">
        <v>18</v>
      </c>
      <c r="C156" s="6" t="s">
        <v>23</v>
      </c>
      <c r="D156" s="6" t="s">
        <v>11</v>
      </c>
      <c r="E156" s="6" t="s">
        <v>15</v>
      </c>
      <c r="F156" s="6">
        <v>62</v>
      </c>
      <c r="G156" s="6">
        <v>67</v>
      </c>
      <c r="H156" s="6">
        <v>69</v>
      </c>
      <c r="I156" s="2">
        <f t="shared" si="5"/>
        <v>198</v>
      </c>
      <c r="J156" s="8">
        <f>AVERAGE(Table1[[#This Row],[math score]:[writing score]])</f>
        <v>66</v>
      </c>
      <c r="K156" s="2">
        <f t="shared" si="4"/>
        <v>300</v>
      </c>
      <c r="L156" s="4">
        <f>Table1[[#This Row],[Total Score]]/Table1[[#This Row],[Minimum Mark]]</f>
        <v>0.66</v>
      </c>
      <c r="M156" s="70" t="str">
        <f>_xlfn.XLOOKUP(Table1[[#This Row],[Pass(%)]],O:O,P:P,,-1)</f>
        <v>D+</v>
      </c>
    </row>
    <row r="157" spans="1:13" x14ac:dyDescent="0.35">
      <c r="A157" s="2" t="s">
        <v>17</v>
      </c>
      <c r="B157" s="2" t="s">
        <v>18</v>
      </c>
      <c r="C157" s="6" t="s">
        <v>10</v>
      </c>
      <c r="D157" s="6" t="s">
        <v>11</v>
      </c>
      <c r="E157" s="6" t="s">
        <v>12</v>
      </c>
      <c r="F157" s="6">
        <v>77</v>
      </c>
      <c r="G157" s="6">
        <v>67</v>
      </c>
      <c r="H157" s="6">
        <v>68</v>
      </c>
      <c r="I157" s="2">
        <f t="shared" si="5"/>
        <v>212</v>
      </c>
      <c r="J157" s="8">
        <f>AVERAGE(Table1[[#This Row],[math score]:[writing score]])</f>
        <v>70.666666666666671</v>
      </c>
      <c r="K157" s="2">
        <f t="shared" si="4"/>
        <v>300</v>
      </c>
      <c r="L157" s="4">
        <f>Table1[[#This Row],[Total Score]]/Table1[[#This Row],[Minimum Mark]]</f>
        <v>0.70666666666666667</v>
      </c>
      <c r="M157" s="70" t="str">
        <f>_xlfn.XLOOKUP(Table1[[#This Row],[Pass(%)]],O:O,P:P,,-1)</f>
        <v>C-</v>
      </c>
    </row>
    <row r="158" spans="1:13" ht="20.5" x14ac:dyDescent="0.8">
      <c r="A158" s="3" t="s">
        <v>8</v>
      </c>
      <c r="B158" s="3" t="s">
        <v>9</v>
      </c>
      <c r="C158" s="7" t="s">
        <v>19</v>
      </c>
      <c r="D158" s="7" t="s">
        <v>11</v>
      </c>
      <c r="E158" s="7" t="s">
        <v>15</v>
      </c>
      <c r="F158" s="7">
        <v>59</v>
      </c>
      <c r="G158" s="7">
        <v>70</v>
      </c>
      <c r="H158" s="7">
        <v>66</v>
      </c>
      <c r="I158" s="3">
        <f t="shared" si="5"/>
        <v>195</v>
      </c>
      <c r="J158" s="14">
        <f>AVERAGE(Table1[[#This Row],[math score]:[writing score]])</f>
        <v>65</v>
      </c>
      <c r="K158" s="3">
        <f t="shared" si="4"/>
        <v>300</v>
      </c>
      <c r="L158" s="5">
        <f>Table1[[#This Row],[Total Score]]/Table1[[#This Row],[Minimum Mark]]</f>
        <v>0.65</v>
      </c>
      <c r="M158" s="71" t="str">
        <f>_xlfn.XLOOKUP(Table1[[#This Row],[Pass(%)]],O:O,P:P,,-1)</f>
        <v>D+</v>
      </c>
    </row>
    <row r="159" spans="1:13" x14ac:dyDescent="0.35">
      <c r="A159" s="2" t="s">
        <v>17</v>
      </c>
      <c r="B159" s="2" t="s">
        <v>21</v>
      </c>
      <c r="C159" s="6" t="s">
        <v>10</v>
      </c>
      <c r="D159" s="6" t="s">
        <v>11</v>
      </c>
      <c r="E159" s="6" t="s">
        <v>12</v>
      </c>
      <c r="F159" s="6">
        <v>54</v>
      </c>
      <c r="G159" s="6">
        <v>49</v>
      </c>
      <c r="H159" s="6">
        <v>47</v>
      </c>
      <c r="I159" s="2">
        <f t="shared" si="5"/>
        <v>150</v>
      </c>
      <c r="J159" s="8">
        <f>AVERAGE(Table1[[#This Row],[math score]:[writing score]])</f>
        <v>50</v>
      </c>
      <c r="K159" s="2">
        <f t="shared" si="4"/>
        <v>300</v>
      </c>
      <c r="L159" s="4">
        <f>Table1[[#This Row],[Total Score]]/Table1[[#This Row],[Minimum Mark]]</f>
        <v>0.5</v>
      </c>
      <c r="M159" s="70" t="str">
        <f>_xlfn.XLOOKUP(Table1[[#This Row],[Pass(%)]],O:O,P:P,,-1)</f>
        <v>D</v>
      </c>
    </row>
    <row r="160" spans="1:13" x14ac:dyDescent="0.35">
      <c r="A160" s="2" t="s">
        <v>17</v>
      </c>
      <c r="B160" s="2" t="s">
        <v>21</v>
      </c>
      <c r="C160" s="6" t="s">
        <v>23</v>
      </c>
      <c r="D160" s="6" t="s">
        <v>11</v>
      </c>
      <c r="E160" s="6" t="s">
        <v>12</v>
      </c>
      <c r="F160" s="6">
        <v>62</v>
      </c>
      <c r="G160" s="6">
        <v>67</v>
      </c>
      <c r="H160" s="6">
        <v>61</v>
      </c>
      <c r="I160" s="2">
        <f t="shared" si="5"/>
        <v>190</v>
      </c>
      <c r="J160" s="8">
        <f>AVERAGE(Table1[[#This Row],[math score]:[writing score]])</f>
        <v>63.333333333333336</v>
      </c>
      <c r="K160" s="2">
        <f t="shared" si="4"/>
        <v>300</v>
      </c>
      <c r="L160" s="4">
        <f>Table1[[#This Row],[Total Score]]/Table1[[#This Row],[Minimum Mark]]</f>
        <v>0.6333333333333333</v>
      </c>
      <c r="M160" s="70" t="str">
        <f>_xlfn.XLOOKUP(Table1[[#This Row],[Pass(%)]],O:O,P:P,,-1)</f>
        <v>D+</v>
      </c>
    </row>
    <row r="161" spans="1:13" x14ac:dyDescent="0.35">
      <c r="A161" s="2" t="s">
        <v>8</v>
      </c>
      <c r="B161" s="2" t="s">
        <v>13</v>
      </c>
      <c r="C161" s="6" t="s">
        <v>14</v>
      </c>
      <c r="D161" s="6" t="s">
        <v>11</v>
      </c>
      <c r="E161" s="6" t="s">
        <v>15</v>
      </c>
      <c r="F161" s="6">
        <v>70</v>
      </c>
      <c r="G161" s="6">
        <v>89</v>
      </c>
      <c r="H161" s="6">
        <v>88</v>
      </c>
      <c r="I161" s="2">
        <f t="shared" si="5"/>
        <v>247</v>
      </c>
      <c r="J161" s="8">
        <f>AVERAGE(Table1[[#This Row],[math score]:[writing score]])</f>
        <v>82.333333333333329</v>
      </c>
      <c r="K161" s="2">
        <f t="shared" si="4"/>
        <v>300</v>
      </c>
      <c r="L161" s="4">
        <f>Table1[[#This Row],[Total Score]]/Table1[[#This Row],[Minimum Mark]]</f>
        <v>0.82333333333333336</v>
      </c>
      <c r="M161" s="70" t="str">
        <f>_xlfn.XLOOKUP(Table1[[#This Row],[Pass(%)]],O:O,P:P,,-1)</f>
        <v>B-</v>
      </c>
    </row>
    <row r="162" spans="1:13" x14ac:dyDescent="0.35">
      <c r="A162" s="2" t="s">
        <v>8</v>
      </c>
      <c r="B162" s="2" t="s">
        <v>24</v>
      </c>
      <c r="C162" s="6" t="s">
        <v>22</v>
      </c>
      <c r="D162" s="6" t="s">
        <v>20</v>
      </c>
      <c r="E162" s="6" t="s">
        <v>15</v>
      </c>
      <c r="F162" s="6">
        <v>66</v>
      </c>
      <c r="G162" s="6">
        <v>74</v>
      </c>
      <c r="H162" s="6">
        <v>78</v>
      </c>
      <c r="I162" s="2">
        <f t="shared" si="5"/>
        <v>218</v>
      </c>
      <c r="J162" s="8">
        <f>AVERAGE(Table1[[#This Row],[math score]:[writing score]])</f>
        <v>72.666666666666671</v>
      </c>
      <c r="K162" s="2">
        <f t="shared" si="4"/>
        <v>300</v>
      </c>
      <c r="L162" s="4">
        <f>Table1[[#This Row],[Total Score]]/Table1[[#This Row],[Minimum Mark]]</f>
        <v>0.72666666666666668</v>
      </c>
      <c r="M162" s="70" t="str">
        <f>_xlfn.XLOOKUP(Table1[[#This Row],[Pass(%)]],O:O,P:P,,-1)</f>
        <v>C-</v>
      </c>
    </row>
    <row r="163" spans="1:13" x14ac:dyDescent="0.35">
      <c r="A163" s="2" t="s">
        <v>17</v>
      </c>
      <c r="B163" s="2" t="s">
        <v>9</v>
      </c>
      <c r="C163" s="6" t="s">
        <v>14</v>
      </c>
      <c r="D163" s="6" t="s">
        <v>20</v>
      </c>
      <c r="E163" s="6" t="s">
        <v>12</v>
      </c>
      <c r="F163" s="6">
        <v>60</v>
      </c>
      <c r="G163" s="6">
        <v>60</v>
      </c>
      <c r="H163" s="6">
        <v>60</v>
      </c>
      <c r="I163" s="2">
        <f t="shared" si="5"/>
        <v>180</v>
      </c>
      <c r="J163" s="8">
        <f>AVERAGE(Table1[[#This Row],[math score]:[writing score]])</f>
        <v>60</v>
      </c>
      <c r="K163" s="2">
        <f t="shared" si="4"/>
        <v>300</v>
      </c>
      <c r="L163" s="4">
        <f>Table1[[#This Row],[Total Score]]/Table1[[#This Row],[Minimum Mark]]</f>
        <v>0.6</v>
      </c>
      <c r="M163" s="70" t="str">
        <f>_xlfn.XLOOKUP(Table1[[#This Row],[Pass(%)]],O:O,P:P,,-1)</f>
        <v>D+</v>
      </c>
    </row>
    <row r="164" spans="1:13" ht="20.5" x14ac:dyDescent="0.8">
      <c r="A164" s="3" t="s">
        <v>8</v>
      </c>
      <c r="B164" s="3" t="s">
        <v>9</v>
      </c>
      <c r="C164" s="7" t="s">
        <v>19</v>
      </c>
      <c r="D164" s="7" t="s">
        <v>11</v>
      </c>
      <c r="E164" s="7" t="s">
        <v>15</v>
      </c>
      <c r="F164" s="7">
        <v>61</v>
      </c>
      <c r="G164" s="7">
        <v>86</v>
      </c>
      <c r="H164" s="7">
        <v>87</v>
      </c>
      <c r="I164" s="3">
        <f t="shared" si="5"/>
        <v>234</v>
      </c>
      <c r="J164" s="14">
        <f>AVERAGE(Table1[[#This Row],[math score]:[writing score]])</f>
        <v>78</v>
      </c>
      <c r="K164" s="3">
        <f t="shared" si="4"/>
        <v>300</v>
      </c>
      <c r="L164" s="5">
        <f>Table1[[#This Row],[Total Score]]/Table1[[#This Row],[Minimum Mark]]</f>
        <v>0.78</v>
      </c>
      <c r="M164" s="71" t="str">
        <f>_xlfn.XLOOKUP(Table1[[#This Row],[Pass(%)]],O:O,P:P,,-1)</f>
        <v>C+</v>
      </c>
    </row>
    <row r="165" spans="1:13" ht="20.5" x14ac:dyDescent="0.8">
      <c r="A165" s="3" t="s">
        <v>17</v>
      </c>
      <c r="B165" s="3" t="s">
        <v>21</v>
      </c>
      <c r="C165" s="7" t="s">
        <v>19</v>
      </c>
      <c r="D165" s="7" t="s">
        <v>20</v>
      </c>
      <c r="E165" s="7" t="s">
        <v>12</v>
      </c>
      <c r="F165" s="7">
        <v>66</v>
      </c>
      <c r="G165" s="7">
        <v>62</v>
      </c>
      <c r="H165" s="7">
        <v>64</v>
      </c>
      <c r="I165" s="3">
        <f t="shared" si="5"/>
        <v>192</v>
      </c>
      <c r="J165" s="14">
        <f>AVERAGE(Table1[[#This Row],[math score]:[writing score]])</f>
        <v>64</v>
      </c>
      <c r="K165" s="3">
        <f t="shared" si="4"/>
        <v>300</v>
      </c>
      <c r="L165" s="5">
        <f>Table1[[#This Row],[Total Score]]/Table1[[#This Row],[Minimum Mark]]</f>
        <v>0.64</v>
      </c>
      <c r="M165" s="71" t="str">
        <f>_xlfn.XLOOKUP(Table1[[#This Row],[Pass(%)]],O:O,P:P,,-1)</f>
        <v>D+</v>
      </c>
    </row>
    <row r="166" spans="1:13" ht="20.5" x14ac:dyDescent="0.8">
      <c r="A166" s="3" t="s">
        <v>17</v>
      </c>
      <c r="B166" s="3" t="s">
        <v>9</v>
      </c>
      <c r="C166" s="7" t="s">
        <v>19</v>
      </c>
      <c r="D166" s="7" t="s">
        <v>20</v>
      </c>
      <c r="E166" s="7" t="s">
        <v>15</v>
      </c>
      <c r="F166" s="7">
        <v>82</v>
      </c>
      <c r="G166" s="7">
        <v>78</v>
      </c>
      <c r="H166" s="7">
        <v>74</v>
      </c>
      <c r="I166" s="3">
        <f t="shared" si="5"/>
        <v>234</v>
      </c>
      <c r="J166" s="14">
        <f>AVERAGE(Table1[[#This Row],[math score]:[writing score]])</f>
        <v>78</v>
      </c>
      <c r="K166" s="3">
        <f t="shared" si="4"/>
        <v>300</v>
      </c>
      <c r="L166" s="5">
        <f>Table1[[#This Row],[Total Score]]/Table1[[#This Row],[Minimum Mark]]</f>
        <v>0.78</v>
      </c>
      <c r="M166" s="71" t="str">
        <f>_xlfn.XLOOKUP(Table1[[#This Row],[Pass(%)]],O:O,P:P,,-1)</f>
        <v>C+</v>
      </c>
    </row>
    <row r="167" spans="1:13" x14ac:dyDescent="0.35">
      <c r="A167" s="2" t="s">
        <v>8</v>
      </c>
      <c r="B167" s="2" t="s">
        <v>24</v>
      </c>
      <c r="C167" s="6" t="s">
        <v>14</v>
      </c>
      <c r="D167" s="6" t="s">
        <v>20</v>
      </c>
      <c r="E167" s="6" t="s">
        <v>15</v>
      </c>
      <c r="F167" s="6">
        <v>75</v>
      </c>
      <c r="G167" s="6">
        <v>88</v>
      </c>
      <c r="H167" s="6">
        <v>85</v>
      </c>
      <c r="I167" s="2">
        <f t="shared" si="5"/>
        <v>248</v>
      </c>
      <c r="J167" s="8">
        <f>AVERAGE(Table1[[#This Row],[math score]:[writing score]])</f>
        <v>82.666666666666671</v>
      </c>
      <c r="K167" s="2">
        <f t="shared" si="4"/>
        <v>300</v>
      </c>
      <c r="L167" s="4">
        <f>Table1[[#This Row],[Total Score]]/Table1[[#This Row],[Minimum Mark]]</f>
        <v>0.82666666666666666</v>
      </c>
      <c r="M167" s="70" t="str">
        <f>_xlfn.XLOOKUP(Table1[[#This Row],[Pass(%)]],O:O,P:P,,-1)</f>
        <v>B-</v>
      </c>
    </row>
    <row r="168" spans="1:13" x14ac:dyDescent="0.35">
      <c r="A168" s="2" t="s">
        <v>17</v>
      </c>
      <c r="B168" s="2" t="s">
        <v>9</v>
      </c>
      <c r="C168" s="6" t="s">
        <v>16</v>
      </c>
      <c r="D168" s="6" t="s">
        <v>20</v>
      </c>
      <c r="E168" s="6" t="s">
        <v>12</v>
      </c>
      <c r="F168" s="6">
        <v>49</v>
      </c>
      <c r="G168" s="6">
        <v>53</v>
      </c>
      <c r="H168" s="6">
        <v>52</v>
      </c>
      <c r="I168" s="2">
        <f t="shared" si="5"/>
        <v>154</v>
      </c>
      <c r="J168" s="8">
        <f>AVERAGE(Table1[[#This Row],[math score]:[writing score]])</f>
        <v>51.333333333333336</v>
      </c>
      <c r="K168" s="2">
        <f t="shared" si="4"/>
        <v>300</v>
      </c>
      <c r="L168" s="4">
        <f>Table1[[#This Row],[Total Score]]/Table1[[#This Row],[Minimum Mark]]</f>
        <v>0.51333333333333331</v>
      </c>
      <c r="M168" s="70" t="str">
        <f>_xlfn.XLOOKUP(Table1[[#This Row],[Pass(%)]],O:O,P:P,,-1)</f>
        <v>D</v>
      </c>
    </row>
    <row r="169" spans="1:13" x14ac:dyDescent="0.35">
      <c r="A169" s="2" t="s">
        <v>17</v>
      </c>
      <c r="B169" s="2" t="s">
        <v>13</v>
      </c>
      <c r="C169" s="6" t="s">
        <v>22</v>
      </c>
      <c r="D169" s="6" t="s">
        <v>11</v>
      </c>
      <c r="E169" s="6" t="s">
        <v>12</v>
      </c>
      <c r="F169" s="6">
        <v>52</v>
      </c>
      <c r="G169" s="6">
        <v>53</v>
      </c>
      <c r="H169" s="6">
        <v>49</v>
      </c>
      <c r="I169" s="2">
        <f t="shared" si="5"/>
        <v>154</v>
      </c>
      <c r="J169" s="8">
        <f>AVERAGE(Table1[[#This Row],[math score]:[writing score]])</f>
        <v>51.333333333333336</v>
      </c>
      <c r="K169" s="2">
        <f t="shared" si="4"/>
        <v>300</v>
      </c>
      <c r="L169" s="4">
        <f>Table1[[#This Row],[Total Score]]/Table1[[#This Row],[Minimum Mark]]</f>
        <v>0.51333333333333331</v>
      </c>
      <c r="M169" s="70" t="str">
        <f>_xlfn.XLOOKUP(Table1[[#This Row],[Pass(%)]],O:O,P:P,,-1)</f>
        <v>D</v>
      </c>
    </row>
    <row r="170" spans="1:13" x14ac:dyDescent="0.35">
      <c r="A170" s="2" t="s">
        <v>8</v>
      </c>
      <c r="B170" s="2" t="s">
        <v>24</v>
      </c>
      <c r="C170" s="6" t="s">
        <v>16</v>
      </c>
      <c r="D170" s="6" t="s">
        <v>11</v>
      </c>
      <c r="E170" s="6" t="s">
        <v>12</v>
      </c>
      <c r="F170" s="6">
        <v>81</v>
      </c>
      <c r="G170" s="6">
        <v>92</v>
      </c>
      <c r="H170" s="6">
        <v>91</v>
      </c>
      <c r="I170" s="2">
        <f t="shared" si="5"/>
        <v>264</v>
      </c>
      <c r="J170" s="8">
        <f>AVERAGE(Table1[[#This Row],[math score]:[writing score]])</f>
        <v>88</v>
      </c>
      <c r="K170" s="2">
        <f t="shared" si="4"/>
        <v>300</v>
      </c>
      <c r="L170" s="4">
        <f>Table1[[#This Row],[Total Score]]/Table1[[#This Row],[Minimum Mark]]</f>
        <v>0.88</v>
      </c>
      <c r="M170" s="70" t="str">
        <f>_xlfn.XLOOKUP(Table1[[#This Row],[Pass(%)]],O:O,P:P,,-1)</f>
        <v>B+</v>
      </c>
    </row>
    <row r="171" spans="1:13" x14ac:dyDescent="0.35">
      <c r="A171" s="2" t="s">
        <v>8</v>
      </c>
      <c r="B171" s="2" t="s">
        <v>13</v>
      </c>
      <c r="C171" s="6" t="s">
        <v>10</v>
      </c>
      <c r="D171" s="6" t="s">
        <v>11</v>
      </c>
      <c r="E171" s="6" t="s">
        <v>15</v>
      </c>
      <c r="F171" s="6">
        <v>96</v>
      </c>
      <c r="G171" s="6">
        <v>100</v>
      </c>
      <c r="H171" s="6">
        <v>100</v>
      </c>
      <c r="I171" s="2">
        <f t="shared" si="5"/>
        <v>296</v>
      </c>
      <c r="J171" s="8">
        <f>AVERAGE(Table1[[#This Row],[math score]:[writing score]])</f>
        <v>98.666666666666671</v>
      </c>
      <c r="K171" s="2">
        <f t="shared" si="4"/>
        <v>300</v>
      </c>
      <c r="L171" s="4">
        <f>Table1[[#This Row],[Total Score]]/Table1[[#This Row],[Minimum Mark]]</f>
        <v>0.98666666666666669</v>
      </c>
      <c r="M171" s="70" t="str">
        <f>_xlfn.XLOOKUP(Table1[[#This Row],[Pass(%)]],O:O,P:P,,-1)</f>
        <v>A+</v>
      </c>
    </row>
    <row r="172" spans="1:13" x14ac:dyDescent="0.35">
      <c r="A172" s="2" t="s">
        <v>17</v>
      </c>
      <c r="B172" s="2" t="s">
        <v>13</v>
      </c>
      <c r="C172" s="6" t="s">
        <v>22</v>
      </c>
      <c r="D172" s="6" t="s">
        <v>20</v>
      </c>
      <c r="E172" s="6" t="s">
        <v>15</v>
      </c>
      <c r="F172" s="6">
        <v>53</v>
      </c>
      <c r="G172" s="6">
        <v>51</v>
      </c>
      <c r="H172" s="6">
        <v>51</v>
      </c>
      <c r="I172" s="2">
        <f t="shared" si="5"/>
        <v>155</v>
      </c>
      <c r="J172" s="8">
        <f>AVERAGE(Table1[[#This Row],[math score]:[writing score]])</f>
        <v>51.666666666666664</v>
      </c>
      <c r="K172" s="2">
        <f t="shared" si="4"/>
        <v>300</v>
      </c>
      <c r="L172" s="4">
        <f>Table1[[#This Row],[Total Score]]/Table1[[#This Row],[Minimum Mark]]</f>
        <v>0.51666666666666672</v>
      </c>
      <c r="M172" s="70" t="str">
        <f>_xlfn.XLOOKUP(Table1[[#This Row],[Pass(%)]],O:O,P:P,,-1)</f>
        <v>D</v>
      </c>
    </row>
    <row r="173" spans="1:13" x14ac:dyDescent="0.35">
      <c r="A173" s="2" t="s">
        <v>8</v>
      </c>
      <c r="B173" s="2" t="s">
        <v>9</v>
      </c>
      <c r="C173" s="6" t="s">
        <v>16</v>
      </c>
      <c r="D173" s="6" t="s">
        <v>20</v>
      </c>
      <c r="E173" s="6" t="s">
        <v>15</v>
      </c>
      <c r="F173" s="6">
        <v>58</v>
      </c>
      <c r="G173" s="6">
        <v>76</v>
      </c>
      <c r="H173" s="6">
        <v>78</v>
      </c>
      <c r="I173" s="2">
        <f t="shared" si="5"/>
        <v>212</v>
      </c>
      <c r="J173" s="8">
        <f>AVERAGE(Table1[[#This Row],[math score]:[writing score]])</f>
        <v>70.666666666666671</v>
      </c>
      <c r="K173" s="2">
        <f t="shared" si="4"/>
        <v>300</v>
      </c>
      <c r="L173" s="4">
        <f>Table1[[#This Row],[Total Score]]/Table1[[#This Row],[Minimum Mark]]</f>
        <v>0.70666666666666667</v>
      </c>
      <c r="M173" s="70" t="str">
        <f>_xlfn.XLOOKUP(Table1[[#This Row],[Pass(%)]],O:O,P:P,,-1)</f>
        <v>C-</v>
      </c>
    </row>
    <row r="174" spans="1:13" x14ac:dyDescent="0.35">
      <c r="A174" s="2" t="s">
        <v>8</v>
      </c>
      <c r="B174" s="2" t="s">
        <v>9</v>
      </c>
      <c r="C174" s="6" t="s">
        <v>22</v>
      </c>
      <c r="D174" s="6" t="s">
        <v>11</v>
      </c>
      <c r="E174" s="6" t="s">
        <v>15</v>
      </c>
      <c r="F174" s="6">
        <v>68</v>
      </c>
      <c r="G174" s="6">
        <v>83</v>
      </c>
      <c r="H174" s="6">
        <v>78</v>
      </c>
      <c r="I174" s="2">
        <f t="shared" si="5"/>
        <v>229</v>
      </c>
      <c r="J174" s="8">
        <f>AVERAGE(Table1[[#This Row],[math score]:[writing score]])</f>
        <v>76.333333333333329</v>
      </c>
      <c r="K174" s="2">
        <f t="shared" si="4"/>
        <v>300</v>
      </c>
      <c r="L174" s="4">
        <f>Table1[[#This Row],[Total Score]]/Table1[[#This Row],[Minimum Mark]]</f>
        <v>0.76333333333333331</v>
      </c>
      <c r="M174" s="70" t="str">
        <f>_xlfn.XLOOKUP(Table1[[#This Row],[Pass(%)]],O:O,P:P,,-1)</f>
        <v>C</v>
      </c>
    </row>
    <row r="175" spans="1:13" x14ac:dyDescent="0.35">
      <c r="A175" s="2" t="s">
        <v>8</v>
      </c>
      <c r="B175" s="2" t="s">
        <v>13</v>
      </c>
      <c r="C175" s="6" t="s">
        <v>14</v>
      </c>
      <c r="D175" s="6" t="s">
        <v>20</v>
      </c>
      <c r="E175" s="6" t="s">
        <v>15</v>
      </c>
      <c r="F175" s="6">
        <v>67</v>
      </c>
      <c r="G175" s="6">
        <v>75</v>
      </c>
      <c r="H175" s="6">
        <v>70</v>
      </c>
      <c r="I175" s="2">
        <f t="shared" si="5"/>
        <v>212</v>
      </c>
      <c r="J175" s="8">
        <f>AVERAGE(Table1[[#This Row],[math score]:[writing score]])</f>
        <v>70.666666666666671</v>
      </c>
      <c r="K175" s="2">
        <f t="shared" si="4"/>
        <v>300</v>
      </c>
      <c r="L175" s="4">
        <f>Table1[[#This Row],[Total Score]]/Table1[[#This Row],[Minimum Mark]]</f>
        <v>0.70666666666666667</v>
      </c>
      <c r="M175" s="70" t="str">
        <f>_xlfn.XLOOKUP(Table1[[#This Row],[Pass(%)]],O:O,P:P,,-1)</f>
        <v>C-</v>
      </c>
    </row>
    <row r="176" spans="1:13" x14ac:dyDescent="0.35">
      <c r="A176" s="2" t="s">
        <v>17</v>
      </c>
      <c r="B176" s="2" t="s">
        <v>18</v>
      </c>
      <c r="C176" s="6" t="s">
        <v>22</v>
      </c>
      <c r="D176" s="6" t="s">
        <v>11</v>
      </c>
      <c r="E176" s="6" t="s">
        <v>15</v>
      </c>
      <c r="F176" s="6">
        <v>72</v>
      </c>
      <c r="G176" s="6">
        <v>73</v>
      </c>
      <c r="H176" s="6">
        <v>74</v>
      </c>
      <c r="I176" s="2">
        <f t="shared" si="5"/>
        <v>219</v>
      </c>
      <c r="J176" s="8">
        <f>AVERAGE(Table1[[#This Row],[math score]:[writing score]])</f>
        <v>73</v>
      </c>
      <c r="K176" s="2">
        <f t="shared" si="4"/>
        <v>300</v>
      </c>
      <c r="L176" s="4">
        <f>Table1[[#This Row],[Total Score]]/Table1[[#This Row],[Minimum Mark]]</f>
        <v>0.73</v>
      </c>
      <c r="M176" s="70" t="str">
        <f>_xlfn.XLOOKUP(Table1[[#This Row],[Pass(%)]],O:O,P:P,,-1)</f>
        <v>C</v>
      </c>
    </row>
    <row r="177" spans="1:13" x14ac:dyDescent="0.35">
      <c r="A177" s="2" t="s">
        <v>17</v>
      </c>
      <c r="B177" s="2" t="s">
        <v>24</v>
      </c>
      <c r="C177" s="6" t="s">
        <v>23</v>
      </c>
      <c r="D177" s="6" t="s">
        <v>11</v>
      </c>
      <c r="E177" s="6" t="s">
        <v>12</v>
      </c>
      <c r="F177" s="6">
        <v>94</v>
      </c>
      <c r="G177" s="6">
        <v>88</v>
      </c>
      <c r="H177" s="6">
        <v>78</v>
      </c>
      <c r="I177" s="2">
        <f t="shared" si="5"/>
        <v>260</v>
      </c>
      <c r="J177" s="8">
        <f>AVERAGE(Table1[[#This Row],[math score]:[writing score]])</f>
        <v>86.666666666666671</v>
      </c>
      <c r="K177" s="2">
        <f t="shared" si="4"/>
        <v>300</v>
      </c>
      <c r="L177" s="4">
        <f>Table1[[#This Row],[Total Score]]/Table1[[#This Row],[Minimum Mark]]</f>
        <v>0.8666666666666667</v>
      </c>
      <c r="M177" s="70" t="str">
        <f>_xlfn.XLOOKUP(Table1[[#This Row],[Pass(%)]],O:O,P:P,,-1)</f>
        <v>B</v>
      </c>
    </row>
    <row r="178" spans="1:13" x14ac:dyDescent="0.35">
      <c r="A178" s="2" t="s">
        <v>8</v>
      </c>
      <c r="B178" s="2" t="s">
        <v>21</v>
      </c>
      <c r="C178" s="6" t="s">
        <v>14</v>
      </c>
      <c r="D178" s="6" t="s">
        <v>11</v>
      </c>
      <c r="E178" s="6" t="s">
        <v>12</v>
      </c>
      <c r="F178" s="6">
        <v>79</v>
      </c>
      <c r="G178" s="6">
        <v>86</v>
      </c>
      <c r="H178" s="6">
        <v>81</v>
      </c>
      <c r="I178" s="2">
        <f t="shared" si="5"/>
        <v>246</v>
      </c>
      <c r="J178" s="8">
        <f>AVERAGE(Table1[[#This Row],[math score]:[writing score]])</f>
        <v>82</v>
      </c>
      <c r="K178" s="2">
        <f t="shared" si="4"/>
        <v>300</v>
      </c>
      <c r="L178" s="4">
        <f>Table1[[#This Row],[Total Score]]/Table1[[#This Row],[Minimum Mark]]</f>
        <v>0.82</v>
      </c>
      <c r="M178" s="70" t="str">
        <f>_xlfn.XLOOKUP(Table1[[#This Row],[Pass(%)]],O:O,P:P,,-1)</f>
        <v>B-</v>
      </c>
    </row>
    <row r="179" spans="1:13" ht="20.5" x14ac:dyDescent="0.8">
      <c r="A179" s="3" t="s">
        <v>8</v>
      </c>
      <c r="B179" s="3" t="s">
        <v>13</v>
      </c>
      <c r="C179" s="7" t="s">
        <v>19</v>
      </c>
      <c r="D179" s="7" t="s">
        <v>11</v>
      </c>
      <c r="E179" s="7" t="s">
        <v>12</v>
      </c>
      <c r="F179" s="7">
        <v>63</v>
      </c>
      <c r="G179" s="7">
        <v>67</v>
      </c>
      <c r="H179" s="7">
        <v>70</v>
      </c>
      <c r="I179" s="3">
        <f t="shared" si="5"/>
        <v>200</v>
      </c>
      <c r="J179" s="14">
        <f>AVERAGE(Table1[[#This Row],[math score]:[writing score]])</f>
        <v>66.666666666666671</v>
      </c>
      <c r="K179" s="3">
        <f t="shared" si="4"/>
        <v>300</v>
      </c>
      <c r="L179" s="5">
        <f>Table1[[#This Row],[Total Score]]/Table1[[#This Row],[Minimum Mark]]</f>
        <v>0.66666666666666663</v>
      </c>
      <c r="M179" s="71" t="str">
        <f>_xlfn.XLOOKUP(Table1[[#This Row],[Pass(%)]],O:O,P:P,,-1)</f>
        <v>D+</v>
      </c>
    </row>
    <row r="180" spans="1:13" x14ac:dyDescent="0.35">
      <c r="A180" s="2" t="s">
        <v>8</v>
      </c>
      <c r="B180" s="2" t="s">
        <v>13</v>
      </c>
      <c r="C180" s="6" t="s">
        <v>10</v>
      </c>
      <c r="D180" s="6" t="s">
        <v>20</v>
      </c>
      <c r="E180" s="6" t="s">
        <v>15</v>
      </c>
      <c r="F180" s="6">
        <v>43</v>
      </c>
      <c r="G180" s="6">
        <v>51</v>
      </c>
      <c r="H180" s="6">
        <v>54</v>
      </c>
      <c r="I180" s="2">
        <f t="shared" si="5"/>
        <v>148</v>
      </c>
      <c r="J180" s="8">
        <f>AVERAGE(Table1[[#This Row],[math score]:[writing score]])</f>
        <v>49.333333333333336</v>
      </c>
      <c r="K180" s="2">
        <f t="shared" si="4"/>
        <v>300</v>
      </c>
      <c r="L180" s="4">
        <f>Table1[[#This Row],[Total Score]]/Table1[[#This Row],[Minimum Mark]]</f>
        <v>0.49333333333333335</v>
      </c>
      <c r="M180" s="70" t="str">
        <f>_xlfn.XLOOKUP(Table1[[#This Row],[Pass(%)]],O:O,P:P,,-1)</f>
        <v>D</v>
      </c>
    </row>
    <row r="181" spans="1:13" x14ac:dyDescent="0.35">
      <c r="A181" s="2" t="s">
        <v>8</v>
      </c>
      <c r="B181" s="2" t="s">
        <v>13</v>
      </c>
      <c r="C181" s="6" t="s">
        <v>16</v>
      </c>
      <c r="D181" s="6" t="s">
        <v>11</v>
      </c>
      <c r="E181" s="6" t="s">
        <v>15</v>
      </c>
      <c r="F181" s="6">
        <v>81</v>
      </c>
      <c r="G181" s="6">
        <v>91</v>
      </c>
      <c r="H181" s="6">
        <v>87</v>
      </c>
      <c r="I181" s="2">
        <f t="shared" si="5"/>
        <v>259</v>
      </c>
      <c r="J181" s="8">
        <f>AVERAGE(Table1[[#This Row],[math score]:[writing score]])</f>
        <v>86.333333333333329</v>
      </c>
      <c r="K181" s="2">
        <f t="shared" si="4"/>
        <v>300</v>
      </c>
      <c r="L181" s="4">
        <f>Table1[[#This Row],[Total Score]]/Table1[[#This Row],[Minimum Mark]]</f>
        <v>0.86333333333333329</v>
      </c>
      <c r="M181" s="70" t="str">
        <f>_xlfn.XLOOKUP(Table1[[#This Row],[Pass(%)]],O:O,P:P,,-1)</f>
        <v>B</v>
      </c>
    </row>
    <row r="182" spans="1:13" x14ac:dyDescent="0.35">
      <c r="A182" s="2" t="s">
        <v>8</v>
      </c>
      <c r="B182" s="2" t="s">
        <v>9</v>
      </c>
      <c r="C182" s="6" t="s">
        <v>22</v>
      </c>
      <c r="D182" s="6" t="s">
        <v>20</v>
      </c>
      <c r="E182" s="6" t="s">
        <v>15</v>
      </c>
      <c r="F182" s="6">
        <v>46</v>
      </c>
      <c r="G182" s="6">
        <v>54</v>
      </c>
      <c r="H182" s="6">
        <v>58</v>
      </c>
      <c r="I182" s="2">
        <f t="shared" si="5"/>
        <v>158</v>
      </c>
      <c r="J182" s="8">
        <f>AVERAGE(Table1[[#This Row],[math score]:[writing score]])</f>
        <v>52.666666666666664</v>
      </c>
      <c r="K182" s="2">
        <f t="shared" si="4"/>
        <v>300</v>
      </c>
      <c r="L182" s="4">
        <f>Table1[[#This Row],[Total Score]]/Table1[[#This Row],[Minimum Mark]]</f>
        <v>0.52666666666666662</v>
      </c>
      <c r="M182" s="70" t="str">
        <f>_xlfn.XLOOKUP(Table1[[#This Row],[Pass(%)]],O:O,P:P,,-1)</f>
        <v>D</v>
      </c>
    </row>
    <row r="183" spans="1:13" ht="20.5" x14ac:dyDescent="0.8">
      <c r="A183" s="3" t="s">
        <v>8</v>
      </c>
      <c r="B183" s="3" t="s">
        <v>13</v>
      </c>
      <c r="C183" s="7" t="s">
        <v>19</v>
      </c>
      <c r="D183" s="7" t="s">
        <v>11</v>
      </c>
      <c r="E183" s="7" t="s">
        <v>15</v>
      </c>
      <c r="F183" s="7">
        <v>71</v>
      </c>
      <c r="G183" s="7">
        <v>77</v>
      </c>
      <c r="H183" s="7">
        <v>77</v>
      </c>
      <c r="I183" s="3">
        <f t="shared" si="5"/>
        <v>225</v>
      </c>
      <c r="J183" s="14">
        <f>AVERAGE(Table1[[#This Row],[math score]:[writing score]])</f>
        <v>75</v>
      </c>
      <c r="K183" s="3">
        <f t="shared" si="4"/>
        <v>300</v>
      </c>
      <c r="L183" s="5">
        <f>Table1[[#This Row],[Total Score]]/Table1[[#This Row],[Minimum Mark]]</f>
        <v>0.75</v>
      </c>
      <c r="M183" s="71" t="str">
        <f>_xlfn.XLOOKUP(Table1[[#This Row],[Pass(%)]],O:O,P:P,,-1)</f>
        <v>C</v>
      </c>
    </row>
    <row r="184" spans="1:13" x14ac:dyDescent="0.35">
      <c r="A184" s="2" t="s">
        <v>8</v>
      </c>
      <c r="B184" s="2" t="s">
        <v>9</v>
      </c>
      <c r="C184" s="6" t="s">
        <v>16</v>
      </c>
      <c r="D184" s="6" t="s">
        <v>20</v>
      </c>
      <c r="E184" s="6" t="s">
        <v>15</v>
      </c>
      <c r="F184" s="6">
        <v>52</v>
      </c>
      <c r="G184" s="6">
        <v>70</v>
      </c>
      <c r="H184" s="6">
        <v>62</v>
      </c>
      <c r="I184" s="2">
        <f t="shared" si="5"/>
        <v>184</v>
      </c>
      <c r="J184" s="8">
        <f>AVERAGE(Table1[[#This Row],[math score]:[writing score]])</f>
        <v>61.333333333333336</v>
      </c>
      <c r="K184" s="2">
        <f t="shared" si="4"/>
        <v>300</v>
      </c>
      <c r="L184" s="4">
        <f>Table1[[#This Row],[Total Score]]/Table1[[#This Row],[Minimum Mark]]</f>
        <v>0.61333333333333329</v>
      </c>
      <c r="M184" s="70" t="str">
        <f>_xlfn.XLOOKUP(Table1[[#This Row],[Pass(%)]],O:O,P:P,,-1)</f>
        <v>D+</v>
      </c>
    </row>
    <row r="185" spans="1:13" x14ac:dyDescent="0.35">
      <c r="A185" s="2" t="s">
        <v>8</v>
      </c>
      <c r="B185" s="2" t="s">
        <v>21</v>
      </c>
      <c r="C185" s="6" t="s">
        <v>23</v>
      </c>
      <c r="D185" s="6" t="s">
        <v>11</v>
      </c>
      <c r="E185" s="6" t="s">
        <v>15</v>
      </c>
      <c r="F185" s="6">
        <v>97</v>
      </c>
      <c r="G185" s="6">
        <v>100</v>
      </c>
      <c r="H185" s="6">
        <v>100</v>
      </c>
      <c r="I185" s="2">
        <f t="shared" si="5"/>
        <v>297</v>
      </c>
      <c r="J185" s="8">
        <f>AVERAGE(Table1[[#This Row],[math score]:[writing score]])</f>
        <v>99</v>
      </c>
      <c r="K185" s="2">
        <f t="shared" si="4"/>
        <v>300</v>
      </c>
      <c r="L185" s="4">
        <f>Table1[[#This Row],[Total Score]]/Table1[[#This Row],[Minimum Mark]]</f>
        <v>0.99</v>
      </c>
      <c r="M185" s="70" t="str">
        <f>_xlfn.XLOOKUP(Table1[[#This Row],[Pass(%)]],O:O,P:P,,-1)</f>
        <v>A+</v>
      </c>
    </row>
    <row r="186" spans="1:13" x14ac:dyDescent="0.35">
      <c r="A186" s="2" t="s">
        <v>17</v>
      </c>
      <c r="B186" s="2" t="s">
        <v>13</v>
      </c>
      <c r="C186" s="6" t="s">
        <v>16</v>
      </c>
      <c r="D186" s="6" t="s">
        <v>20</v>
      </c>
      <c r="E186" s="6" t="s">
        <v>15</v>
      </c>
      <c r="F186" s="6">
        <v>62</v>
      </c>
      <c r="G186" s="6">
        <v>68</v>
      </c>
      <c r="H186" s="6">
        <v>75</v>
      </c>
      <c r="I186" s="2">
        <f t="shared" si="5"/>
        <v>205</v>
      </c>
      <c r="J186" s="8">
        <f>AVERAGE(Table1[[#This Row],[math score]:[writing score]])</f>
        <v>68.333333333333329</v>
      </c>
      <c r="K186" s="2">
        <f t="shared" si="4"/>
        <v>300</v>
      </c>
      <c r="L186" s="4">
        <f>Table1[[#This Row],[Total Score]]/Table1[[#This Row],[Minimum Mark]]</f>
        <v>0.68333333333333335</v>
      </c>
      <c r="M186" s="70" t="str">
        <f>_xlfn.XLOOKUP(Table1[[#This Row],[Pass(%)]],O:O,P:P,,-1)</f>
        <v>D+</v>
      </c>
    </row>
    <row r="187" spans="1:13" x14ac:dyDescent="0.35">
      <c r="A187" s="2" t="s">
        <v>8</v>
      </c>
      <c r="B187" s="2" t="s">
        <v>13</v>
      </c>
      <c r="C187" s="6" t="s">
        <v>14</v>
      </c>
      <c r="D187" s="6" t="s">
        <v>20</v>
      </c>
      <c r="E187" s="6" t="s">
        <v>12</v>
      </c>
      <c r="F187" s="6">
        <v>46</v>
      </c>
      <c r="G187" s="6">
        <v>64</v>
      </c>
      <c r="H187" s="6">
        <v>66</v>
      </c>
      <c r="I187" s="2">
        <f t="shared" si="5"/>
        <v>176</v>
      </c>
      <c r="J187" s="8">
        <f>AVERAGE(Table1[[#This Row],[math score]:[writing score]])</f>
        <v>58.666666666666664</v>
      </c>
      <c r="K187" s="2">
        <f t="shared" si="4"/>
        <v>300</v>
      </c>
      <c r="L187" s="4">
        <f>Table1[[#This Row],[Total Score]]/Table1[[#This Row],[Minimum Mark]]</f>
        <v>0.58666666666666667</v>
      </c>
      <c r="M187" s="70" t="str">
        <f>_xlfn.XLOOKUP(Table1[[#This Row],[Pass(%)]],O:O,P:P,,-1)</f>
        <v>D+</v>
      </c>
    </row>
    <row r="188" spans="1:13" x14ac:dyDescent="0.35">
      <c r="A188" s="2" t="s">
        <v>8</v>
      </c>
      <c r="B188" s="2" t="s">
        <v>24</v>
      </c>
      <c r="C188" s="6" t="s">
        <v>22</v>
      </c>
      <c r="D188" s="6" t="s">
        <v>11</v>
      </c>
      <c r="E188" s="6" t="s">
        <v>12</v>
      </c>
      <c r="F188" s="6">
        <v>50</v>
      </c>
      <c r="G188" s="6">
        <v>50</v>
      </c>
      <c r="H188" s="6">
        <v>47</v>
      </c>
      <c r="I188" s="2">
        <f t="shared" si="5"/>
        <v>147</v>
      </c>
      <c r="J188" s="8">
        <f>AVERAGE(Table1[[#This Row],[math score]:[writing score]])</f>
        <v>49</v>
      </c>
      <c r="K188" s="2">
        <f t="shared" si="4"/>
        <v>300</v>
      </c>
      <c r="L188" s="4">
        <f>Table1[[#This Row],[Total Score]]/Table1[[#This Row],[Minimum Mark]]</f>
        <v>0.49</v>
      </c>
      <c r="M188" s="70" t="str">
        <f>_xlfn.XLOOKUP(Table1[[#This Row],[Pass(%)]],O:O,P:P,,-1)</f>
        <v>D</v>
      </c>
    </row>
    <row r="189" spans="1:13" ht="20.5" x14ac:dyDescent="0.8">
      <c r="A189" s="3" t="s">
        <v>8</v>
      </c>
      <c r="B189" s="3" t="s">
        <v>21</v>
      </c>
      <c r="C189" s="7" t="s">
        <v>19</v>
      </c>
      <c r="D189" s="7" t="s">
        <v>11</v>
      </c>
      <c r="E189" s="7" t="s">
        <v>12</v>
      </c>
      <c r="F189" s="7">
        <v>65</v>
      </c>
      <c r="G189" s="7">
        <v>69</v>
      </c>
      <c r="H189" s="7">
        <v>70</v>
      </c>
      <c r="I189" s="3">
        <f t="shared" si="5"/>
        <v>204</v>
      </c>
      <c r="J189" s="14">
        <f>AVERAGE(Table1[[#This Row],[math score]:[writing score]])</f>
        <v>68</v>
      </c>
      <c r="K189" s="3">
        <f t="shared" si="4"/>
        <v>300</v>
      </c>
      <c r="L189" s="5">
        <f>Table1[[#This Row],[Total Score]]/Table1[[#This Row],[Minimum Mark]]</f>
        <v>0.68</v>
      </c>
      <c r="M189" s="71" t="str">
        <f>_xlfn.XLOOKUP(Table1[[#This Row],[Pass(%)]],O:O,P:P,,-1)</f>
        <v>D+</v>
      </c>
    </row>
    <row r="190" spans="1:13" x14ac:dyDescent="0.35">
      <c r="A190" s="2" t="s">
        <v>17</v>
      </c>
      <c r="B190" s="2" t="s">
        <v>13</v>
      </c>
      <c r="C190" s="6" t="s">
        <v>23</v>
      </c>
      <c r="D190" s="6" t="s">
        <v>20</v>
      </c>
      <c r="E190" s="6" t="s">
        <v>15</v>
      </c>
      <c r="F190" s="6">
        <v>45</v>
      </c>
      <c r="G190" s="6">
        <v>52</v>
      </c>
      <c r="H190" s="6">
        <v>49</v>
      </c>
      <c r="I190" s="2">
        <f t="shared" si="5"/>
        <v>146</v>
      </c>
      <c r="J190" s="8">
        <f>AVERAGE(Table1[[#This Row],[math score]:[writing score]])</f>
        <v>48.666666666666664</v>
      </c>
      <c r="K190" s="2">
        <f t="shared" si="4"/>
        <v>300</v>
      </c>
      <c r="L190" s="4">
        <f>Table1[[#This Row],[Total Score]]/Table1[[#This Row],[Minimum Mark]]</f>
        <v>0.48666666666666669</v>
      </c>
      <c r="M190" s="70" t="str">
        <f>_xlfn.XLOOKUP(Table1[[#This Row],[Pass(%)]],O:O,P:P,,-1)</f>
        <v>D</v>
      </c>
    </row>
    <row r="191" spans="1:13" ht="20.5" x14ac:dyDescent="0.8">
      <c r="A191" s="3" t="s">
        <v>17</v>
      </c>
      <c r="B191" s="3" t="s">
        <v>13</v>
      </c>
      <c r="C191" s="7" t="s">
        <v>19</v>
      </c>
      <c r="D191" s="7" t="s">
        <v>20</v>
      </c>
      <c r="E191" s="7" t="s">
        <v>15</v>
      </c>
      <c r="F191" s="7">
        <v>65</v>
      </c>
      <c r="G191" s="7">
        <v>67</v>
      </c>
      <c r="H191" s="7">
        <v>65</v>
      </c>
      <c r="I191" s="3">
        <f t="shared" si="5"/>
        <v>197</v>
      </c>
      <c r="J191" s="14">
        <f>AVERAGE(Table1[[#This Row],[math score]:[writing score]])</f>
        <v>65.666666666666671</v>
      </c>
      <c r="K191" s="3">
        <f t="shared" si="4"/>
        <v>300</v>
      </c>
      <c r="L191" s="5">
        <f>Table1[[#This Row],[Total Score]]/Table1[[#This Row],[Minimum Mark]]</f>
        <v>0.65666666666666662</v>
      </c>
      <c r="M191" s="71" t="str">
        <f>_xlfn.XLOOKUP(Table1[[#This Row],[Pass(%)]],O:O,P:P,,-1)</f>
        <v>D+</v>
      </c>
    </row>
    <row r="192" spans="1:13" x14ac:dyDescent="0.35">
      <c r="A192" s="2" t="s">
        <v>17</v>
      </c>
      <c r="B192" s="2" t="s">
        <v>24</v>
      </c>
      <c r="C192" s="6" t="s">
        <v>22</v>
      </c>
      <c r="D192" s="6" t="s">
        <v>11</v>
      </c>
      <c r="E192" s="6" t="s">
        <v>12</v>
      </c>
      <c r="F192" s="6">
        <v>80</v>
      </c>
      <c r="G192" s="6">
        <v>76</v>
      </c>
      <c r="H192" s="6">
        <v>65</v>
      </c>
      <c r="I192" s="2">
        <f t="shared" si="5"/>
        <v>221</v>
      </c>
      <c r="J192" s="8">
        <f>AVERAGE(Table1[[#This Row],[math score]:[writing score]])</f>
        <v>73.666666666666671</v>
      </c>
      <c r="K192" s="2">
        <f t="shared" si="4"/>
        <v>300</v>
      </c>
      <c r="L192" s="4">
        <f>Table1[[#This Row],[Total Score]]/Table1[[#This Row],[Minimum Mark]]</f>
        <v>0.73666666666666669</v>
      </c>
      <c r="M192" s="70" t="str">
        <f>_xlfn.XLOOKUP(Table1[[#This Row],[Pass(%)]],O:O,P:P,,-1)</f>
        <v>C</v>
      </c>
    </row>
    <row r="193" spans="1:13" x14ac:dyDescent="0.35">
      <c r="A193" s="2" t="s">
        <v>17</v>
      </c>
      <c r="B193" s="2" t="s">
        <v>21</v>
      </c>
      <c r="C193" s="6" t="s">
        <v>23</v>
      </c>
      <c r="D193" s="6" t="s">
        <v>11</v>
      </c>
      <c r="E193" s="6" t="s">
        <v>15</v>
      </c>
      <c r="F193" s="6">
        <v>62</v>
      </c>
      <c r="G193" s="6">
        <v>66</v>
      </c>
      <c r="H193" s="6">
        <v>68</v>
      </c>
      <c r="I193" s="2">
        <f t="shared" si="5"/>
        <v>196</v>
      </c>
      <c r="J193" s="8">
        <f>AVERAGE(Table1[[#This Row],[math score]:[writing score]])</f>
        <v>65.333333333333329</v>
      </c>
      <c r="K193" s="2">
        <f t="shared" si="4"/>
        <v>300</v>
      </c>
      <c r="L193" s="4">
        <f>Table1[[#This Row],[Total Score]]/Table1[[#This Row],[Minimum Mark]]</f>
        <v>0.65333333333333332</v>
      </c>
      <c r="M193" s="70" t="str">
        <f>_xlfn.XLOOKUP(Table1[[#This Row],[Pass(%)]],O:O,P:P,,-1)</f>
        <v>D+</v>
      </c>
    </row>
    <row r="194" spans="1:13" x14ac:dyDescent="0.35">
      <c r="A194" s="2" t="s">
        <v>17</v>
      </c>
      <c r="B194" s="2" t="s">
        <v>9</v>
      </c>
      <c r="C194" s="6" t="s">
        <v>23</v>
      </c>
      <c r="D194" s="6" t="s">
        <v>20</v>
      </c>
      <c r="E194" s="6" t="s">
        <v>12</v>
      </c>
      <c r="F194" s="6">
        <v>48</v>
      </c>
      <c r="G194" s="6">
        <v>52</v>
      </c>
      <c r="H194" s="6">
        <v>45</v>
      </c>
      <c r="I194" s="2">
        <f t="shared" si="5"/>
        <v>145</v>
      </c>
      <c r="J194" s="8">
        <f>AVERAGE(Table1[[#This Row],[math score]:[writing score]])</f>
        <v>48.333333333333336</v>
      </c>
      <c r="K194" s="2">
        <f t="shared" si="4"/>
        <v>300</v>
      </c>
      <c r="L194" s="4">
        <f>Table1[[#This Row],[Total Score]]/Table1[[#This Row],[Minimum Mark]]</f>
        <v>0.48333333333333334</v>
      </c>
      <c r="M194" s="70" t="str">
        <f>_xlfn.XLOOKUP(Table1[[#This Row],[Pass(%)]],O:O,P:P,,-1)</f>
        <v>D</v>
      </c>
    </row>
    <row r="195" spans="1:13" x14ac:dyDescent="0.35">
      <c r="A195" s="2" t="s">
        <v>8</v>
      </c>
      <c r="B195" s="2" t="s">
        <v>13</v>
      </c>
      <c r="C195" s="6" t="s">
        <v>10</v>
      </c>
      <c r="D195" s="6" t="s">
        <v>11</v>
      </c>
      <c r="E195" s="6" t="s">
        <v>12</v>
      </c>
      <c r="F195" s="6">
        <v>77</v>
      </c>
      <c r="G195" s="6">
        <v>88</v>
      </c>
      <c r="H195" s="6">
        <v>87</v>
      </c>
      <c r="I195" s="2">
        <f t="shared" si="5"/>
        <v>252</v>
      </c>
      <c r="J195" s="8">
        <f>AVERAGE(Table1[[#This Row],[math score]:[writing score]])</f>
        <v>84</v>
      </c>
      <c r="K195" s="2">
        <f t="shared" si="4"/>
        <v>300</v>
      </c>
      <c r="L195" s="4">
        <f>Table1[[#This Row],[Total Score]]/Table1[[#This Row],[Minimum Mark]]</f>
        <v>0.84</v>
      </c>
      <c r="M195" s="70" t="str">
        <f>_xlfn.XLOOKUP(Table1[[#This Row],[Pass(%)]],O:O,P:P,,-1)</f>
        <v>B</v>
      </c>
    </row>
    <row r="196" spans="1:13" ht="20.5" x14ac:dyDescent="0.8">
      <c r="A196" s="3" t="s">
        <v>8</v>
      </c>
      <c r="B196" s="3" t="s">
        <v>24</v>
      </c>
      <c r="C196" s="7" t="s">
        <v>19</v>
      </c>
      <c r="D196" s="7" t="s">
        <v>11</v>
      </c>
      <c r="E196" s="7" t="s">
        <v>12</v>
      </c>
      <c r="F196" s="7">
        <v>66</v>
      </c>
      <c r="G196" s="7">
        <v>65</v>
      </c>
      <c r="H196" s="7">
        <v>69</v>
      </c>
      <c r="I196" s="3">
        <f t="shared" si="5"/>
        <v>200</v>
      </c>
      <c r="J196" s="14">
        <f>AVERAGE(Table1[[#This Row],[math score]:[writing score]])</f>
        <v>66.666666666666671</v>
      </c>
      <c r="K196" s="3">
        <f t="shared" si="4"/>
        <v>300</v>
      </c>
      <c r="L196" s="5">
        <f>Table1[[#This Row],[Total Score]]/Table1[[#This Row],[Minimum Mark]]</f>
        <v>0.66666666666666663</v>
      </c>
      <c r="M196" s="71" t="str">
        <f>_xlfn.XLOOKUP(Table1[[#This Row],[Pass(%)]],O:O,P:P,,-1)</f>
        <v>D+</v>
      </c>
    </row>
    <row r="197" spans="1:13" x14ac:dyDescent="0.35">
      <c r="A197" s="2" t="s">
        <v>17</v>
      </c>
      <c r="B197" s="2" t="s">
        <v>21</v>
      </c>
      <c r="C197" s="6" t="s">
        <v>14</v>
      </c>
      <c r="D197" s="6" t="s">
        <v>11</v>
      </c>
      <c r="E197" s="6" t="s">
        <v>15</v>
      </c>
      <c r="F197" s="6">
        <v>76</v>
      </c>
      <c r="G197" s="6">
        <v>83</v>
      </c>
      <c r="H197" s="6">
        <v>79</v>
      </c>
      <c r="I197" s="2">
        <f t="shared" si="5"/>
        <v>238</v>
      </c>
      <c r="J197" s="8">
        <f>AVERAGE(Table1[[#This Row],[math score]:[writing score]])</f>
        <v>79.333333333333329</v>
      </c>
      <c r="K197" s="2">
        <f t="shared" si="4"/>
        <v>300</v>
      </c>
      <c r="L197" s="4">
        <f>Table1[[#This Row],[Total Score]]/Table1[[#This Row],[Minimum Mark]]</f>
        <v>0.79333333333333333</v>
      </c>
      <c r="M197" s="70" t="str">
        <f>_xlfn.XLOOKUP(Table1[[#This Row],[Pass(%)]],O:O,P:P,,-1)</f>
        <v>C+</v>
      </c>
    </row>
    <row r="198" spans="1:13" x14ac:dyDescent="0.35">
      <c r="A198" s="2" t="s">
        <v>8</v>
      </c>
      <c r="B198" s="2" t="s">
        <v>9</v>
      </c>
      <c r="C198" s="6" t="s">
        <v>23</v>
      </c>
      <c r="D198" s="6" t="s">
        <v>11</v>
      </c>
      <c r="E198" s="6" t="s">
        <v>12</v>
      </c>
      <c r="F198" s="6">
        <v>62</v>
      </c>
      <c r="G198" s="6">
        <v>64</v>
      </c>
      <c r="H198" s="6">
        <v>66</v>
      </c>
      <c r="I198" s="2">
        <f t="shared" si="5"/>
        <v>192</v>
      </c>
      <c r="J198" s="8">
        <f>AVERAGE(Table1[[#This Row],[math score]:[writing score]])</f>
        <v>64</v>
      </c>
      <c r="K198" s="2">
        <f t="shared" ref="K198:K261" si="6">3*100</f>
        <v>300</v>
      </c>
      <c r="L198" s="4">
        <f>Table1[[#This Row],[Total Score]]/Table1[[#This Row],[Minimum Mark]]</f>
        <v>0.64</v>
      </c>
      <c r="M198" s="70" t="str">
        <f>_xlfn.XLOOKUP(Table1[[#This Row],[Pass(%)]],O:O,P:P,,-1)</f>
        <v>D+</v>
      </c>
    </row>
    <row r="199" spans="1:13" x14ac:dyDescent="0.35">
      <c r="A199" s="2" t="s">
        <v>17</v>
      </c>
      <c r="B199" s="2" t="s">
        <v>21</v>
      </c>
      <c r="C199" s="6" t="s">
        <v>14</v>
      </c>
      <c r="D199" s="6" t="s">
        <v>11</v>
      </c>
      <c r="E199" s="6" t="s">
        <v>15</v>
      </c>
      <c r="F199" s="6">
        <v>77</v>
      </c>
      <c r="G199" s="6">
        <v>62</v>
      </c>
      <c r="H199" s="6">
        <v>62</v>
      </c>
      <c r="I199" s="2">
        <f t="shared" ref="I199:I262" si="7">SUM(F199:H199)</f>
        <v>201</v>
      </c>
      <c r="J199" s="8">
        <f>AVERAGE(Table1[[#This Row],[math score]:[writing score]])</f>
        <v>67</v>
      </c>
      <c r="K199" s="2">
        <f t="shared" si="6"/>
        <v>300</v>
      </c>
      <c r="L199" s="4">
        <f>Table1[[#This Row],[Total Score]]/Table1[[#This Row],[Minimum Mark]]</f>
        <v>0.67</v>
      </c>
      <c r="M199" s="70" t="str">
        <f>_xlfn.XLOOKUP(Table1[[#This Row],[Pass(%)]],O:O,P:P,,-1)</f>
        <v>D+</v>
      </c>
    </row>
    <row r="200" spans="1:13" x14ac:dyDescent="0.35">
      <c r="A200" s="2" t="s">
        <v>8</v>
      </c>
      <c r="B200" s="2" t="s">
        <v>13</v>
      </c>
      <c r="C200" s="6" t="s">
        <v>16</v>
      </c>
      <c r="D200" s="6" t="s">
        <v>11</v>
      </c>
      <c r="E200" s="6" t="s">
        <v>15</v>
      </c>
      <c r="F200" s="6">
        <v>69</v>
      </c>
      <c r="G200" s="6">
        <v>84</v>
      </c>
      <c r="H200" s="6">
        <v>85</v>
      </c>
      <c r="I200" s="2">
        <f t="shared" si="7"/>
        <v>238</v>
      </c>
      <c r="J200" s="8">
        <f>AVERAGE(Table1[[#This Row],[math score]:[writing score]])</f>
        <v>79.333333333333329</v>
      </c>
      <c r="K200" s="2">
        <f t="shared" si="6"/>
        <v>300</v>
      </c>
      <c r="L200" s="4">
        <f>Table1[[#This Row],[Total Score]]/Table1[[#This Row],[Minimum Mark]]</f>
        <v>0.79333333333333333</v>
      </c>
      <c r="M200" s="70" t="str">
        <f>_xlfn.XLOOKUP(Table1[[#This Row],[Pass(%)]],O:O,P:P,,-1)</f>
        <v>C+</v>
      </c>
    </row>
    <row r="201" spans="1:13" ht="20.5" x14ac:dyDescent="0.8">
      <c r="A201" s="3" t="s">
        <v>17</v>
      </c>
      <c r="B201" s="3" t="s">
        <v>21</v>
      </c>
      <c r="C201" s="7" t="s">
        <v>19</v>
      </c>
      <c r="D201" s="7" t="s">
        <v>11</v>
      </c>
      <c r="E201" s="7" t="s">
        <v>12</v>
      </c>
      <c r="F201" s="7">
        <v>61</v>
      </c>
      <c r="G201" s="7">
        <v>55</v>
      </c>
      <c r="H201" s="7">
        <v>52</v>
      </c>
      <c r="I201" s="3">
        <f t="shared" si="7"/>
        <v>168</v>
      </c>
      <c r="J201" s="14">
        <f>AVERAGE(Table1[[#This Row],[math score]:[writing score]])</f>
        <v>56</v>
      </c>
      <c r="K201" s="3">
        <f t="shared" si="6"/>
        <v>300</v>
      </c>
      <c r="L201" s="5">
        <f>Table1[[#This Row],[Total Score]]/Table1[[#This Row],[Minimum Mark]]</f>
        <v>0.56000000000000005</v>
      </c>
      <c r="M201" s="71" t="str">
        <f>_xlfn.XLOOKUP(Table1[[#This Row],[Pass(%)]],O:O,P:P,,-1)</f>
        <v>D+</v>
      </c>
    </row>
    <row r="202" spans="1:13" x14ac:dyDescent="0.35">
      <c r="A202" s="2" t="s">
        <v>17</v>
      </c>
      <c r="B202" s="2" t="s">
        <v>13</v>
      </c>
      <c r="C202" s="6" t="s">
        <v>23</v>
      </c>
      <c r="D202" s="6" t="s">
        <v>20</v>
      </c>
      <c r="E202" s="6" t="s">
        <v>15</v>
      </c>
      <c r="F202" s="6">
        <v>59</v>
      </c>
      <c r="G202" s="6">
        <v>69</v>
      </c>
      <c r="H202" s="6">
        <v>65</v>
      </c>
      <c r="I202" s="2">
        <f t="shared" si="7"/>
        <v>193</v>
      </c>
      <c r="J202" s="8">
        <f>AVERAGE(Table1[[#This Row],[math score]:[writing score]])</f>
        <v>64.333333333333329</v>
      </c>
      <c r="K202" s="2">
        <f t="shared" si="6"/>
        <v>300</v>
      </c>
      <c r="L202" s="4">
        <f>Table1[[#This Row],[Total Score]]/Table1[[#This Row],[Minimum Mark]]</f>
        <v>0.64333333333333331</v>
      </c>
      <c r="M202" s="70" t="str">
        <f>_xlfn.XLOOKUP(Table1[[#This Row],[Pass(%)]],O:O,P:P,,-1)</f>
        <v>D+</v>
      </c>
    </row>
    <row r="203" spans="1:13" x14ac:dyDescent="0.35">
      <c r="A203" s="2" t="s">
        <v>17</v>
      </c>
      <c r="B203" s="2" t="s">
        <v>24</v>
      </c>
      <c r="C203" s="6" t="s">
        <v>22</v>
      </c>
      <c r="D203" s="6" t="s">
        <v>20</v>
      </c>
      <c r="E203" s="6" t="s">
        <v>12</v>
      </c>
      <c r="F203" s="6">
        <v>55</v>
      </c>
      <c r="G203" s="6">
        <v>56</v>
      </c>
      <c r="H203" s="6">
        <v>51</v>
      </c>
      <c r="I203" s="2">
        <f t="shared" si="7"/>
        <v>162</v>
      </c>
      <c r="J203" s="8">
        <f>AVERAGE(Table1[[#This Row],[math score]:[writing score]])</f>
        <v>54</v>
      </c>
      <c r="K203" s="2">
        <f t="shared" si="6"/>
        <v>300</v>
      </c>
      <c r="L203" s="4">
        <f>Table1[[#This Row],[Total Score]]/Table1[[#This Row],[Minimum Mark]]</f>
        <v>0.54</v>
      </c>
      <c r="M203" s="70" t="str">
        <f>_xlfn.XLOOKUP(Table1[[#This Row],[Pass(%)]],O:O,P:P,,-1)</f>
        <v>D+</v>
      </c>
    </row>
    <row r="204" spans="1:13" x14ac:dyDescent="0.35">
      <c r="A204" s="2" t="s">
        <v>8</v>
      </c>
      <c r="B204" s="2" t="s">
        <v>9</v>
      </c>
      <c r="C204" s="6" t="s">
        <v>14</v>
      </c>
      <c r="D204" s="6" t="s">
        <v>20</v>
      </c>
      <c r="E204" s="6" t="s">
        <v>12</v>
      </c>
      <c r="F204" s="6">
        <v>45</v>
      </c>
      <c r="G204" s="6">
        <v>53</v>
      </c>
      <c r="H204" s="6">
        <v>55</v>
      </c>
      <c r="I204" s="2">
        <f t="shared" si="7"/>
        <v>153</v>
      </c>
      <c r="J204" s="8">
        <f>AVERAGE(Table1[[#This Row],[math score]:[writing score]])</f>
        <v>51</v>
      </c>
      <c r="K204" s="2">
        <f t="shared" si="6"/>
        <v>300</v>
      </c>
      <c r="L204" s="4">
        <f>Table1[[#This Row],[Total Score]]/Table1[[#This Row],[Minimum Mark]]</f>
        <v>0.51</v>
      </c>
      <c r="M204" s="70" t="str">
        <f>_xlfn.XLOOKUP(Table1[[#This Row],[Pass(%)]],O:O,P:P,,-1)</f>
        <v>D</v>
      </c>
    </row>
    <row r="205" spans="1:13" x14ac:dyDescent="0.35">
      <c r="A205" s="2" t="s">
        <v>8</v>
      </c>
      <c r="B205" s="2" t="s">
        <v>9</v>
      </c>
      <c r="C205" s="6" t="s">
        <v>10</v>
      </c>
      <c r="D205" s="6" t="s">
        <v>20</v>
      </c>
      <c r="E205" s="6" t="s">
        <v>12</v>
      </c>
      <c r="F205" s="6">
        <v>78</v>
      </c>
      <c r="G205" s="6">
        <v>79</v>
      </c>
      <c r="H205" s="6">
        <v>76</v>
      </c>
      <c r="I205" s="2">
        <f t="shared" si="7"/>
        <v>233</v>
      </c>
      <c r="J205" s="8">
        <f>AVERAGE(Table1[[#This Row],[math score]:[writing score]])</f>
        <v>77.666666666666671</v>
      </c>
      <c r="K205" s="2">
        <f t="shared" si="6"/>
        <v>300</v>
      </c>
      <c r="L205" s="4">
        <f>Table1[[#This Row],[Total Score]]/Table1[[#This Row],[Minimum Mark]]</f>
        <v>0.77666666666666662</v>
      </c>
      <c r="M205" s="70" t="str">
        <f>_xlfn.XLOOKUP(Table1[[#This Row],[Pass(%)]],O:O,P:P,,-1)</f>
        <v>C+</v>
      </c>
    </row>
    <row r="206" spans="1:13" ht="20.5" x14ac:dyDescent="0.8">
      <c r="A206" s="3" t="s">
        <v>8</v>
      </c>
      <c r="B206" s="3" t="s">
        <v>13</v>
      </c>
      <c r="C206" s="7" t="s">
        <v>19</v>
      </c>
      <c r="D206" s="7" t="s">
        <v>11</v>
      </c>
      <c r="E206" s="7" t="s">
        <v>15</v>
      </c>
      <c r="F206" s="7">
        <v>67</v>
      </c>
      <c r="G206" s="7">
        <v>84</v>
      </c>
      <c r="H206" s="7">
        <v>86</v>
      </c>
      <c r="I206" s="3">
        <f t="shared" si="7"/>
        <v>237</v>
      </c>
      <c r="J206" s="14">
        <f>AVERAGE(Table1[[#This Row],[math score]:[writing score]])</f>
        <v>79</v>
      </c>
      <c r="K206" s="3">
        <f t="shared" si="6"/>
        <v>300</v>
      </c>
      <c r="L206" s="5">
        <f>Table1[[#This Row],[Total Score]]/Table1[[#This Row],[Minimum Mark]]</f>
        <v>0.79</v>
      </c>
      <c r="M206" s="71" t="str">
        <f>_xlfn.XLOOKUP(Table1[[#This Row],[Pass(%)]],O:O,P:P,,-1)</f>
        <v>C+</v>
      </c>
    </row>
    <row r="207" spans="1:13" x14ac:dyDescent="0.35">
      <c r="A207" s="2" t="s">
        <v>8</v>
      </c>
      <c r="B207" s="2" t="s">
        <v>21</v>
      </c>
      <c r="C207" s="6" t="s">
        <v>14</v>
      </c>
      <c r="D207" s="6" t="s">
        <v>20</v>
      </c>
      <c r="E207" s="6" t="s">
        <v>12</v>
      </c>
      <c r="F207" s="6">
        <v>65</v>
      </c>
      <c r="G207" s="6">
        <v>81</v>
      </c>
      <c r="H207" s="6">
        <v>77</v>
      </c>
      <c r="I207" s="2">
        <f t="shared" si="7"/>
        <v>223</v>
      </c>
      <c r="J207" s="8">
        <f>AVERAGE(Table1[[#This Row],[math score]:[writing score]])</f>
        <v>74.333333333333329</v>
      </c>
      <c r="K207" s="2">
        <f t="shared" si="6"/>
        <v>300</v>
      </c>
      <c r="L207" s="4">
        <f>Table1[[#This Row],[Total Score]]/Table1[[#This Row],[Minimum Mark]]</f>
        <v>0.74333333333333329</v>
      </c>
      <c r="M207" s="70" t="str">
        <f>_xlfn.XLOOKUP(Table1[[#This Row],[Pass(%)]],O:O,P:P,,-1)</f>
        <v>C</v>
      </c>
    </row>
    <row r="208" spans="1:13" ht="20.5" x14ac:dyDescent="0.8">
      <c r="A208" s="3" t="s">
        <v>17</v>
      </c>
      <c r="B208" s="3" t="s">
        <v>13</v>
      </c>
      <c r="C208" s="7" t="s">
        <v>19</v>
      </c>
      <c r="D208" s="7" t="s">
        <v>11</v>
      </c>
      <c r="E208" s="7" t="s">
        <v>12</v>
      </c>
      <c r="F208" s="7">
        <v>69</v>
      </c>
      <c r="G208" s="7">
        <v>77</v>
      </c>
      <c r="H208" s="7">
        <v>69</v>
      </c>
      <c r="I208" s="3">
        <f t="shared" si="7"/>
        <v>215</v>
      </c>
      <c r="J208" s="14">
        <f>AVERAGE(Table1[[#This Row],[math score]:[writing score]])</f>
        <v>71.666666666666671</v>
      </c>
      <c r="K208" s="3">
        <f t="shared" si="6"/>
        <v>300</v>
      </c>
      <c r="L208" s="5">
        <f>Table1[[#This Row],[Total Score]]/Table1[[#This Row],[Minimum Mark]]</f>
        <v>0.71666666666666667</v>
      </c>
      <c r="M208" s="71" t="str">
        <f>_xlfn.XLOOKUP(Table1[[#This Row],[Pass(%)]],O:O,P:P,,-1)</f>
        <v>C-</v>
      </c>
    </row>
    <row r="209" spans="1:13" ht="20.5" x14ac:dyDescent="0.8">
      <c r="A209" s="3" t="s">
        <v>8</v>
      </c>
      <c r="B209" s="3" t="s">
        <v>9</v>
      </c>
      <c r="C209" s="7" t="s">
        <v>19</v>
      </c>
      <c r="D209" s="7" t="s">
        <v>11</v>
      </c>
      <c r="E209" s="7" t="s">
        <v>12</v>
      </c>
      <c r="F209" s="7">
        <v>57</v>
      </c>
      <c r="G209" s="7">
        <v>69</v>
      </c>
      <c r="H209" s="7">
        <v>68</v>
      </c>
      <c r="I209" s="3">
        <f t="shared" si="7"/>
        <v>194</v>
      </c>
      <c r="J209" s="14">
        <f>AVERAGE(Table1[[#This Row],[math score]:[writing score]])</f>
        <v>64.666666666666671</v>
      </c>
      <c r="K209" s="3">
        <f t="shared" si="6"/>
        <v>300</v>
      </c>
      <c r="L209" s="5">
        <f>Table1[[#This Row],[Total Score]]/Table1[[#This Row],[Minimum Mark]]</f>
        <v>0.64666666666666661</v>
      </c>
      <c r="M209" s="71" t="str">
        <f>_xlfn.XLOOKUP(Table1[[#This Row],[Pass(%)]],O:O,P:P,,-1)</f>
        <v>D+</v>
      </c>
    </row>
    <row r="210" spans="1:13" x14ac:dyDescent="0.35">
      <c r="A210" s="2" t="s">
        <v>17</v>
      </c>
      <c r="B210" s="2" t="s">
        <v>13</v>
      </c>
      <c r="C210" s="6" t="s">
        <v>14</v>
      </c>
      <c r="D210" s="6" t="s">
        <v>11</v>
      </c>
      <c r="E210" s="6" t="s">
        <v>12</v>
      </c>
      <c r="F210" s="6">
        <v>59</v>
      </c>
      <c r="G210" s="6">
        <v>41</v>
      </c>
      <c r="H210" s="6">
        <v>42</v>
      </c>
      <c r="I210" s="2">
        <f t="shared" si="7"/>
        <v>142</v>
      </c>
      <c r="J210" s="8">
        <f>AVERAGE(Table1[[#This Row],[math score]:[writing score]])</f>
        <v>47.333333333333336</v>
      </c>
      <c r="K210" s="2">
        <f t="shared" si="6"/>
        <v>300</v>
      </c>
      <c r="L210" s="4">
        <f>Table1[[#This Row],[Total Score]]/Table1[[#This Row],[Minimum Mark]]</f>
        <v>0.47333333333333333</v>
      </c>
      <c r="M210" s="70" t="str">
        <f>_xlfn.XLOOKUP(Table1[[#This Row],[Pass(%)]],O:O,P:P,,-1)</f>
        <v>D</v>
      </c>
    </row>
    <row r="211" spans="1:13" x14ac:dyDescent="0.35">
      <c r="A211" s="2" t="s">
        <v>17</v>
      </c>
      <c r="B211" s="2" t="s">
        <v>21</v>
      </c>
      <c r="C211" s="6" t="s">
        <v>23</v>
      </c>
      <c r="D211" s="6" t="s">
        <v>11</v>
      </c>
      <c r="E211" s="6" t="s">
        <v>15</v>
      </c>
      <c r="F211" s="6">
        <v>74</v>
      </c>
      <c r="G211" s="6">
        <v>71</v>
      </c>
      <c r="H211" s="6">
        <v>78</v>
      </c>
      <c r="I211" s="2">
        <f t="shared" si="7"/>
        <v>223</v>
      </c>
      <c r="J211" s="8">
        <f>AVERAGE(Table1[[#This Row],[math score]:[writing score]])</f>
        <v>74.333333333333329</v>
      </c>
      <c r="K211" s="2">
        <f t="shared" si="6"/>
        <v>300</v>
      </c>
      <c r="L211" s="4">
        <f>Table1[[#This Row],[Total Score]]/Table1[[#This Row],[Minimum Mark]]</f>
        <v>0.74333333333333329</v>
      </c>
      <c r="M211" s="70" t="str">
        <f>_xlfn.XLOOKUP(Table1[[#This Row],[Pass(%)]],O:O,P:P,,-1)</f>
        <v>C</v>
      </c>
    </row>
    <row r="212" spans="1:13" x14ac:dyDescent="0.35">
      <c r="A212" s="2" t="s">
        <v>17</v>
      </c>
      <c r="B212" s="2" t="s">
        <v>24</v>
      </c>
      <c r="C212" s="6" t="s">
        <v>10</v>
      </c>
      <c r="D212" s="6" t="s">
        <v>11</v>
      </c>
      <c r="E212" s="6" t="s">
        <v>12</v>
      </c>
      <c r="F212" s="6">
        <v>82</v>
      </c>
      <c r="G212" s="6">
        <v>62</v>
      </c>
      <c r="H212" s="6">
        <v>62</v>
      </c>
      <c r="I212" s="2">
        <f t="shared" si="7"/>
        <v>206</v>
      </c>
      <c r="J212" s="8">
        <f>AVERAGE(Table1[[#This Row],[math score]:[writing score]])</f>
        <v>68.666666666666671</v>
      </c>
      <c r="K212" s="2">
        <f t="shared" si="6"/>
        <v>300</v>
      </c>
      <c r="L212" s="4">
        <f>Table1[[#This Row],[Total Score]]/Table1[[#This Row],[Minimum Mark]]</f>
        <v>0.68666666666666665</v>
      </c>
      <c r="M212" s="70" t="str">
        <f>_xlfn.XLOOKUP(Table1[[#This Row],[Pass(%)]],O:O,P:P,,-1)</f>
        <v>D+</v>
      </c>
    </row>
    <row r="213" spans="1:13" x14ac:dyDescent="0.35">
      <c r="A213" s="2" t="s">
        <v>17</v>
      </c>
      <c r="B213" s="2" t="s">
        <v>24</v>
      </c>
      <c r="C213" s="6" t="s">
        <v>22</v>
      </c>
      <c r="D213" s="6" t="s">
        <v>11</v>
      </c>
      <c r="E213" s="6" t="s">
        <v>15</v>
      </c>
      <c r="F213" s="6">
        <v>81</v>
      </c>
      <c r="G213" s="6">
        <v>80</v>
      </c>
      <c r="H213" s="6">
        <v>76</v>
      </c>
      <c r="I213" s="2">
        <f t="shared" si="7"/>
        <v>237</v>
      </c>
      <c r="J213" s="8">
        <f>AVERAGE(Table1[[#This Row],[math score]:[writing score]])</f>
        <v>79</v>
      </c>
      <c r="K213" s="2">
        <f t="shared" si="6"/>
        <v>300</v>
      </c>
      <c r="L213" s="4">
        <f>Table1[[#This Row],[Total Score]]/Table1[[#This Row],[Minimum Mark]]</f>
        <v>0.79</v>
      </c>
      <c r="M213" s="70" t="str">
        <f>_xlfn.XLOOKUP(Table1[[#This Row],[Pass(%)]],O:O,P:P,,-1)</f>
        <v>C+</v>
      </c>
    </row>
    <row r="214" spans="1:13" x14ac:dyDescent="0.35">
      <c r="A214" s="2" t="s">
        <v>8</v>
      </c>
      <c r="B214" s="2" t="s">
        <v>9</v>
      </c>
      <c r="C214" s="6" t="s">
        <v>14</v>
      </c>
      <c r="D214" s="6" t="s">
        <v>20</v>
      </c>
      <c r="E214" s="6" t="s">
        <v>12</v>
      </c>
      <c r="F214" s="6">
        <v>74</v>
      </c>
      <c r="G214" s="6">
        <v>81</v>
      </c>
      <c r="H214" s="6">
        <v>76</v>
      </c>
      <c r="I214" s="2">
        <f t="shared" si="7"/>
        <v>231</v>
      </c>
      <c r="J214" s="8">
        <f>AVERAGE(Table1[[#This Row],[math score]:[writing score]])</f>
        <v>77</v>
      </c>
      <c r="K214" s="2">
        <f t="shared" si="6"/>
        <v>300</v>
      </c>
      <c r="L214" s="4">
        <f>Table1[[#This Row],[Total Score]]/Table1[[#This Row],[Minimum Mark]]</f>
        <v>0.77</v>
      </c>
      <c r="M214" s="70" t="str">
        <f>_xlfn.XLOOKUP(Table1[[#This Row],[Pass(%)]],O:O,P:P,,-1)</f>
        <v>C+</v>
      </c>
    </row>
    <row r="215" spans="1:13" x14ac:dyDescent="0.35">
      <c r="A215" s="2" t="s">
        <v>8</v>
      </c>
      <c r="B215" s="2" t="s">
        <v>9</v>
      </c>
      <c r="C215" s="6" t="s">
        <v>14</v>
      </c>
      <c r="D215" s="6" t="s">
        <v>20</v>
      </c>
      <c r="E215" s="6" t="s">
        <v>12</v>
      </c>
      <c r="F215" s="6">
        <v>58</v>
      </c>
      <c r="G215" s="6">
        <v>61</v>
      </c>
      <c r="H215" s="6">
        <v>66</v>
      </c>
      <c r="I215" s="2">
        <f t="shared" si="7"/>
        <v>185</v>
      </c>
      <c r="J215" s="8">
        <f>AVERAGE(Table1[[#This Row],[math score]:[writing score]])</f>
        <v>61.666666666666664</v>
      </c>
      <c r="K215" s="2">
        <f t="shared" si="6"/>
        <v>300</v>
      </c>
      <c r="L215" s="4">
        <f>Table1[[#This Row],[Total Score]]/Table1[[#This Row],[Minimum Mark]]</f>
        <v>0.6166666666666667</v>
      </c>
      <c r="M215" s="70" t="str">
        <f>_xlfn.XLOOKUP(Table1[[#This Row],[Pass(%)]],O:O,P:P,,-1)</f>
        <v>D+</v>
      </c>
    </row>
    <row r="216" spans="1:13" x14ac:dyDescent="0.35">
      <c r="A216" s="2" t="s">
        <v>17</v>
      </c>
      <c r="B216" s="2" t="s">
        <v>21</v>
      </c>
      <c r="C216" s="6" t="s">
        <v>23</v>
      </c>
      <c r="D216" s="6" t="s">
        <v>20</v>
      </c>
      <c r="E216" s="6" t="s">
        <v>15</v>
      </c>
      <c r="F216" s="6">
        <v>80</v>
      </c>
      <c r="G216" s="6">
        <v>79</v>
      </c>
      <c r="H216" s="6">
        <v>79</v>
      </c>
      <c r="I216" s="2">
        <f t="shared" si="7"/>
        <v>238</v>
      </c>
      <c r="J216" s="8">
        <f>AVERAGE(Table1[[#This Row],[math score]:[writing score]])</f>
        <v>79.333333333333329</v>
      </c>
      <c r="K216" s="2">
        <f t="shared" si="6"/>
        <v>300</v>
      </c>
      <c r="L216" s="4">
        <f>Table1[[#This Row],[Total Score]]/Table1[[#This Row],[Minimum Mark]]</f>
        <v>0.79333333333333333</v>
      </c>
      <c r="M216" s="70" t="str">
        <f>_xlfn.XLOOKUP(Table1[[#This Row],[Pass(%)]],O:O,P:P,,-1)</f>
        <v>C+</v>
      </c>
    </row>
    <row r="217" spans="1:13" x14ac:dyDescent="0.35">
      <c r="A217" s="2" t="s">
        <v>17</v>
      </c>
      <c r="B217" s="2" t="s">
        <v>13</v>
      </c>
      <c r="C217" s="6" t="s">
        <v>14</v>
      </c>
      <c r="D217" s="6" t="s">
        <v>20</v>
      </c>
      <c r="E217" s="6" t="s">
        <v>12</v>
      </c>
      <c r="F217" s="6">
        <v>35</v>
      </c>
      <c r="G217" s="6">
        <v>28</v>
      </c>
      <c r="H217" s="6">
        <v>27</v>
      </c>
      <c r="I217" s="2">
        <f t="shared" si="7"/>
        <v>90</v>
      </c>
      <c r="J217" s="8">
        <f>AVERAGE(Table1[[#This Row],[math score]:[writing score]])</f>
        <v>30</v>
      </c>
      <c r="K217" s="2">
        <f t="shared" si="6"/>
        <v>300</v>
      </c>
      <c r="L217" s="4">
        <f>Table1[[#This Row],[Total Score]]/Table1[[#This Row],[Minimum Mark]]</f>
        <v>0.3</v>
      </c>
      <c r="M217" s="70" t="str">
        <f>_xlfn.XLOOKUP(Table1[[#This Row],[Pass(%)]],O:O,P:P,,-1)</f>
        <v>D-</v>
      </c>
    </row>
    <row r="218" spans="1:13" x14ac:dyDescent="0.35">
      <c r="A218" s="2" t="s">
        <v>8</v>
      </c>
      <c r="B218" s="2" t="s">
        <v>13</v>
      </c>
      <c r="C218" s="6" t="s">
        <v>22</v>
      </c>
      <c r="D218" s="6" t="s">
        <v>20</v>
      </c>
      <c r="E218" s="6" t="s">
        <v>12</v>
      </c>
      <c r="F218" s="6">
        <v>42</v>
      </c>
      <c r="G218" s="6">
        <v>62</v>
      </c>
      <c r="H218" s="6">
        <v>60</v>
      </c>
      <c r="I218" s="2">
        <f t="shared" si="7"/>
        <v>164</v>
      </c>
      <c r="J218" s="8">
        <f>AVERAGE(Table1[[#This Row],[math score]:[writing score]])</f>
        <v>54.666666666666664</v>
      </c>
      <c r="K218" s="2">
        <f t="shared" si="6"/>
        <v>300</v>
      </c>
      <c r="L218" s="4">
        <f>Table1[[#This Row],[Total Score]]/Table1[[#This Row],[Minimum Mark]]</f>
        <v>0.54666666666666663</v>
      </c>
      <c r="M218" s="70" t="str">
        <f>_xlfn.XLOOKUP(Table1[[#This Row],[Pass(%)]],O:O,P:P,,-1)</f>
        <v>D+</v>
      </c>
    </row>
    <row r="219" spans="1:13" ht="20.5" x14ac:dyDescent="0.8">
      <c r="A219" s="3" t="s">
        <v>17</v>
      </c>
      <c r="B219" s="3" t="s">
        <v>13</v>
      </c>
      <c r="C219" s="7" t="s">
        <v>19</v>
      </c>
      <c r="D219" s="7" t="s">
        <v>20</v>
      </c>
      <c r="E219" s="7" t="s">
        <v>15</v>
      </c>
      <c r="F219" s="7">
        <v>60</v>
      </c>
      <c r="G219" s="7">
        <v>51</v>
      </c>
      <c r="H219" s="7">
        <v>56</v>
      </c>
      <c r="I219" s="3">
        <f t="shared" si="7"/>
        <v>167</v>
      </c>
      <c r="J219" s="14">
        <f>AVERAGE(Table1[[#This Row],[math score]:[writing score]])</f>
        <v>55.666666666666664</v>
      </c>
      <c r="K219" s="3">
        <f t="shared" si="6"/>
        <v>300</v>
      </c>
      <c r="L219" s="5">
        <f>Table1[[#This Row],[Total Score]]/Table1[[#This Row],[Minimum Mark]]</f>
        <v>0.55666666666666664</v>
      </c>
      <c r="M219" s="71" t="str">
        <f>_xlfn.XLOOKUP(Table1[[#This Row],[Pass(%)]],O:O,P:P,,-1)</f>
        <v>D+</v>
      </c>
    </row>
    <row r="220" spans="1:13" x14ac:dyDescent="0.35">
      <c r="A220" s="2" t="s">
        <v>17</v>
      </c>
      <c r="B220" s="2" t="s">
        <v>24</v>
      </c>
      <c r="C220" s="6" t="s">
        <v>22</v>
      </c>
      <c r="D220" s="6" t="s">
        <v>11</v>
      </c>
      <c r="E220" s="6" t="s">
        <v>15</v>
      </c>
      <c r="F220" s="6">
        <v>87</v>
      </c>
      <c r="G220" s="6">
        <v>91</v>
      </c>
      <c r="H220" s="6">
        <v>81</v>
      </c>
      <c r="I220" s="2">
        <f t="shared" si="7"/>
        <v>259</v>
      </c>
      <c r="J220" s="8">
        <f>AVERAGE(Table1[[#This Row],[math score]:[writing score]])</f>
        <v>86.333333333333329</v>
      </c>
      <c r="K220" s="2">
        <f t="shared" si="6"/>
        <v>300</v>
      </c>
      <c r="L220" s="4">
        <f>Table1[[#This Row],[Total Score]]/Table1[[#This Row],[Minimum Mark]]</f>
        <v>0.86333333333333329</v>
      </c>
      <c r="M220" s="70" t="str">
        <f>_xlfn.XLOOKUP(Table1[[#This Row],[Pass(%)]],O:O,P:P,,-1)</f>
        <v>B</v>
      </c>
    </row>
    <row r="221" spans="1:13" x14ac:dyDescent="0.35">
      <c r="A221" s="2" t="s">
        <v>17</v>
      </c>
      <c r="B221" s="2" t="s">
        <v>9</v>
      </c>
      <c r="C221" s="6" t="s">
        <v>23</v>
      </c>
      <c r="D221" s="6" t="s">
        <v>11</v>
      </c>
      <c r="E221" s="6" t="s">
        <v>15</v>
      </c>
      <c r="F221" s="6">
        <v>84</v>
      </c>
      <c r="G221" s="6">
        <v>83</v>
      </c>
      <c r="H221" s="6">
        <v>75</v>
      </c>
      <c r="I221" s="2">
        <f t="shared" si="7"/>
        <v>242</v>
      </c>
      <c r="J221" s="8">
        <f>AVERAGE(Table1[[#This Row],[math score]:[writing score]])</f>
        <v>80.666666666666671</v>
      </c>
      <c r="K221" s="2">
        <f t="shared" si="6"/>
        <v>300</v>
      </c>
      <c r="L221" s="4">
        <f>Table1[[#This Row],[Total Score]]/Table1[[#This Row],[Minimum Mark]]</f>
        <v>0.80666666666666664</v>
      </c>
      <c r="M221" s="70" t="str">
        <f>_xlfn.XLOOKUP(Table1[[#This Row],[Pass(%)]],O:O,P:P,,-1)</f>
        <v>B-</v>
      </c>
    </row>
    <row r="222" spans="1:13" ht="20.5" x14ac:dyDescent="0.8">
      <c r="A222" s="3" t="s">
        <v>8</v>
      </c>
      <c r="B222" s="3" t="s">
        <v>24</v>
      </c>
      <c r="C222" s="7" t="s">
        <v>19</v>
      </c>
      <c r="D222" s="7" t="s">
        <v>20</v>
      </c>
      <c r="E222" s="7" t="s">
        <v>15</v>
      </c>
      <c r="F222" s="7">
        <v>83</v>
      </c>
      <c r="G222" s="7">
        <v>86</v>
      </c>
      <c r="H222" s="7">
        <v>88</v>
      </c>
      <c r="I222" s="3">
        <f t="shared" si="7"/>
        <v>257</v>
      </c>
      <c r="J222" s="14">
        <f>AVERAGE(Table1[[#This Row],[math score]:[writing score]])</f>
        <v>85.666666666666671</v>
      </c>
      <c r="K222" s="3">
        <f t="shared" si="6"/>
        <v>300</v>
      </c>
      <c r="L222" s="5">
        <f>Table1[[#This Row],[Total Score]]/Table1[[#This Row],[Minimum Mark]]</f>
        <v>0.85666666666666669</v>
      </c>
      <c r="M222" s="71" t="str">
        <f>_xlfn.XLOOKUP(Table1[[#This Row],[Pass(%)]],O:O,P:P,,-1)</f>
        <v>B</v>
      </c>
    </row>
    <row r="223" spans="1:13" x14ac:dyDescent="0.35">
      <c r="A223" s="2" t="s">
        <v>8</v>
      </c>
      <c r="B223" s="2" t="s">
        <v>13</v>
      </c>
      <c r="C223" s="6" t="s">
        <v>22</v>
      </c>
      <c r="D223" s="6" t="s">
        <v>20</v>
      </c>
      <c r="E223" s="6" t="s">
        <v>12</v>
      </c>
      <c r="F223" s="6">
        <v>34</v>
      </c>
      <c r="G223" s="6">
        <v>42</v>
      </c>
      <c r="H223" s="6">
        <v>39</v>
      </c>
      <c r="I223" s="2">
        <f t="shared" si="7"/>
        <v>115</v>
      </c>
      <c r="J223" s="8">
        <f>AVERAGE(Table1[[#This Row],[math score]:[writing score]])</f>
        <v>38.333333333333336</v>
      </c>
      <c r="K223" s="2">
        <f t="shared" si="6"/>
        <v>300</v>
      </c>
      <c r="L223" s="4">
        <f>Table1[[#This Row],[Total Score]]/Table1[[#This Row],[Minimum Mark]]</f>
        <v>0.38333333333333336</v>
      </c>
      <c r="M223" s="70" t="str">
        <f>_xlfn.XLOOKUP(Table1[[#This Row],[Pass(%)]],O:O,P:P,,-1)</f>
        <v>D-</v>
      </c>
    </row>
    <row r="224" spans="1:13" x14ac:dyDescent="0.35">
      <c r="A224" s="2" t="s">
        <v>17</v>
      </c>
      <c r="B224" s="2" t="s">
        <v>9</v>
      </c>
      <c r="C224" s="6" t="s">
        <v>22</v>
      </c>
      <c r="D224" s="6" t="s">
        <v>20</v>
      </c>
      <c r="E224" s="6" t="s">
        <v>12</v>
      </c>
      <c r="F224" s="6">
        <v>66</v>
      </c>
      <c r="G224" s="6">
        <v>77</v>
      </c>
      <c r="H224" s="6">
        <v>70</v>
      </c>
      <c r="I224" s="2">
        <f t="shared" si="7"/>
        <v>213</v>
      </c>
      <c r="J224" s="8">
        <f>AVERAGE(Table1[[#This Row],[math score]:[writing score]])</f>
        <v>71</v>
      </c>
      <c r="K224" s="2">
        <f t="shared" si="6"/>
        <v>300</v>
      </c>
      <c r="L224" s="4">
        <f>Table1[[#This Row],[Total Score]]/Table1[[#This Row],[Minimum Mark]]</f>
        <v>0.71</v>
      </c>
      <c r="M224" s="70" t="str">
        <f>_xlfn.XLOOKUP(Table1[[#This Row],[Pass(%)]],O:O,P:P,,-1)</f>
        <v>C-</v>
      </c>
    </row>
    <row r="225" spans="1:13" x14ac:dyDescent="0.35">
      <c r="A225" s="2" t="s">
        <v>17</v>
      </c>
      <c r="B225" s="2" t="s">
        <v>9</v>
      </c>
      <c r="C225" s="6" t="s">
        <v>23</v>
      </c>
      <c r="D225" s="6" t="s">
        <v>11</v>
      </c>
      <c r="E225" s="6" t="s">
        <v>15</v>
      </c>
      <c r="F225" s="6">
        <v>61</v>
      </c>
      <c r="G225" s="6">
        <v>56</v>
      </c>
      <c r="H225" s="6">
        <v>56</v>
      </c>
      <c r="I225" s="2">
        <f t="shared" si="7"/>
        <v>173</v>
      </c>
      <c r="J225" s="8">
        <f>AVERAGE(Table1[[#This Row],[math score]:[writing score]])</f>
        <v>57.666666666666664</v>
      </c>
      <c r="K225" s="2">
        <f t="shared" si="6"/>
        <v>300</v>
      </c>
      <c r="L225" s="4">
        <f>Table1[[#This Row],[Total Score]]/Table1[[#This Row],[Minimum Mark]]</f>
        <v>0.57666666666666666</v>
      </c>
      <c r="M225" s="70" t="str">
        <f>_xlfn.XLOOKUP(Table1[[#This Row],[Pass(%)]],O:O,P:P,,-1)</f>
        <v>D+</v>
      </c>
    </row>
    <row r="226" spans="1:13" x14ac:dyDescent="0.35">
      <c r="A226" s="2" t="s">
        <v>8</v>
      </c>
      <c r="B226" s="2" t="s">
        <v>21</v>
      </c>
      <c r="C226" s="6" t="s">
        <v>22</v>
      </c>
      <c r="D226" s="6" t="s">
        <v>11</v>
      </c>
      <c r="E226" s="6" t="s">
        <v>15</v>
      </c>
      <c r="F226" s="6">
        <v>56</v>
      </c>
      <c r="G226" s="6">
        <v>68</v>
      </c>
      <c r="H226" s="6">
        <v>74</v>
      </c>
      <c r="I226" s="2">
        <f t="shared" si="7"/>
        <v>198</v>
      </c>
      <c r="J226" s="8">
        <f>AVERAGE(Table1[[#This Row],[math score]:[writing score]])</f>
        <v>66</v>
      </c>
      <c r="K226" s="2">
        <f t="shared" si="6"/>
        <v>300</v>
      </c>
      <c r="L226" s="4">
        <f>Table1[[#This Row],[Total Score]]/Table1[[#This Row],[Minimum Mark]]</f>
        <v>0.66</v>
      </c>
      <c r="M226" s="70" t="str">
        <f>_xlfn.XLOOKUP(Table1[[#This Row],[Pass(%)]],O:O,P:P,,-1)</f>
        <v>D+</v>
      </c>
    </row>
    <row r="227" spans="1:13" ht="20.5" x14ac:dyDescent="0.8">
      <c r="A227" s="3" t="s">
        <v>17</v>
      </c>
      <c r="B227" s="3" t="s">
        <v>9</v>
      </c>
      <c r="C227" s="7" t="s">
        <v>19</v>
      </c>
      <c r="D227" s="7" t="s">
        <v>11</v>
      </c>
      <c r="E227" s="7" t="s">
        <v>12</v>
      </c>
      <c r="F227" s="7">
        <v>87</v>
      </c>
      <c r="G227" s="7">
        <v>85</v>
      </c>
      <c r="H227" s="7">
        <v>73</v>
      </c>
      <c r="I227" s="3">
        <f t="shared" si="7"/>
        <v>245</v>
      </c>
      <c r="J227" s="14">
        <f>AVERAGE(Table1[[#This Row],[math score]:[writing score]])</f>
        <v>81.666666666666671</v>
      </c>
      <c r="K227" s="3">
        <f t="shared" si="6"/>
        <v>300</v>
      </c>
      <c r="L227" s="5">
        <f>Table1[[#This Row],[Total Score]]/Table1[[#This Row],[Minimum Mark]]</f>
        <v>0.81666666666666665</v>
      </c>
      <c r="M227" s="71" t="str">
        <f>_xlfn.XLOOKUP(Table1[[#This Row],[Pass(%)]],O:O,P:P,,-1)</f>
        <v>B-</v>
      </c>
    </row>
    <row r="228" spans="1:13" x14ac:dyDescent="0.35">
      <c r="A228" s="2" t="s">
        <v>8</v>
      </c>
      <c r="B228" s="2" t="s">
        <v>13</v>
      </c>
      <c r="C228" s="6" t="s">
        <v>23</v>
      </c>
      <c r="D228" s="6" t="s">
        <v>20</v>
      </c>
      <c r="E228" s="6" t="s">
        <v>12</v>
      </c>
      <c r="F228" s="6">
        <v>55</v>
      </c>
      <c r="G228" s="6">
        <v>65</v>
      </c>
      <c r="H228" s="6">
        <v>62</v>
      </c>
      <c r="I228" s="2">
        <f t="shared" si="7"/>
        <v>182</v>
      </c>
      <c r="J228" s="8">
        <f>AVERAGE(Table1[[#This Row],[math score]:[writing score]])</f>
        <v>60.666666666666664</v>
      </c>
      <c r="K228" s="2">
        <f t="shared" si="6"/>
        <v>300</v>
      </c>
      <c r="L228" s="4">
        <f>Table1[[#This Row],[Total Score]]/Table1[[#This Row],[Minimum Mark]]</f>
        <v>0.60666666666666669</v>
      </c>
      <c r="M228" s="70" t="str">
        <f>_xlfn.XLOOKUP(Table1[[#This Row],[Pass(%)]],O:O,P:P,,-1)</f>
        <v>D+</v>
      </c>
    </row>
    <row r="229" spans="1:13" x14ac:dyDescent="0.35">
      <c r="A229" s="2" t="s">
        <v>17</v>
      </c>
      <c r="B229" s="2" t="s">
        <v>21</v>
      </c>
      <c r="C229" s="6" t="s">
        <v>23</v>
      </c>
      <c r="D229" s="6" t="s">
        <v>11</v>
      </c>
      <c r="E229" s="6" t="s">
        <v>12</v>
      </c>
      <c r="F229" s="6">
        <v>86</v>
      </c>
      <c r="G229" s="6">
        <v>80</v>
      </c>
      <c r="H229" s="6">
        <v>75</v>
      </c>
      <c r="I229" s="2">
        <f t="shared" si="7"/>
        <v>241</v>
      </c>
      <c r="J229" s="8">
        <f>AVERAGE(Table1[[#This Row],[math score]:[writing score]])</f>
        <v>80.333333333333329</v>
      </c>
      <c r="K229" s="2">
        <f t="shared" si="6"/>
        <v>300</v>
      </c>
      <c r="L229" s="4">
        <f>Table1[[#This Row],[Total Score]]/Table1[[#This Row],[Minimum Mark]]</f>
        <v>0.80333333333333334</v>
      </c>
      <c r="M229" s="70" t="str">
        <f>_xlfn.XLOOKUP(Table1[[#This Row],[Pass(%)]],O:O,P:P,,-1)</f>
        <v>B-</v>
      </c>
    </row>
    <row r="230" spans="1:13" ht="20.5" x14ac:dyDescent="0.8">
      <c r="A230" s="3" t="s">
        <v>8</v>
      </c>
      <c r="B230" s="3" t="s">
        <v>9</v>
      </c>
      <c r="C230" s="7" t="s">
        <v>19</v>
      </c>
      <c r="D230" s="7" t="s">
        <v>11</v>
      </c>
      <c r="E230" s="7" t="s">
        <v>15</v>
      </c>
      <c r="F230" s="7">
        <v>52</v>
      </c>
      <c r="G230" s="7">
        <v>66</v>
      </c>
      <c r="H230" s="7">
        <v>73</v>
      </c>
      <c r="I230" s="3">
        <f t="shared" si="7"/>
        <v>191</v>
      </c>
      <c r="J230" s="14">
        <f>AVERAGE(Table1[[#This Row],[math score]:[writing score]])</f>
        <v>63.666666666666664</v>
      </c>
      <c r="K230" s="3">
        <f t="shared" si="6"/>
        <v>300</v>
      </c>
      <c r="L230" s="5">
        <f>Table1[[#This Row],[Total Score]]/Table1[[#This Row],[Minimum Mark]]</f>
        <v>0.63666666666666671</v>
      </c>
      <c r="M230" s="71" t="str">
        <f>_xlfn.XLOOKUP(Table1[[#This Row],[Pass(%)]],O:O,P:P,,-1)</f>
        <v>D+</v>
      </c>
    </row>
    <row r="231" spans="1:13" x14ac:dyDescent="0.35">
      <c r="A231" s="2" t="s">
        <v>8</v>
      </c>
      <c r="B231" s="2" t="s">
        <v>24</v>
      </c>
      <c r="C231" s="6" t="s">
        <v>16</v>
      </c>
      <c r="D231" s="6" t="s">
        <v>20</v>
      </c>
      <c r="E231" s="6" t="s">
        <v>12</v>
      </c>
      <c r="F231" s="6">
        <v>45</v>
      </c>
      <c r="G231" s="6">
        <v>56</v>
      </c>
      <c r="H231" s="6">
        <v>54</v>
      </c>
      <c r="I231" s="2">
        <f t="shared" si="7"/>
        <v>155</v>
      </c>
      <c r="J231" s="8">
        <f>AVERAGE(Table1[[#This Row],[math score]:[writing score]])</f>
        <v>51.666666666666664</v>
      </c>
      <c r="K231" s="2">
        <f t="shared" si="6"/>
        <v>300</v>
      </c>
      <c r="L231" s="4">
        <f>Table1[[#This Row],[Total Score]]/Table1[[#This Row],[Minimum Mark]]</f>
        <v>0.51666666666666672</v>
      </c>
      <c r="M231" s="70" t="str">
        <f>_xlfn.XLOOKUP(Table1[[#This Row],[Pass(%)]],O:O,P:P,,-1)</f>
        <v>D</v>
      </c>
    </row>
    <row r="232" spans="1:13" x14ac:dyDescent="0.35">
      <c r="A232" s="2" t="s">
        <v>8</v>
      </c>
      <c r="B232" s="2" t="s">
        <v>13</v>
      </c>
      <c r="C232" s="6" t="s">
        <v>14</v>
      </c>
      <c r="D232" s="6" t="s">
        <v>11</v>
      </c>
      <c r="E232" s="6" t="s">
        <v>12</v>
      </c>
      <c r="F232" s="6">
        <v>72</v>
      </c>
      <c r="G232" s="6">
        <v>72</v>
      </c>
      <c r="H232" s="6">
        <v>71</v>
      </c>
      <c r="I232" s="2">
        <f t="shared" si="7"/>
        <v>215</v>
      </c>
      <c r="J232" s="8">
        <f>AVERAGE(Table1[[#This Row],[math score]:[writing score]])</f>
        <v>71.666666666666671</v>
      </c>
      <c r="K232" s="2">
        <f t="shared" si="6"/>
        <v>300</v>
      </c>
      <c r="L232" s="4">
        <f>Table1[[#This Row],[Total Score]]/Table1[[#This Row],[Minimum Mark]]</f>
        <v>0.71666666666666667</v>
      </c>
      <c r="M232" s="70" t="str">
        <f>_xlfn.XLOOKUP(Table1[[#This Row],[Pass(%)]],O:O,P:P,,-1)</f>
        <v>C-</v>
      </c>
    </row>
    <row r="233" spans="1:13" x14ac:dyDescent="0.35">
      <c r="A233" s="2" t="s">
        <v>17</v>
      </c>
      <c r="B233" s="2" t="s">
        <v>21</v>
      </c>
      <c r="C233" s="6" t="s">
        <v>22</v>
      </c>
      <c r="D233" s="6" t="s">
        <v>11</v>
      </c>
      <c r="E233" s="6" t="s">
        <v>12</v>
      </c>
      <c r="F233" s="6">
        <v>57</v>
      </c>
      <c r="G233" s="6">
        <v>50</v>
      </c>
      <c r="H233" s="6">
        <v>54</v>
      </c>
      <c r="I233" s="2">
        <f t="shared" si="7"/>
        <v>161</v>
      </c>
      <c r="J233" s="8">
        <f>AVERAGE(Table1[[#This Row],[math score]:[writing score]])</f>
        <v>53.666666666666664</v>
      </c>
      <c r="K233" s="2">
        <f t="shared" si="6"/>
        <v>300</v>
      </c>
      <c r="L233" s="4">
        <f>Table1[[#This Row],[Total Score]]/Table1[[#This Row],[Minimum Mark]]</f>
        <v>0.53666666666666663</v>
      </c>
      <c r="M233" s="70" t="str">
        <f>_xlfn.XLOOKUP(Table1[[#This Row],[Pass(%)]],O:O,P:P,,-1)</f>
        <v>D+</v>
      </c>
    </row>
    <row r="234" spans="1:13" x14ac:dyDescent="0.35">
      <c r="A234" s="2" t="s">
        <v>17</v>
      </c>
      <c r="B234" s="2" t="s">
        <v>18</v>
      </c>
      <c r="C234" s="6" t="s">
        <v>23</v>
      </c>
      <c r="D234" s="6" t="s">
        <v>20</v>
      </c>
      <c r="E234" s="6" t="s">
        <v>12</v>
      </c>
      <c r="F234" s="6">
        <v>68</v>
      </c>
      <c r="G234" s="6">
        <v>72</v>
      </c>
      <c r="H234" s="6">
        <v>64</v>
      </c>
      <c r="I234" s="2">
        <f t="shared" si="7"/>
        <v>204</v>
      </c>
      <c r="J234" s="8">
        <f>AVERAGE(Table1[[#This Row],[math score]:[writing score]])</f>
        <v>68</v>
      </c>
      <c r="K234" s="2">
        <f t="shared" si="6"/>
        <v>300</v>
      </c>
      <c r="L234" s="4">
        <f>Table1[[#This Row],[Total Score]]/Table1[[#This Row],[Minimum Mark]]</f>
        <v>0.68</v>
      </c>
      <c r="M234" s="70" t="str">
        <f>_xlfn.XLOOKUP(Table1[[#This Row],[Pass(%)]],O:O,P:P,,-1)</f>
        <v>D+</v>
      </c>
    </row>
    <row r="235" spans="1:13" x14ac:dyDescent="0.35">
      <c r="A235" s="2" t="s">
        <v>8</v>
      </c>
      <c r="B235" s="2" t="s">
        <v>13</v>
      </c>
      <c r="C235" s="6" t="s">
        <v>14</v>
      </c>
      <c r="D235" s="6" t="s">
        <v>11</v>
      </c>
      <c r="E235" s="6" t="s">
        <v>15</v>
      </c>
      <c r="F235" s="6">
        <v>88</v>
      </c>
      <c r="G235" s="6">
        <v>95</v>
      </c>
      <c r="H235" s="6">
        <v>94</v>
      </c>
      <c r="I235" s="2">
        <f t="shared" si="7"/>
        <v>277</v>
      </c>
      <c r="J235" s="8">
        <f>AVERAGE(Table1[[#This Row],[math score]:[writing score]])</f>
        <v>92.333333333333329</v>
      </c>
      <c r="K235" s="2">
        <f t="shared" si="6"/>
        <v>300</v>
      </c>
      <c r="L235" s="4">
        <f>Table1[[#This Row],[Total Score]]/Table1[[#This Row],[Minimum Mark]]</f>
        <v>0.92333333333333334</v>
      </c>
      <c r="M235" s="70" t="str">
        <f>_xlfn.XLOOKUP(Table1[[#This Row],[Pass(%)]],O:O,P:P,,-1)</f>
        <v>A-</v>
      </c>
    </row>
    <row r="236" spans="1:13" x14ac:dyDescent="0.35">
      <c r="A236" s="2" t="s">
        <v>17</v>
      </c>
      <c r="B236" s="2" t="s">
        <v>21</v>
      </c>
      <c r="C236" s="6" t="s">
        <v>14</v>
      </c>
      <c r="D236" s="6" t="s">
        <v>11</v>
      </c>
      <c r="E236" s="6" t="s">
        <v>12</v>
      </c>
      <c r="F236" s="6">
        <v>76</v>
      </c>
      <c r="G236" s="6">
        <v>64</v>
      </c>
      <c r="H236" s="6">
        <v>66</v>
      </c>
      <c r="I236" s="2">
        <f t="shared" si="7"/>
        <v>206</v>
      </c>
      <c r="J236" s="8">
        <f>AVERAGE(Table1[[#This Row],[math score]:[writing score]])</f>
        <v>68.666666666666671</v>
      </c>
      <c r="K236" s="2">
        <f t="shared" si="6"/>
        <v>300</v>
      </c>
      <c r="L236" s="4">
        <f>Table1[[#This Row],[Total Score]]/Table1[[#This Row],[Minimum Mark]]</f>
        <v>0.68666666666666665</v>
      </c>
      <c r="M236" s="70" t="str">
        <f>_xlfn.XLOOKUP(Table1[[#This Row],[Pass(%)]],O:O,P:P,,-1)</f>
        <v>D+</v>
      </c>
    </row>
    <row r="237" spans="1:13" ht="20.5" x14ac:dyDescent="0.8">
      <c r="A237" s="3" t="s">
        <v>17</v>
      </c>
      <c r="B237" s="3" t="s">
        <v>13</v>
      </c>
      <c r="C237" s="7" t="s">
        <v>19</v>
      </c>
      <c r="D237" s="7" t="s">
        <v>11</v>
      </c>
      <c r="E237" s="7" t="s">
        <v>12</v>
      </c>
      <c r="F237" s="7">
        <v>46</v>
      </c>
      <c r="G237" s="7">
        <v>43</v>
      </c>
      <c r="H237" s="7">
        <v>42</v>
      </c>
      <c r="I237" s="3">
        <f t="shared" si="7"/>
        <v>131</v>
      </c>
      <c r="J237" s="14">
        <f>AVERAGE(Table1[[#This Row],[math score]:[writing score]])</f>
        <v>43.666666666666664</v>
      </c>
      <c r="K237" s="3">
        <f t="shared" si="6"/>
        <v>300</v>
      </c>
      <c r="L237" s="5">
        <f>Table1[[#This Row],[Total Score]]/Table1[[#This Row],[Minimum Mark]]</f>
        <v>0.43666666666666665</v>
      </c>
      <c r="M237" s="71" t="str">
        <f>_xlfn.XLOOKUP(Table1[[#This Row],[Pass(%)]],O:O,P:P,,-1)</f>
        <v>D</v>
      </c>
    </row>
    <row r="238" spans="1:13" x14ac:dyDescent="0.35">
      <c r="A238" s="2" t="s">
        <v>8</v>
      </c>
      <c r="B238" s="2" t="s">
        <v>9</v>
      </c>
      <c r="C238" s="6" t="s">
        <v>10</v>
      </c>
      <c r="D238" s="6" t="s">
        <v>11</v>
      </c>
      <c r="E238" s="6" t="s">
        <v>12</v>
      </c>
      <c r="F238" s="6">
        <v>67</v>
      </c>
      <c r="G238" s="6">
        <v>86</v>
      </c>
      <c r="H238" s="6">
        <v>83</v>
      </c>
      <c r="I238" s="2">
        <f t="shared" si="7"/>
        <v>236</v>
      </c>
      <c r="J238" s="8">
        <f>AVERAGE(Table1[[#This Row],[math score]:[writing score]])</f>
        <v>78.666666666666671</v>
      </c>
      <c r="K238" s="2">
        <f t="shared" si="6"/>
        <v>300</v>
      </c>
      <c r="L238" s="4">
        <f>Table1[[#This Row],[Total Score]]/Table1[[#This Row],[Minimum Mark]]</f>
        <v>0.78666666666666663</v>
      </c>
      <c r="M238" s="70" t="str">
        <f>_xlfn.XLOOKUP(Table1[[#This Row],[Pass(%)]],O:O,P:P,,-1)</f>
        <v>C+</v>
      </c>
    </row>
    <row r="239" spans="1:13" x14ac:dyDescent="0.35">
      <c r="A239" s="2" t="s">
        <v>17</v>
      </c>
      <c r="B239" s="2" t="s">
        <v>24</v>
      </c>
      <c r="C239" s="6" t="s">
        <v>23</v>
      </c>
      <c r="D239" s="6" t="s">
        <v>11</v>
      </c>
      <c r="E239" s="6" t="s">
        <v>12</v>
      </c>
      <c r="F239" s="6">
        <v>92</v>
      </c>
      <c r="G239" s="6">
        <v>87</v>
      </c>
      <c r="H239" s="6">
        <v>78</v>
      </c>
      <c r="I239" s="2">
        <f t="shared" si="7"/>
        <v>257</v>
      </c>
      <c r="J239" s="8">
        <f>AVERAGE(Table1[[#This Row],[math score]:[writing score]])</f>
        <v>85.666666666666671</v>
      </c>
      <c r="K239" s="2">
        <f t="shared" si="6"/>
        <v>300</v>
      </c>
      <c r="L239" s="4">
        <f>Table1[[#This Row],[Total Score]]/Table1[[#This Row],[Minimum Mark]]</f>
        <v>0.85666666666666669</v>
      </c>
      <c r="M239" s="70" t="str">
        <f>_xlfn.XLOOKUP(Table1[[#This Row],[Pass(%)]],O:O,P:P,,-1)</f>
        <v>B</v>
      </c>
    </row>
    <row r="240" spans="1:13" x14ac:dyDescent="0.35">
      <c r="A240" s="2" t="s">
        <v>17</v>
      </c>
      <c r="B240" s="2" t="s">
        <v>13</v>
      </c>
      <c r="C240" s="6" t="s">
        <v>10</v>
      </c>
      <c r="D240" s="6" t="s">
        <v>11</v>
      </c>
      <c r="E240" s="6" t="s">
        <v>15</v>
      </c>
      <c r="F240" s="6">
        <v>83</v>
      </c>
      <c r="G240" s="6">
        <v>82</v>
      </c>
      <c r="H240" s="6">
        <v>84</v>
      </c>
      <c r="I240" s="2">
        <f t="shared" si="7"/>
        <v>249</v>
      </c>
      <c r="J240" s="8">
        <f>AVERAGE(Table1[[#This Row],[math score]:[writing score]])</f>
        <v>83</v>
      </c>
      <c r="K240" s="2">
        <f t="shared" si="6"/>
        <v>300</v>
      </c>
      <c r="L240" s="4">
        <f>Table1[[#This Row],[Total Score]]/Table1[[#This Row],[Minimum Mark]]</f>
        <v>0.83</v>
      </c>
      <c r="M240" s="70" t="str">
        <f>_xlfn.XLOOKUP(Table1[[#This Row],[Pass(%)]],O:O,P:P,,-1)</f>
        <v>B</v>
      </c>
    </row>
    <row r="241" spans="1:13" ht="20.5" x14ac:dyDescent="0.8">
      <c r="A241" s="3" t="s">
        <v>17</v>
      </c>
      <c r="B241" s="3" t="s">
        <v>21</v>
      </c>
      <c r="C241" s="7" t="s">
        <v>19</v>
      </c>
      <c r="D241" s="7" t="s">
        <v>11</v>
      </c>
      <c r="E241" s="7" t="s">
        <v>12</v>
      </c>
      <c r="F241" s="7">
        <v>80</v>
      </c>
      <c r="G241" s="7">
        <v>75</v>
      </c>
      <c r="H241" s="7">
        <v>77</v>
      </c>
      <c r="I241" s="3">
        <f t="shared" si="7"/>
        <v>232</v>
      </c>
      <c r="J241" s="14">
        <f>AVERAGE(Table1[[#This Row],[math score]:[writing score]])</f>
        <v>77.333333333333329</v>
      </c>
      <c r="K241" s="3">
        <f t="shared" si="6"/>
        <v>300</v>
      </c>
      <c r="L241" s="5">
        <f>Table1[[#This Row],[Total Score]]/Table1[[#This Row],[Minimum Mark]]</f>
        <v>0.77333333333333332</v>
      </c>
      <c r="M241" s="71" t="str">
        <f>_xlfn.XLOOKUP(Table1[[#This Row],[Pass(%)]],O:O,P:P,,-1)</f>
        <v>C+</v>
      </c>
    </row>
    <row r="242" spans="1:13" x14ac:dyDescent="0.35">
      <c r="A242" s="2" t="s">
        <v>17</v>
      </c>
      <c r="B242" s="2" t="s">
        <v>21</v>
      </c>
      <c r="C242" s="6" t="s">
        <v>10</v>
      </c>
      <c r="D242" s="6" t="s">
        <v>20</v>
      </c>
      <c r="E242" s="6" t="s">
        <v>12</v>
      </c>
      <c r="F242" s="6">
        <v>63</v>
      </c>
      <c r="G242" s="6">
        <v>66</v>
      </c>
      <c r="H242" s="6">
        <v>67</v>
      </c>
      <c r="I242" s="2">
        <f t="shared" si="7"/>
        <v>196</v>
      </c>
      <c r="J242" s="8">
        <f>AVERAGE(Table1[[#This Row],[math score]:[writing score]])</f>
        <v>65.333333333333329</v>
      </c>
      <c r="K242" s="2">
        <f t="shared" si="6"/>
        <v>300</v>
      </c>
      <c r="L242" s="4">
        <f>Table1[[#This Row],[Total Score]]/Table1[[#This Row],[Minimum Mark]]</f>
        <v>0.65333333333333332</v>
      </c>
      <c r="M242" s="70" t="str">
        <f>_xlfn.XLOOKUP(Table1[[#This Row],[Pass(%)]],O:O,P:P,,-1)</f>
        <v>D+</v>
      </c>
    </row>
    <row r="243" spans="1:13" x14ac:dyDescent="0.35">
      <c r="A243" s="2" t="s">
        <v>8</v>
      </c>
      <c r="B243" s="2" t="s">
        <v>21</v>
      </c>
      <c r="C243" s="6" t="s">
        <v>23</v>
      </c>
      <c r="D243" s="6" t="s">
        <v>11</v>
      </c>
      <c r="E243" s="6" t="s">
        <v>15</v>
      </c>
      <c r="F243" s="6">
        <v>64</v>
      </c>
      <c r="G243" s="6">
        <v>60</v>
      </c>
      <c r="H243" s="6">
        <v>74</v>
      </c>
      <c r="I243" s="2">
        <f t="shared" si="7"/>
        <v>198</v>
      </c>
      <c r="J243" s="8">
        <f>AVERAGE(Table1[[#This Row],[math score]:[writing score]])</f>
        <v>66</v>
      </c>
      <c r="K243" s="2">
        <f t="shared" si="6"/>
        <v>300</v>
      </c>
      <c r="L243" s="4">
        <f>Table1[[#This Row],[Total Score]]/Table1[[#This Row],[Minimum Mark]]</f>
        <v>0.66</v>
      </c>
      <c r="M243" s="70" t="str">
        <f>_xlfn.XLOOKUP(Table1[[#This Row],[Pass(%)]],O:O,P:P,,-1)</f>
        <v>D+</v>
      </c>
    </row>
    <row r="244" spans="1:13" x14ac:dyDescent="0.35">
      <c r="A244" s="2" t="s">
        <v>17</v>
      </c>
      <c r="B244" s="2" t="s">
        <v>9</v>
      </c>
      <c r="C244" s="6" t="s">
        <v>14</v>
      </c>
      <c r="D244" s="6" t="s">
        <v>11</v>
      </c>
      <c r="E244" s="6" t="s">
        <v>12</v>
      </c>
      <c r="F244" s="6">
        <v>54</v>
      </c>
      <c r="G244" s="6">
        <v>52</v>
      </c>
      <c r="H244" s="6">
        <v>51</v>
      </c>
      <c r="I244" s="2">
        <f t="shared" si="7"/>
        <v>157</v>
      </c>
      <c r="J244" s="8">
        <f>AVERAGE(Table1[[#This Row],[math score]:[writing score]])</f>
        <v>52.333333333333336</v>
      </c>
      <c r="K244" s="2">
        <f t="shared" si="6"/>
        <v>300</v>
      </c>
      <c r="L244" s="4">
        <f>Table1[[#This Row],[Total Score]]/Table1[[#This Row],[Minimum Mark]]</f>
        <v>0.52333333333333332</v>
      </c>
      <c r="M244" s="70" t="str">
        <f>_xlfn.XLOOKUP(Table1[[#This Row],[Pass(%)]],O:O,P:P,,-1)</f>
        <v>D</v>
      </c>
    </row>
    <row r="245" spans="1:13" ht="20.5" x14ac:dyDescent="0.8">
      <c r="A245" s="3" t="s">
        <v>17</v>
      </c>
      <c r="B245" s="3" t="s">
        <v>13</v>
      </c>
      <c r="C245" s="7" t="s">
        <v>19</v>
      </c>
      <c r="D245" s="7" t="s">
        <v>11</v>
      </c>
      <c r="E245" s="7" t="s">
        <v>12</v>
      </c>
      <c r="F245" s="7">
        <v>84</v>
      </c>
      <c r="G245" s="7">
        <v>80</v>
      </c>
      <c r="H245" s="7">
        <v>80</v>
      </c>
      <c r="I245" s="3">
        <f t="shared" si="7"/>
        <v>244</v>
      </c>
      <c r="J245" s="14">
        <f>AVERAGE(Table1[[#This Row],[math score]:[writing score]])</f>
        <v>81.333333333333329</v>
      </c>
      <c r="K245" s="3">
        <f t="shared" si="6"/>
        <v>300</v>
      </c>
      <c r="L245" s="5">
        <f>Table1[[#This Row],[Total Score]]/Table1[[#This Row],[Minimum Mark]]</f>
        <v>0.81333333333333335</v>
      </c>
      <c r="M245" s="71" t="str">
        <f>_xlfn.XLOOKUP(Table1[[#This Row],[Pass(%)]],O:O,P:P,,-1)</f>
        <v>B-</v>
      </c>
    </row>
    <row r="246" spans="1:13" x14ac:dyDescent="0.35">
      <c r="A246" s="2" t="s">
        <v>17</v>
      </c>
      <c r="B246" s="2" t="s">
        <v>21</v>
      </c>
      <c r="C246" s="6" t="s">
        <v>22</v>
      </c>
      <c r="D246" s="6" t="s">
        <v>20</v>
      </c>
      <c r="E246" s="6" t="s">
        <v>15</v>
      </c>
      <c r="F246" s="6">
        <v>73</v>
      </c>
      <c r="G246" s="6">
        <v>68</v>
      </c>
      <c r="H246" s="6">
        <v>66</v>
      </c>
      <c r="I246" s="2">
        <f t="shared" si="7"/>
        <v>207</v>
      </c>
      <c r="J246" s="8">
        <f>AVERAGE(Table1[[#This Row],[math score]:[writing score]])</f>
        <v>69</v>
      </c>
      <c r="K246" s="2">
        <f t="shared" si="6"/>
        <v>300</v>
      </c>
      <c r="L246" s="4">
        <f>Table1[[#This Row],[Total Score]]/Table1[[#This Row],[Minimum Mark]]</f>
        <v>0.69</v>
      </c>
      <c r="M246" s="70" t="str">
        <f>_xlfn.XLOOKUP(Table1[[#This Row],[Pass(%)]],O:O,P:P,,-1)</f>
        <v>D+</v>
      </c>
    </row>
    <row r="247" spans="1:13" x14ac:dyDescent="0.35">
      <c r="A247" s="2" t="s">
        <v>8</v>
      </c>
      <c r="B247" s="2" t="s">
        <v>24</v>
      </c>
      <c r="C247" s="6" t="s">
        <v>10</v>
      </c>
      <c r="D247" s="6" t="s">
        <v>11</v>
      </c>
      <c r="E247" s="6" t="s">
        <v>12</v>
      </c>
      <c r="F247" s="6">
        <v>80</v>
      </c>
      <c r="G247" s="6">
        <v>83</v>
      </c>
      <c r="H247" s="6">
        <v>83</v>
      </c>
      <c r="I247" s="2">
        <f t="shared" si="7"/>
        <v>246</v>
      </c>
      <c r="J247" s="8">
        <f>AVERAGE(Table1[[#This Row],[math score]:[writing score]])</f>
        <v>82</v>
      </c>
      <c r="K247" s="2">
        <f t="shared" si="6"/>
        <v>300</v>
      </c>
      <c r="L247" s="4">
        <f>Table1[[#This Row],[Total Score]]/Table1[[#This Row],[Minimum Mark]]</f>
        <v>0.82</v>
      </c>
      <c r="M247" s="70" t="str">
        <f>_xlfn.XLOOKUP(Table1[[#This Row],[Pass(%)]],O:O,P:P,,-1)</f>
        <v>B-</v>
      </c>
    </row>
    <row r="248" spans="1:13" x14ac:dyDescent="0.35">
      <c r="A248" s="2" t="s">
        <v>8</v>
      </c>
      <c r="B248" s="2" t="s">
        <v>21</v>
      </c>
      <c r="C248" s="6" t="s">
        <v>22</v>
      </c>
      <c r="D248" s="6" t="s">
        <v>11</v>
      </c>
      <c r="E248" s="6" t="s">
        <v>12</v>
      </c>
      <c r="F248" s="6">
        <v>56</v>
      </c>
      <c r="G248" s="6">
        <v>52</v>
      </c>
      <c r="H248" s="6">
        <v>55</v>
      </c>
      <c r="I248" s="2">
        <f t="shared" si="7"/>
        <v>163</v>
      </c>
      <c r="J248" s="8">
        <f>AVERAGE(Table1[[#This Row],[math score]:[writing score]])</f>
        <v>54.333333333333336</v>
      </c>
      <c r="K248" s="2">
        <f t="shared" si="6"/>
        <v>300</v>
      </c>
      <c r="L248" s="4">
        <f>Table1[[#This Row],[Total Score]]/Table1[[#This Row],[Minimum Mark]]</f>
        <v>0.54333333333333333</v>
      </c>
      <c r="M248" s="70" t="str">
        <f>_xlfn.XLOOKUP(Table1[[#This Row],[Pass(%)]],O:O,P:P,,-1)</f>
        <v>D+</v>
      </c>
    </row>
    <row r="249" spans="1:13" x14ac:dyDescent="0.35">
      <c r="A249" s="2" t="s">
        <v>17</v>
      </c>
      <c r="B249" s="2" t="s">
        <v>24</v>
      </c>
      <c r="C249" s="6" t="s">
        <v>14</v>
      </c>
      <c r="D249" s="6" t="s">
        <v>11</v>
      </c>
      <c r="E249" s="6" t="s">
        <v>12</v>
      </c>
      <c r="F249" s="6">
        <v>59</v>
      </c>
      <c r="G249" s="6">
        <v>51</v>
      </c>
      <c r="H249" s="6">
        <v>43</v>
      </c>
      <c r="I249" s="2">
        <f t="shared" si="7"/>
        <v>153</v>
      </c>
      <c r="J249" s="8">
        <f>AVERAGE(Table1[[#This Row],[math score]:[writing score]])</f>
        <v>51</v>
      </c>
      <c r="K249" s="2">
        <f t="shared" si="6"/>
        <v>300</v>
      </c>
      <c r="L249" s="4">
        <f>Table1[[#This Row],[Total Score]]/Table1[[#This Row],[Minimum Mark]]</f>
        <v>0.51</v>
      </c>
      <c r="M249" s="70" t="str">
        <f>_xlfn.XLOOKUP(Table1[[#This Row],[Pass(%)]],O:O,P:P,,-1)</f>
        <v>D</v>
      </c>
    </row>
    <row r="250" spans="1:13" x14ac:dyDescent="0.35">
      <c r="A250" s="2" t="s">
        <v>17</v>
      </c>
      <c r="B250" s="2" t="s">
        <v>21</v>
      </c>
      <c r="C250" s="6" t="s">
        <v>23</v>
      </c>
      <c r="D250" s="6" t="s">
        <v>11</v>
      </c>
      <c r="E250" s="6" t="s">
        <v>12</v>
      </c>
      <c r="F250" s="6">
        <v>75</v>
      </c>
      <c r="G250" s="6">
        <v>74</v>
      </c>
      <c r="H250" s="6">
        <v>69</v>
      </c>
      <c r="I250" s="2">
        <f t="shared" si="7"/>
        <v>218</v>
      </c>
      <c r="J250" s="8">
        <f>AVERAGE(Table1[[#This Row],[math score]:[writing score]])</f>
        <v>72.666666666666671</v>
      </c>
      <c r="K250" s="2">
        <f t="shared" si="6"/>
        <v>300</v>
      </c>
      <c r="L250" s="4">
        <f>Table1[[#This Row],[Total Score]]/Table1[[#This Row],[Minimum Mark]]</f>
        <v>0.72666666666666668</v>
      </c>
      <c r="M250" s="70" t="str">
        <f>_xlfn.XLOOKUP(Table1[[#This Row],[Pass(%)]],O:O,P:P,,-1)</f>
        <v>C-</v>
      </c>
    </row>
    <row r="251" spans="1:13" ht="20.5" x14ac:dyDescent="0.8">
      <c r="A251" s="3" t="s">
        <v>17</v>
      </c>
      <c r="B251" s="3" t="s">
        <v>13</v>
      </c>
      <c r="C251" s="7" t="s">
        <v>19</v>
      </c>
      <c r="D251" s="7" t="s">
        <v>11</v>
      </c>
      <c r="E251" s="7" t="s">
        <v>12</v>
      </c>
      <c r="F251" s="7">
        <v>85</v>
      </c>
      <c r="G251" s="7">
        <v>76</v>
      </c>
      <c r="H251" s="7">
        <v>71</v>
      </c>
      <c r="I251" s="3">
        <f t="shared" si="7"/>
        <v>232</v>
      </c>
      <c r="J251" s="14">
        <f>AVERAGE(Table1[[#This Row],[math score]:[writing score]])</f>
        <v>77.333333333333329</v>
      </c>
      <c r="K251" s="3">
        <f t="shared" si="6"/>
        <v>300</v>
      </c>
      <c r="L251" s="5">
        <f>Table1[[#This Row],[Total Score]]/Table1[[#This Row],[Minimum Mark]]</f>
        <v>0.77333333333333332</v>
      </c>
      <c r="M251" s="71" t="str">
        <f>_xlfn.XLOOKUP(Table1[[#This Row],[Pass(%)]],O:O,P:P,,-1)</f>
        <v>C+</v>
      </c>
    </row>
    <row r="252" spans="1:13" ht="20.5" x14ac:dyDescent="0.8">
      <c r="A252" s="3" t="s">
        <v>17</v>
      </c>
      <c r="B252" s="3" t="s">
        <v>24</v>
      </c>
      <c r="C252" s="7" t="s">
        <v>19</v>
      </c>
      <c r="D252" s="7" t="s">
        <v>11</v>
      </c>
      <c r="E252" s="7" t="s">
        <v>12</v>
      </c>
      <c r="F252" s="7">
        <v>89</v>
      </c>
      <c r="G252" s="7">
        <v>76</v>
      </c>
      <c r="H252" s="7">
        <v>74</v>
      </c>
      <c r="I252" s="3">
        <f t="shared" si="7"/>
        <v>239</v>
      </c>
      <c r="J252" s="14">
        <f>AVERAGE(Table1[[#This Row],[math score]:[writing score]])</f>
        <v>79.666666666666671</v>
      </c>
      <c r="K252" s="3">
        <f t="shared" si="6"/>
        <v>300</v>
      </c>
      <c r="L252" s="5">
        <f>Table1[[#This Row],[Total Score]]/Table1[[#This Row],[Minimum Mark]]</f>
        <v>0.79666666666666663</v>
      </c>
      <c r="M252" s="71" t="str">
        <f>_xlfn.XLOOKUP(Table1[[#This Row],[Pass(%)]],O:O,P:P,,-1)</f>
        <v>C+</v>
      </c>
    </row>
    <row r="253" spans="1:13" x14ac:dyDescent="0.35">
      <c r="A253" s="2" t="s">
        <v>8</v>
      </c>
      <c r="B253" s="2" t="s">
        <v>9</v>
      </c>
      <c r="C253" s="6" t="s">
        <v>22</v>
      </c>
      <c r="D253" s="6" t="s">
        <v>11</v>
      </c>
      <c r="E253" s="6" t="s">
        <v>15</v>
      </c>
      <c r="F253" s="6">
        <v>58</v>
      </c>
      <c r="G253" s="6">
        <v>70</v>
      </c>
      <c r="H253" s="6">
        <v>68</v>
      </c>
      <c r="I253" s="2">
        <f t="shared" si="7"/>
        <v>196</v>
      </c>
      <c r="J253" s="8">
        <f>AVERAGE(Table1[[#This Row],[math score]:[writing score]])</f>
        <v>65.333333333333329</v>
      </c>
      <c r="K253" s="2">
        <f t="shared" si="6"/>
        <v>300</v>
      </c>
      <c r="L253" s="4">
        <f>Table1[[#This Row],[Total Score]]/Table1[[#This Row],[Minimum Mark]]</f>
        <v>0.65333333333333332</v>
      </c>
      <c r="M253" s="70" t="str">
        <f>_xlfn.XLOOKUP(Table1[[#This Row],[Pass(%)]],O:O,P:P,,-1)</f>
        <v>D+</v>
      </c>
    </row>
    <row r="254" spans="1:13" x14ac:dyDescent="0.35">
      <c r="A254" s="2" t="s">
        <v>8</v>
      </c>
      <c r="B254" s="2" t="s">
        <v>9</v>
      </c>
      <c r="C254" s="6" t="s">
        <v>22</v>
      </c>
      <c r="D254" s="6" t="s">
        <v>11</v>
      </c>
      <c r="E254" s="6" t="s">
        <v>12</v>
      </c>
      <c r="F254" s="6">
        <v>65</v>
      </c>
      <c r="G254" s="6">
        <v>64</v>
      </c>
      <c r="H254" s="6">
        <v>62</v>
      </c>
      <c r="I254" s="2">
        <f t="shared" si="7"/>
        <v>191</v>
      </c>
      <c r="J254" s="8">
        <f>AVERAGE(Table1[[#This Row],[math score]:[writing score]])</f>
        <v>63.666666666666664</v>
      </c>
      <c r="K254" s="2">
        <f t="shared" si="6"/>
        <v>300</v>
      </c>
      <c r="L254" s="4">
        <f>Table1[[#This Row],[Total Score]]/Table1[[#This Row],[Minimum Mark]]</f>
        <v>0.63666666666666671</v>
      </c>
      <c r="M254" s="70" t="str">
        <f>_xlfn.XLOOKUP(Table1[[#This Row],[Pass(%)]],O:O,P:P,,-1)</f>
        <v>D+</v>
      </c>
    </row>
    <row r="255" spans="1:13" x14ac:dyDescent="0.35">
      <c r="A255" s="2" t="s">
        <v>17</v>
      </c>
      <c r="B255" s="2" t="s">
        <v>13</v>
      </c>
      <c r="C255" s="6" t="s">
        <v>22</v>
      </c>
      <c r="D255" s="6" t="s">
        <v>11</v>
      </c>
      <c r="E255" s="6" t="s">
        <v>12</v>
      </c>
      <c r="F255" s="6">
        <v>68</v>
      </c>
      <c r="G255" s="6">
        <v>60</v>
      </c>
      <c r="H255" s="6">
        <v>53</v>
      </c>
      <c r="I255" s="2">
        <f t="shared" si="7"/>
        <v>181</v>
      </c>
      <c r="J255" s="8">
        <f>AVERAGE(Table1[[#This Row],[math score]:[writing score]])</f>
        <v>60.333333333333336</v>
      </c>
      <c r="K255" s="2">
        <f t="shared" si="6"/>
        <v>300</v>
      </c>
      <c r="L255" s="4">
        <f>Table1[[#This Row],[Total Score]]/Table1[[#This Row],[Minimum Mark]]</f>
        <v>0.60333333333333339</v>
      </c>
      <c r="M255" s="70" t="str">
        <f>_xlfn.XLOOKUP(Table1[[#This Row],[Pass(%)]],O:O,P:P,,-1)</f>
        <v>D+</v>
      </c>
    </row>
    <row r="256" spans="1:13" x14ac:dyDescent="0.35">
      <c r="A256" s="2" t="s">
        <v>17</v>
      </c>
      <c r="B256" s="2" t="s">
        <v>18</v>
      </c>
      <c r="C256" s="6" t="s">
        <v>23</v>
      </c>
      <c r="D256" s="6" t="s">
        <v>11</v>
      </c>
      <c r="E256" s="6" t="s">
        <v>15</v>
      </c>
      <c r="F256" s="6">
        <v>47</v>
      </c>
      <c r="G256" s="6">
        <v>49</v>
      </c>
      <c r="H256" s="6">
        <v>49</v>
      </c>
      <c r="I256" s="2">
        <f t="shared" si="7"/>
        <v>145</v>
      </c>
      <c r="J256" s="8">
        <f>AVERAGE(Table1[[#This Row],[math score]:[writing score]])</f>
        <v>48.333333333333336</v>
      </c>
      <c r="K256" s="2">
        <f t="shared" si="6"/>
        <v>300</v>
      </c>
      <c r="L256" s="4">
        <f>Table1[[#This Row],[Total Score]]/Table1[[#This Row],[Minimum Mark]]</f>
        <v>0.48333333333333334</v>
      </c>
      <c r="M256" s="70" t="str">
        <f>_xlfn.XLOOKUP(Table1[[#This Row],[Pass(%)]],O:O,P:P,,-1)</f>
        <v>D</v>
      </c>
    </row>
    <row r="257" spans="1:13" x14ac:dyDescent="0.35">
      <c r="A257" s="2" t="s">
        <v>8</v>
      </c>
      <c r="B257" s="2" t="s">
        <v>21</v>
      </c>
      <c r="C257" s="6" t="s">
        <v>14</v>
      </c>
      <c r="D257" s="6" t="s">
        <v>20</v>
      </c>
      <c r="E257" s="6" t="s">
        <v>12</v>
      </c>
      <c r="F257" s="6">
        <v>71</v>
      </c>
      <c r="G257" s="6">
        <v>83</v>
      </c>
      <c r="H257" s="6">
        <v>83</v>
      </c>
      <c r="I257" s="2">
        <f t="shared" si="7"/>
        <v>237</v>
      </c>
      <c r="J257" s="8">
        <f>AVERAGE(Table1[[#This Row],[math score]:[writing score]])</f>
        <v>79</v>
      </c>
      <c r="K257" s="2">
        <f t="shared" si="6"/>
        <v>300</v>
      </c>
      <c r="L257" s="4">
        <f>Table1[[#This Row],[Total Score]]/Table1[[#This Row],[Minimum Mark]]</f>
        <v>0.79</v>
      </c>
      <c r="M257" s="70" t="str">
        <f>_xlfn.XLOOKUP(Table1[[#This Row],[Pass(%)]],O:O,P:P,,-1)</f>
        <v>C+</v>
      </c>
    </row>
    <row r="258" spans="1:13" x14ac:dyDescent="0.35">
      <c r="A258" s="2" t="s">
        <v>8</v>
      </c>
      <c r="B258" s="2" t="s">
        <v>9</v>
      </c>
      <c r="C258" s="6" t="s">
        <v>23</v>
      </c>
      <c r="D258" s="6" t="s">
        <v>11</v>
      </c>
      <c r="E258" s="6" t="s">
        <v>15</v>
      </c>
      <c r="F258" s="6">
        <v>60</v>
      </c>
      <c r="G258" s="6">
        <v>70</v>
      </c>
      <c r="H258" s="6">
        <v>70</v>
      </c>
      <c r="I258" s="2">
        <f t="shared" si="7"/>
        <v>200</v>
      </c>
      <c r="J258" s="8">
        <f>AVERAGE(Table1[[#This Row],[math score]:[writing score]])</f>
        <v>66.666666666666671</v>
      </c>
      <c r="K258" s="2">
        <f t="shared" si="6"/>
        <v>300</v>
      </c>
      <c r="L258" s="4">
        <f>Table1[[#This Row],[Total Score]]/Table1[[#This Row],[Minimum Mark]]</f>
        <v>0.66666666666666663</v>
      </c>
      <c r="M258" s="70" t="str">
        <f>_xlfn.XLOOKUP(Table1[[#This Row],[Pass(%)]],O:O,P:P,,-1)</f>
        <v>D+</v>
      </c>
    </row>
    <row r="259" spans="1:13" x14ac:dyDescent="0.35">
      <c r="A259" s="2" t="s">
        <v>17</v>
      </c>
      <c r="B259" s="2" t="s">
        <v>21</v>
      </c>
      <c r="C259" s="6" t="s">
        <v>16</v>
      </c>
      <c r="D259" s="6" t="s">
        <v>11</v>
      </c>
      <c r="E259" s="6" t="s">
        <v>12</v>
      </c>
      <c r="F259" s="6">
        <v>80</v>
      </c>
      <c r="G259" s="6">
        <v>80</v>
      </c>
      <c r="H259" s="6">
        <v>72</v>
      </c>
      <c r="I259" s="2">
        <f t="shared" si="7"/>
        <v>232</v>
      </c>
      <c r="J259" s="8">
        <f>AVERAGE(Table1[[#This Row],[math score]:[writing score]])</f>
        <v>77.333333333333329</v>
      </c>
      <c r="K259" s="2">
        <f t="shared" si="6"/>
        <v>300</v>
      </c>
      <c r="L259" s="4">
        <f>Table1[[#This Row],[Total Score]]/Table1[[#This Row],[Minimum Mark]]</f>
        <v>0.77333333333333332</v>
      </c>
      <c r="M259" s="70" t="str">
        <f>_xlfn.XLOOKUP(Table1[[#This Row],[Pass(%)]],O:O,P:P,,-1)</f>
        <v>C+</v>
      </c>
    </row>
    <row r="260" spans="1:13" x14ac:dyDescent="0.35">
      <c r="A260" s="2" t="s">
        <v>17</v>
      </c>
      <c r="B260" s="2" t="s">
        <v>21</v>
      </c>
      <c r="C260" s="6" t="s">
        <v>22</v>
      </c>
      <c r="D260" s="6" t="s">
        <v>11</v>
      </c>
      <c r="E260" s="6" t="s">
        <v>12</v>
      </c>
      <c r="F260" s="6">
        <v>54</v>
      </c>
      <c r="G260" s="6">
        <v>52</v>
      </c>
      <c r="H260" s="6">
        <v>52</v>
      </c>
      <c r="I260" s="2">
        <f t="shared" si="7"/>
        <v>158</v>
      </c>
      <c r="J260" s="8">
        <f>AVERAGE(Table1[[#This Row],[math score]:[writing score]])</f>
        <v>52.666666666666664</v>
      </c>
      <c r="K260" s="2">
        <f t="shared" si="6"/>
        <v>300</v>
      </c>
      <c r="L260" s="4">
        <f>Table1[[#This Row],[Total Score]]/Table1[[#This Row],[Minimum Mark]]</f>
        <v>0.52666666666666662</v>
      </c>
      <c r="M260" s="70" t="str">
        <f>_xlfn.XLOOKUP(Table1[[#This Row],[Pass(%)]],O:O,P:P,,-1)</f>
        <v>D</v>
      </c>
    </row>
    <row r="261" spans="1:13" x14ac:dyDescent="0.35">
      <c r="A261" s="2" t="s">
        <v>8</v>
      </c>
      <c r="B261" s="2" t="s">
        <v>24</v>
      </c>
      <c r="C261" s="6" t="s">
        <v>14</v>
      </c>
      <c r="D261" s="6" t="s">
        <v>11</v>
      </c>
      <c r="E261" s="6" t="s">
        <v>12</v>
      </c>
      <c r="F261" s="6">
        <v>62</v>
      </c>
      <c r="G261" s="6">
        <v>73</v>
      </c>
      <c r="H261" s="6">
        <v>70</v>
      </c>
      <c r="I261" s="2">
        <f t="shared" si="7"/>
        <v>205</v>
      </c>
      <c r="J261" s="8">
        <f>AVERAGE(Table1[[#This Row],[math score]:[writing score]])</f>
        <v>68.333333333333329</v>
      </c>
      <c r="K261" s="2">
        <f t="shared" si="6"/>
        <v>300</v>
      </c>
      <c r="L261" s="4">
        <f>Table1[[#This Row],[Total Score]]/Table1[[#This Row],[Minimum Mark]]</f>
        <v>0.68333333333333335</v>
      </c>
      <c r="M261" s="70" t="str">
        <f>_xlfn.XLOOKUP(Table1[[#This Row],[Pass(%)]],O:O,P:P,,-1)</f>
        <v>D+</v>
      </c>
    </row>
    <row r="262" spans="1:13" ht="20.5" x14ac:dyDescent="0.8">
      <c r="A262" s="3" t="s">
        <v>8</v>
      </c>
      <c r="B262" s="3" t="s">
        <v>13</v>
      </c>
      <c r="C262" s="7" t="s">
        <v>19</v>
      </c>
      <c r="D262" s="7" t="s">
        <v>20</v>
      </c>
      <c r="E262" s="7" t="s">
        <v>12</v>
      </c>
      <c r="F262" s="7">
        <v>64</v>
      </c>
      <c r="G262" s="7">
        <v>73</v>
      </c>
      <c r="H262" s="7">
        <v>68</v>
      </c>
      <c r="I262" s="3">
        <f t="shared" si="7"/>
        <v>205</v>
      </c>
      <c r="J262" s="14">
        <f>AVERAGE(Table1[[#This Row],[math score]:[writing score]])</f>
        <v>68.333333333333329</v>
      </c>
      <c r="K262" s="3">
        <f t="shared" ref="K262:K325" si="8">3*100</f>
        <v>300</v>
      </c>
      <c r="L262" s="5">
        <f>Table1[[#This Row],[Total Score]]/Table1[[#This Row],[Minimum Mark]]</f>
        <v>0.68333333333333335</v>
      </c>
      <c r="M262" s="71" t="str">
        <f>_xlfn.XLOOKUP(Table1[[#This Row],[Pass(%)]],O:O,P:P,,-1)</f>
        <v>D+</v>
      </c>
    </row>
    <row r="263" spans="1:13" ht="20.5" x14ac:dyDescent="0.8">
      <c r="A263" s="3" t="s">
        <v>17</v>
      </c>
      <c r="B263" s="3" t="s">
        <v>13</v>
      </c>
      <c r="C263" s="7" t="s">
        <v>19</v>
      </c>
      <c r="D263" s="7" t="s">
        <v>11</v>
      </c>
      <c r="E263" s="7" t="s">
        <v>15</v>
      </c>
      <c r="F263" s="7">
        <v>78</v>
      </c>
      <c r="G263" s="7">
        <v>77</v>
      </c>
      <c r="H263" s="7">
        <v>77</v>
      </c>
      <c r="I263" s="3">
        <f t="shared" ref="I263:I326" si="9">SUM(F263:H263)</f>
        <v>232</v>
      </c>
      <c r="J263" s="14">
        <f>AVERAGE(Table1[[#This Row],[math score]:[writing score]])</f>
        <v>77.333333333333329</v>
      </c>
      <c r="K263" s="3">
        <f t="shared" si="8"/>
        <v>300</v>
      </c>
      <c r="L263" s="5">
        <f>Table1[[#This Row],[Total Score]]/Table1[[#This Row],[Minimum Mark]]</f>
        <v>0.77333333333333332</v>
      </c>
      <c r="M263" s="71" t="str">
        <f>_xlfn.XLOOKUP(Table1[[#This Row],[Pass(%)]],O:O,P:P,,-1)</f>
        <v>C+</v>
      </c>
    </row>
    <row r="264" spans="1:13" x14ac:dyDescent="0.35">
      <c r="A264" s="2" t="s">
        <v>8</v>
      </c>
      <c r="B264" s="2" t="s">
        <v>9</v>
      </c>
      <c r="C264" s="6" t="s">
        <v>14</v>
      </c>
      <c r="D264" s="6" t="s">
        <v>11</v>
      </c>
      <c r="E264" s="6" t="s">
        <v>12</v>
      </c>
      <c r="F264" s="6">
        <v>70</v>
      </c>
      <c r="G264" s="6">
        <v>75</v>
      </c>
      <c r="H264" s="6">
        <v>78</v>
      </c>
      <c r="I264" s="2">
        <f t="shared" si="9"/>
        <v>223</v>
      </c>
      <c r="J264" s="8">
        <f>AVERAGE(Table1[[#This Row],[math score]:[writing score]])</f>
        <v>74.333333333333329</v>
      </c>
      <c r="K264" s="2">
        <f t="shared" si="8"/>
        <v>300</v>
      </c>
      <c r="L264" s="4">
        <f>Table1[[#This Row],[Total Score]]/Table1[[#This Row],[Minimum Mark]]</f>
        <v>0.74333333333333329</v>
      </c>
      <c r="M264" s="70" t="str">
        <f>_xlfn.XLOOKUP(Table1[[#This Row],[Pass(%)]],O:O,P:P,,-1)</f>
        <v>C</v>
      </c>
    </row>
    <row r="265" spans="1:13" x14ac:dyDescent="0.35">
      <c r="A265" s="2" t="s">
        <v>8</v>
      </c>
      <c r="B265" s="2" t="s">
        <v>13</v>
      </c>
      <c r="C265" s="6" t="s">
        <v>16</v>
      </c>
      <c r="D265" s="6" t="s">
        <v>20</v>
      </c>
      <c r="E265" s="6" t="s">
        <v>15</v>
      </c>
      <c r="F265" s="6">
        <v>65</v>
      </c>
      <c r="G265" s="6">
        <v>81</v>
      </c>
      <c r="H265" s="6">
        <v>81</v>
      </c>
      <c r="I265" s="2">
        <f t="shared" si="9"/>
        <v>227</v>
      </c>
      <c r="J265" s="8">
        <f>AVERAGE(Table1[[#This Row],[math score]:[writing score]])</f>
        <v>75.666666666666671</v>
      </c>
      <c r="K265" s="2">
        <f t="shared" si="8"/>
        <v>300</v>
      </c>
      <c r="L265" s="4">
        <f>Table1[[#This Row],[Total Score]]/Table1[[#This Row],[Minimum Mark]]</f>
        <v>0.75666666666666671</v>
      </c>
      <c r="M265" s="70" t="str">
        <f>_xlfn.XLOOKUP(Table1[[#This Row],[Pass(%)]],O:O,P:P,,-1)</f>
        <v>C</v>
      </c>
    </row>
    <row r="266" spans="1:13" x14ac:dyDescent="0.35">
      <c r="A266" s="2" t="s">
        <v>8</v>
      </c>
      <c r="B266" s="2" t="s">
        <v>13</v>
      </c>
      <c r="C266" s="6" t="s">
        <v>23</v>
      </c>
      <c r="D266" s="6" t="s">
        <v>20</v>
      </c>
      <c r="E266" s="6" t="s">
        <v>15</v>
      </c>
      <c r="F266" s="6">
        <v>64</v>
      </c>
      <c r="G266" s="6">
        <v>79</v>
      </c>
      <c r="H266" s="6">
        <v>77</v>
      </c>
      <c r="I266" s="2">
        <f t="shared" si="9"/>
        <v>220</v>
      </c>
      <c r="J266" s="8">
        <f>AVERAGE(Table1[[#This Row],[math score]:[writing score]])</f>
        <v>73.333333333333329</v>
      </c>
      <c r="K266" s="2">
        <f t="shared" si="8"/>
        <v>300</v>
      </c>
      <c r="L266" s="4">
        <f>Table1[[#This Row],[Total Score]]/Table1[[#This Row],[Minimum Mark]]</f>
        <v>0.73333333333333328</v>
      </c>
      <c r="M266" s="70" t="str">
        <f>_xlfn.XLOOKUP(Table1[[#This Row],[Pass(%)]],O:O,P:P,,-1)</f>
        <v>C</v>
      </c>
    </row>
    <row r="267" spans="1:13" x14ac:dyDescent="0.35">
      <c r="A267" s="2" t="s">
        <v>17</v>
      </c>
      <c r="B267" s="2" t="s">
        <v>13</v>
      </c>
      <c r="C267" s="6" t="s">
        <v>14</v>
      </c>
      <c r="D267" s="6" t="s">
        <v>11</v>
      </c>
      <c r="E267" s="6" t="s">
        <v>15</v>
      </c>
      <c r="F267" s="6">
        <v>79</v>
      </c>
      <c r="G267" s="6">
        <v>79</v>
      </c>
      <c r="H267" s="6">
        <v>78</v>
      </c>
      <c r="I267" s="2">
        <f t="shared" si="9"/>
        <v>236</v>
      </c>
      <c r="J267" s="8">
        <f>AVERAGE(Table1[[#This Row],[math score]:[writing score]])</f>
        <v>78.666666666666671</v>
      </c>
      <c r="K267" s="2">
        <f t="shared" si="8"/>
        <v>300</v>
      </c>
      <c r="L267" s="4">
        <f>Table1[[#This Row],[Total Score]]/Table1[[#This Row],[Minimum Mark]]</f>
        <v>0.78666666666666663</v>
      </c>
      <c r="M267" s="70" t="str">
        <f>_xlfn.XLOOKUP(Table1[[#This Row],[Pass(%)]],O:O,P:P,,-1)</f>
        <v>C+</v>
      </c>
    </row>
    <row r="268" spans="1:13" x14ac:dyDescent="0.35">
      <c r="A268" s="2" t="s">
        <v>8</v>
      </c>
      <c r="B268" s="2" t="s">
        <v>13</v>
      </c>
      <c r="C268" s="6" t="s">
        <v>23</v>
      </c>
      <c r="D268" s="6" t="s">
        <v>20</v>
      </c>
      <c r="E268" s="6" t="s">
        <v>12</v>
      </c>
      <c r="F268" s="6">
        <v>44</v>
      </c>
      <c r="G268" s="6">
        <v>50</v>
      </c>
      <c r="H268" s="6">
        <v>51</v>
      </c>
      <c r="I268" s="2">
        <f t="shared" si="9"/>
        <v>145</v>
      </c>
      <c r="J268" s="8">
        <f>AVERAGE(Table1[[#This Row],[math score]:[writing score]])</f>
        <v>48.333333333333336</v>
      </c>
      <c r="K268" s="2">
        <f t="shared" si="8"/>
        <v>300</v>
      </c>
      <c r="L268" s="4">
        <f>Table1[[#This Row],[Total Score]]/Table1[[#This Row],[Minimum Mark]]</f>
        <v>0.48333333333333334</v>
      </c>
      <c r="M268" s="70" t="str">
        <f>_xlfn.XLOOKUP(Table1[[#This Row],[Pass(%)]],O:O,P:P,,-1)</f>
        <v>D</v>
      </c>
    </row>
    <row r="269" spans="1:13" x14ac:dyDescent="0.35">
      <c r="A269" s="2" t="s">
        <v>8</v>
      </c>
      <c r="B269" s="2" t="s">
        <v>24</v>
      </c>
      <c r="C269" s="6" t="s">
        <v>22</v>
      </c>
      <c r="D269" s="6" t="s">
        <v>11</v>
      </c>
      <c r="E269" s="6" t="s">
        <v>12</v>
      </c>
      <c r="F269" s="6">
        <v>99</v>
      </c>
      <c r="G269" s="6">
        <v>93</v>
      </c>
      <c r="H269" s="6">
        <v>90</v>
      </c>
      <c r="I269" s="2">
        <f t="shared" si="9"/>
        <v>282</v>
      </c>
      <c r="J269" s="8">
        <f>AVERAGE(Table1[[#This Row],[math score]:[writing score]])</f>
        <v>94</v>
      </c>
      <c r="K269" s="2">
        <f t="shared" si="8"/>
        <v>300</v>
      </c>
      <c r="L269" s="4">
        <f>Table1[[#This Row],[Total Score]]/Table1[[#This Row],[Minimum Mark]]</f>
        <v>0.94</v>
      </c>
      <c r="M269" s="70" t="str">
        <f>_xlfn.XLOOKUP(Table1[[#This Row],[Pass(%)]],O:O,P:P,,-1)</f>
        <v>A</v>
      </c>
    </row>
    <row r="270" spans="1:13" x14ac:dyDescent="0.35">
      <c r="A270" s="2" t="s">
        <v>17</v>
      </c>
      <c r="B270" s="2" t="s">
        <v>21</v>
      </c>
      <c r="C270" s="6" t="s">
        <v>22</v>
      </c>
      <c r="D270" s="6" t="s">
        <v>11</v>
      </c>
      <c r="E270" s="6" t="s">
        <v>12</v>
      </c>
      <c r="F270" s="6">
        <v>76</v>
      </c>
      <c r="G270" s="6">
        <v>73</v>
      </c>
      <c r="H270" s="6">
        <v>68</v>
      </c>
      <c r="I270" s="2">
        <f t="shared" si="9"/>
        <v>217</v>
      </c>
      <c r="J270" s="8">
        <f>AVERAGE(Table1[[#This Row],[math score]:[writing score]])</f>
        <v>72.333333333333329</v>
      </c>
      <c r="K270" s="2">
        <f t="shared" si="8"/>
        <v>300</v>
      </c>
      <c r="L270" s="4">
        <f>Table1[[#This Row],[Total Score]]/Table1[[#This Row],[Minimum Mark]]</f>
        <v>0.72333333333333338</v>
      </c>
      <c r="M270" s="70" t="str">
        <f>_xlfn.XLOOKUP(Table1[[#This Row],[Pass(%)]],O:O,P:P,,-1)</f>
        <v>C-</v>
      </c>
    </row>
    <row r="271" spans="1:13" x14ac:dyDescent="0.35">
      <c r="A271" s="2" t="s">
        <v>17</v>
      </c>
      <c r="B271" s="2" t="s">
        <v>21</v>
      </c>
      <c r="C271" s="6" t="s">
        <v>23</v>
      </c>
      <c r="D271" s="6" t="s">
        <v>20</v>
      </c>
      <c r="E271" s="6" t="s">
        <v>12</v>
      </c>
      <c r="F271" s="6">
        <v>59</v>
      </c>
      <c r="G271" s="6">
        <v>42</v>
      </c>
      <c r="H271" s="6">
        <v>41</v>
      </c>
      <c r="I271" s="2">
        <f t="shared" si="9"/>
        <v>142</v>
      </c>
      <c r="J271" s="8">
        <f>AVERAGE(Table1[[#This Row],[math score]:[writing score]])</f>
        <v>47.333333333333336</v>
      </c>
      <c r="K271" s="2">
        <f t="shared" si="8"/>
        <v>300</v>
      </c>
      <c r="L271" s="4">
        <f>Table1[[#This Row],[Total Score]]/Table1[[#This Row],[Minimum Mark]]</f>
        <v>0.47333333333333333</v>
      </c>
      <c r="M271" s="70" t="str">
        <f>_xlfn.XLOOKUP(Table1[[#This Row],[Pass(%)]],O:O,P:P,,-1)</f>
        <v>D</v>
      </c>
    </row>
    <row r="272" spans="1:13" x14ac:dyDescent="0.35">
      <c r="A272" s="2" t="s">
        <v>8</v>
      </c>
      <c r="B272" s="2" t="s">
        <v>13</v>
      </c>
      <c r="C272" s="6" t="s">
        <v>10</v>
      </c>
      <c r="D272" s="6" t="s">
        <v>11</v>
      </c>
      <c r="E272" s="6" t="s">
        <v>12</v>
      </c>
      <c r="F272" s="6">
        <v>63</v>
      </c>
      <c r="G272" s="6">
        <v>75</v>
      </c>
      <c r="H272" s="6">
        <v>81</v>
      </c>
      <c r="I272" s="2">
        <f t="shared" si="9"/>
        <v>219</v>
      </c>
      <c r="J272" s="8">
        <f>AVERAGE(Table1[[#This Row],[math score]:[writing score]])</f>
        <v>73</v>
      </c>
      <c r="K272" s="2">
        <f t="shared" si="8"/>
        <v>300</v>
      </c>
      <c r="L272" s="4">
        <f>Table1[[#This Row],[Total Score]]/Table1[[#This Row],[Minimum Mark]]</f>
        <v>0.73</v>
      </c>
      <c r="M272" s="70" t="str">
        <f>_xlfn.XLOOKUP(Table1[[#This Row],[Pass(%)]],O:O,P:P,,-1)</f>
        <v>C</v>
      </c>
    </row>
    <row r="273" spans="1:13" x14ac:dyDescent="0.35">
      <c r="A273" s="2" t="s">
        <v>8</v>
      </c>
      <c r="B273" s="2" t="s">
        <v>21</v>
      </c>
      <c r="C273" s="6" t="s">
        <v>22</v>
      </c>
      <c r="D273" s="6" t="s">
        <v>11</v>
      </c>
      <c r="E273" s="6" t="s">
        <v>12</v>
      </c>
      <c r="F273" s="6">
        <v>69</v>
      </c>
      <c r="G273" s="6">
        <v>72</v>
      </c>
      <c r="H273" s="6">
        <v>77</v>
      </c>
      <c r="I273" s="2">
        <f t="shared" si="9"/>
        <v>218</v>
      </c>
      <c r="J273" s="8">
        <f>AVERAGE(Table1[[#This Row],[math score]:[writing score]])</f>
        <v>72.666666666666671</v>
      </c>
      <c r="K273" s="2">
        <f t="shared" si="8"/>
        <v>300</v>
      </c>
      <c r="L273" s="4">
        <f>Table1[[#This Row],[Total Score]]/Table1[[#This Row],[Minimum Mark]]</f>
        <v>0.72666666666666668</v>
      </c>
      <c r="M273" s="70" t="str">
        <f>_xlfn.XLOOKUP(Table1[[#This Row],[Pass(%)]],O:O,P:P,,-1)</f>
        <v>C-</v>
      </c>
    </row>
    <row r="274" spans="1:13" ht="20.5" x14ac:dyDescent="0.8">
      <c r="A274" s="3" t="s">
        <v>8</v>
      </c>
      <c r="B274" s="3" t="s">
        <v>21</v>
      </c>
      <c r="C274" s="7" t="s">
        <v>19</v>
      </c>
      <c r="D274" s="7" t="s">
        <v>11</v>
      </c>
      <c r="E274" s="7" t="s">
        <v>15</v>
      </c>
      <c r="F274" s="7">
        <v>88</v>
      </c>
      <c r="G274" s="7">
        <v>92</v>
      </c>
      <c r="H274" s="7">
        <v>95</v>
      </c>
      <c r="I274" s="3">
        <f t="shared" si="9"/>
        <v>275</v>
      </c>
      <c r="J274" s="14">
        <f>AVERAGE(Table1[[#This Row],[math score]:[writing score]])</f>
        <v>91.666666666666671</v>
      </c>
      <c r="K274" s="3">
        <f t="shared" si="8"/>
        <v>300</v>
      </c>
      <c r="L274" s="5">
        <f>Table1[[#This Row],[Total Score]]/Table1[[#This Row],[Minimum Mark]]</f>
        <v>0.91666666666666663</v>
      </c>
      <c r="M274" s="71" t="str">
        <f>_xlfn.XLOOKUP(Table1[[#This Row],[Pass(%)]],O:O,P:P,,-1)</f>
        <v>A-</v>
      </c>
    </row>
    <row r="275" spans="1:13" x14ac:dyDescent="0.35">
      <c r="A275" s="2" t="s">
        <v>8</v>
      </c>
      <c r="B275" s="2" t="s">
        <v>24</v>
      </c>
      <c r="C275" s="6" t="s">
        <v>14</v>
      </c>
      <c r="D275" s="6" t="s">
        <v>20</v>
      </c>
      <c r="E275" s="6" t="s">
        <v>12</v>
      </c>
      <c r="F275" s="6">
        <v>71</v>
      </c>
      <c r="G275" s="6">
        <v>76</v>
      </c>
      <c r="H275" s="6">
        <v>70</v>
      </c>
      <c r="I275" s="2">
        <f t="shared" si="9"/>
        <v>217</v>
      </c>
      <c r="J275" s="8">
        <f>AVERAGE(Table1[[#This Row],[math score]:[writing score]])</f>
        <v>72.333333333333329</v>
      </c>
      <c r="K275" s="2">
        <f t="shared" si="8"/>
        <v>300</v>
      </c>
      <c r="L275" s="4">
        <f>Table1[[#This Row],[Total Score]]/Table1[[#This Row],[Minimum Mark]]</f>
        <v>0.72333333333333338</v>
      </c>
      <c r="M275" s="70" t="str">
        <f>_xlfn.XLOOKUP(Table1[[#This Row],[Pass(%)]],O:O,P:P,,-1)</f>
        <v>C-</v>
      </c>
    </row>
    <row r="276" spans="1:13" x14ac:dyDescent="0.35">
      <c r="A276" s="2" t="s">
        <v>17</v>
      </c>
      <c r="B276" s="2" t="s">
        <v>13</v>
      </c>
      <c r="C276" s="6" t="s">
        <v>10</v>
      </c>
      <c r="D276" s="6" t="s">
        <v>11</v>
      </c>
      <c r="E276" s="6" t="s">
        <v>12</v>
      </c>
      <c r="F276" s="6">
        <v>69</v>
      </c>
      <c r="G276" s="6">
        <v>63</v>
      </c>
      <c r="H276" s="6">
        <v>61</v>
      </c>
      <c r="I276" s="2">
        <f t="shared" si="9"/>
        <v>193</v>
      </c>
      <c r="J276" s="8">
        <f>AVERAGE(Table1[[#This Row],[math score]:[writing score]])</f>
        <v>64.333333333333329</v>
      </c>
      <c r="K276" s="2">
        <f t="shared" si="8"/>
        <v>300</v>
      </c>
      <c r="L276" s="4">
        <f>Table1[[#This Row],[Total Score]]/Table1[[#This Row],[Minimum Mark]]</f>
        <v>0.64333333333333331</v>
      </c>
      <c r="M276" s="70" t="str">
        <f>_xlfn.XLOOKUP(Table1[[#This Row],[Pass(%)]],O:O,P:P,,-1)</f>
        <v>D+</v>
      </c>
    </row>
    <row r="277" spans="1:13" x14ac:dyDescent="0.35">
      <c r="A277" s="2" t="s">
        <v>17</v>
      </c>
      <c r="B277" s="2" t="s">
        <v>13</v>
      </c>
      <c r="C277" s="6" t="s">
        <v>14</v>
      </c>
      <c r="D277" s="6" t="s">
        <v>11</v>
      </c>
      <c r="E277" s="6" t="s">
        <v>12</v>
      </c>
      <c r="F277" s="6">
        <v>58</v>
      </c>
      <c r="G277" s="6">
        <v>49</v>
      </c>
      <c r="H277" s="6">
        <v>42</v>
      </c>
      <c r="I277" s="2">
        <f t="shared" si="9"/>
        <v>149</v>
      </c>
      <c r="J277" s="8">
        <f>AVERAGE(Table1[[#This Row],[math score]:[writing score]])</f>
        <v>49.666666666666664</v>
      </c>
      <c r="K277" s="2">
        <f t="shared" si="8"/>
        <v>300</v>
      </c>
      <c r="L277" s="4">
        <f>Table1[[#This Row],[Total Score]]/Table1[[#This Row],[Minimum Mark]]</f>
        <v>0.49666666666666665</v>
      </c>
      <c r="M277" s="70" t="str">
        <f>_xlfn.XLOOKUP(Table1[[#This Row],[Pass(%)]],O:O,P:P,,-1)</f>
        <v>D</v>
      </c>
    </row>
    <row r="278" spans="1:13" ht="20.5" x14ac:dyDescent="0.8">
      <c r="A278" s="3" t="s">
        <v>8</v>
      </c>
      <c r="B278" s="3" t="s">
        <v>21</v>
      </c>
      <c r="C278" s="7" t="s">
        <v>19</v>
      </c>
      <c r="D278" s="7" t="s">
        <v>20</v>
      </c>
      <c r="E278" s="7" t="s">
        <v>12</v>
      </c>
      <c r="F278" s="7">
        <v>47</v>
      </c>
      <c r="G278" s="7">
        <v>53</v>
      </c>
      <c r="H278" s="7">
        <v>58</v>
      </c>
      <c r="I278" s="3">
        <f t="shared" si="9"/>
        <v>158</v>
      </c>
      <c r="J278" s="14">
        <f>AVERAGE(Table1[[#This Row],[math score]:[writing score]])</f>
        <v>52.666666666666664</v>
      </c>
      <c r="K278" s="3">
        <f t="shared" si="8"/>
        <v>300</v>
      </c>
      <c r="L278" s="5">
        <f>Table1[[#This Row],[Total Score]]/Table1[[#This Row],[Minimum Mark]]</f>
        <v>0.52666666666666662</v>
      </c>
      <c r="M278" s="71" t="str">
        <f>_xlfn.XLOOKUP(Table1[[#This Row],[Pass(%)]],O:O,P:P,,-1)</f>
        <v>D</v>
      </c>
    </row>
    <row r="279" spans="1:13" x14ac:dyDescent="0.35">
      <c r="A279" s="2" t="s">
        <v>8</v>
      </c>
      <c r="B279" s="2" t="s">
        <v>21</v>
      </c>
      <c r="C279" s="6" t="s">
        <v>14</v>
      </c>
      <c r="D279" s="6" t="s">
        <v>11</v>
      </c>
      <c r="E279" s="6" t="s">
        <v>12</v>
      </c>
      <c r="F279" s="6">
        <v>65</v>
      </c>
      <c r="G279" s="6">
        <v>70</v>
      </c>
      <c r="H279" s="6">
        <v>71</v>
      </c>
      <c r="I279" s="2">
        <f t="shared" si="9"/>
        <v>206</v>
      </c>
      <c r="J279" s="8">
        <f>AVERAGE(Table1[[#This Row],[math score]:[writing score]])</f>
        <v>68.666666666666671</v>
      </c>
      <c r="K279" s="2">
        <f t="shared" si="8"/>
        <v>300</v>
      </c>
      <c r="L279" s="4">
        <f>Table1[[#This Row],[Total Score]]/Table1[[#This Row],[Minimum Mark]]</f>
        <v>0.68666666666666665</v>
      </c>
      <c r="M279" s="70" t="str">
        <f>_xlfn.XLOOKUP(Table1[[#This Row],[Pass(%)]],O:O,P:P,,-1)</f>
        <v>D+</v>
      </c>
    </row>
    <row r="280" spans="1:13" x14ac:dyDescent="0.35">
      <c r="A280" s="2" t="s">
        <v>17</v>
      </c>
      <c r="B280" s="2" t="s">
        <v>9</v>
      </c>
      <c r="C280" s="6" t="s">
        <v>14</v>
      </c>
      <c r="D280" s="6" t="s">
        <v>11</v>
      </c>
      <c r="E280" s="6" t="s">
        <v>15</v>
      </c>
      <c r="F280" s="6">
        <v>88</v>
      </c>
      <c r="G280" s="6">
        <v>85</v>
      </c>
      <c r="H280" s="6">
        <v>76</v>
      </c>
      <c r="I280" s="2">
        <f t="shared" si="9"/>
        <v>249</v>
      </c>
      <c r="J280" s="8">
        <f>AVERAGE(Table1[[#This Row],[math score]:[writing score]])</f>
        <v>83</v>
      </c>
      <c r="K280" s="2">
        <f t="shared" si="8"/>
        <v>300</v>
      </c>
      <c r="L280" s="4">
        <f>Table1[[#This Row],[Total Score]]/Table1[[#This Row],[Minimum Mark]]</f>
        <v>0.83</v>
      </c>
      <c r="M280" s="70" t="str">
        <f>_xlfn.XLOOKUP(Table1[[#This Row],[Pass(%)]],O:O,P:P,,-1)</f>
        <v>B</v>
      </c>
    </row>
    <row r="281" spans="1:13" x14ac:dyDescent="0.35">
      <c r="A281" s="2" t="s">
        <v>17</v>
      </c>
      <c r="B281" s="2" t="s">
        <v>13</v>
      </c>
      <c r="C281" s="6" t="s">
        <v>10</v>
      </c>
      <c r="D281" s="6" t="s">
        <v>11</v>
      </c>
      <c r="E281" s="6" t="s">
        <v>12</v>
      </c>
      <c r="F281" s="6">
        <v>83</v>
      </c>
      <c r="G281" s="6">
        <v>78</v>
      </c>
      <c r="H281" s="6">
        <v>73</v>
      </c>
      <c r="I281" s="2">
        <f t="shared" si="9"/>
        <v>234</v>
      </c>
      <c r="J281" s="8">
        <f>AVERAGE(Table1[[#This Row],[math score]:[writing score]])</f>
        <v>78</v>
      </c>
      <c r="K281" s="2">
        <f t="shared" si="8"/>
        <v>300</v>
      </c>
      <c r="L281" s="4">
        <f>Table1[[#This Row],[Total Score]]/Table1[[#This Row],[Minimum Mark]]</f>
        <v>0.78</v>
      </c>
      <c r="M281" s="70" t="str">
        <f>_xlfn.XLOOKUP(Table1[[#This Row],[Pass(%)]],O:O,P:P,,-1)</f>
        <v>C+</v>
      </c>
    </row>
    <row r="282" spans="1:13" x14ac:dyDescent="0.35">
      <c r="A282" s="2" t="s">
        <v>8</v>
      </c>
      <c r="B282" s="2" t="s">
        <v>13</v>
      </c>
      <c r="C282" s="6" t="s">
        <v>23</v>
      </c>
      <c r="D282" s="6" t="s">
        <v>11</v>
      </c>
      <c r="E282" s="6" t="s">
        <v>15</v>
      </c>
      <c r="F282" s="6">
        <v>85</v>
      </c>
      <c r="G282" s="6">
        <v>92</v>
      </c>
      <c r="H282" s="6">
        <v>93</v>
      </c>
      <c r="I282" s="2">
        <f t="shared" si="9"/>
        <v>270</v>
      </c>
      <c r="J282" s="8">
        <f>AVERAGE(Table1[[#This Row],[math score]:[writing score]])</f>
        <v>90</v>
      </c>
      <c r="K282" s="2">
        <f t="shared" si="8"/>
        <v>300</v>
      </c>
      <c r="L282" s="4">
        <f>Table1[[#This Row],[Total Score]]/Table1[[#This Row],[Minimum Mark]]</f>
        <v>0.9</v>
      </c>
      <c r="M282" s="70" t="str">
        <f>_xlfn.XLOOKUP(Table1[[#This Row],[Pass(%)]],O:O,P:P,,-1)</f>
        <v>A-</v>
      </c>
    </row>
    <row r="283" spans="1:13" x14ac:dyDescent="0.35">
      <c r="A283" s="2" t="s">
        <v>8</v>
      </c>
      <c r="B283" s="2" t="s">
        <v>24</v>
      </c>
      <c r="C283" s="6" t="s">
        <v>22</v>
      </c>
      <c r="D283" s="6" t="s">
        <v>11</v>
      </c>
      <c r="E283" s="6" t="s">
        <v>15</v>
      </c>
      <c r="F283" s="6">
        <v>59</v>
      </c>
      <c r="G283" s="6">
        <v>63</v>
      </c>
      <c r="H283" s="6">
        <v>75</v>
      </c>
      <c r="I283" s="2">
        <f t="shared" si="9"/>
        <v>197</v>
      </c>
      <c r="J283" s="8">
        <f>AVERAGE(Table1[[#This Row],[math score]:[writing score]])</f>
        <v>65.666666666666671</v>
      </c>
      <c r="K283" s="2">
        <f t="shared" si="8"/>
        <v>300</v>
      </c>
      <c r="L283" s="4">
        <f>Table1[[#This Row],[Total Score]]/Table1[[#This Row],[Minimum Mark]]</f>
        <v>0.65666666666666662</v>
      </c>
      <c r="M283" s="70" t="str">
        <f>_xlfn.XLOOKUP(Table1[[#This Row],[Pass(%)]],O:O,P:P,,-1)</f>
        <v>D+</v>
      </c>
    </row>
    <row r="284" spans="1:13" x14ac:dyDescent="0.35">
      <c r="A284" s="2" t="s">
        <v>8</v>
      </c>
      <c r="B284" s="2" t="s">
        <v>13</v>
      </c>
      <c r="C284" s="6" t="s">
        <v>23</v>
      </c>
      <c r="D284" s="6" t="s">
        <v>20</v>
      </c>
      <c r="E284" s="6" t="s">
        <v>12</v>
      </c>
      <c r="F284" s="6">
        <v>65</v>
      </c>
      <c r="G284" s="6">
        <v>86</v>
      </c>
      <c r="H284" s="6">
        <v>80</v>
      </c>
      <c r="I284" s="2">
        <f t="shared" si="9"/>
        <v>231</v>
      </c>
      <c r="J284" s="8">
        <f>AVERAGE(Table1[[#This Row],[math score]:[writing score]])</f>
        <v>77</v>
      </c>
      <c r="K284" s="2">
        <f t="shared" si="8"/>
        <v>300</v>
      </c>
      <c r="L284" s="4">
        <f>Table1[[#This Row],[Total Score]]/Table1[[#This Row],[Minimum Mark]]</f>
        <v>0.77</v>
      </c>
      <c r="M284" s="70" t="str">
        <f>_xlfn.XLOOKUP(Table1[[#This Row],[Pass(%)]],O:O,P:P,,-1)</f>
        <v>C+</v>
      </c>
    </row>
    <row r="285" spans="1:13" x14ac:dyDescent="0.35">
      <c r="A285" s="2" t="s">
        <v>17</v>
      </c>
      <c r="B285" s="2" t="s">
        <v>9</v>
      </c>
      <c r="C285" s="6" t="s">
        <v>10</v>
      </c>
      <c r="D285" s="6" t="s">
        <v>20</v>
      </c>
      <c r="E285" s="6" t="s">
        <v>12</v>
      </c>
      <c r="F285" s="6">
        <v>73</v>
      </c>
      <c r="G285" s="6">
        <v>56</v>
      </c>
      <c r="H285" s="6">
        <v>57</v>
      </c>
      <c r="I285" s="2">
        <f t="shared" si="9"/>
        <v>186</v>
      </c>
      <c r="J285" s="8">
        <f>AVERAGE(Table1[[#This Row],[math score]:[writing score]])</f>
        <v>62</v>
      </c>
      <c r="K285" s="2">
        <f t="shared" si="8"/>
        <v>300</v>
      </c>
      <c r="L285" s="4">
        <f>Table1[[#This Row],[Total Score]]/Table1[[#This Row],[Minimum Mark]]</f>
        <v>0.62</v>
      </c>
      <c r="M285" s="70" t="str">
        <f>_xlfn.XLOOKUP(Table1[[#This Row],[Pass(%)]],O:O,P:P,,-1)</f>
        <v>D+</v>
      </c>
    </row>
    <row r="286" spans="1:13" x14ac:dyDescent="0.35">
      <c r="A286" s="2" t="s">
        <v>17</v>
      </c>
      <c r="B286" s="2" t="s">
        <v>21</v>
      </c>
      <c r="C286" s="6" t="s">
        <v>22</v>
      </c>
      <c r="D286" s="6" t="s">
        <v>11</v>
      </c>
      <c r="E286" s="6" t="s">
        <v>12</v>
      </c>
      <c r="F286" s="6">
        <v>53</v>
      </c>
      <c r="G286" s="6">
        <v>52</v>
      </c>
      <c r="H286" s="6">
        <v>42</v>
      </c>
      <c r="I286" s="2">
        <f t="shared" si="9"/>
        <v>147</v>
      </c>
      <c r="J286" s="8">
        <f>AVERAGE(Table1[[#This Row],[math score]:[writing score]])</f>
        <v>49</v>
      </c>
      <c r="K286" s="2">
        <f t="shared" si="8"/>
        <v>300</v>
      </c>
      <c r="L286" s="4">
        <f>Table1[[#This Row],[Total Score]]/Table1[[#This Row],[Minimum Mark]]</f>
        <v>0.49</v>
      </c>
      <c r="M286" s="70" t="str">
        <f>_xlfn.XLOOKUP(Table1[[#This Row],[Pass(%)]],O:O,P:P,,-1)</f>
        <v>D</v>
      </c>
    </row>
    <row r="287" spans="1:13" x14ac:dyDescent="0.35">
      <c r="A287" s="2" t="s">
        <v>17</v>
      </c>
      <c r="B287" s="2" t="s">
        <v>21</v>
      </c>
      <c r="C287" s="6" t="s">
        <v>22</v>
      </c>
      <c r="D287" s="6" t="s">
        <v>11</v>
      </c>
      <c r="E287" s="6" t="s">
        <v>12</v>
      </c>
      <c r="F287" s="6">
        <v>45</v>
      </c>
      <c r="G287" s="6">
        <v>48</v>
      </c>
      <c r="H287" s="6">
        <v>46</v>
      </c>
      <c r="I287" s="2">
        <f t="shared" si="9"/>
        <v>139</v>
      </c>
      <c r="J287" s="8">
        <f>AVERAGE(Table1[[#This Row],[math score]:[writing score]])</f>
        <v>46.333333333333336</v>
      </c>
      <c r="K287" s="2">
        <f t="shared" si="8"/>
        <v>300</v>
      </c>
      <c r="L287" s="4">
        <f>Table1[[#This Row],[Total Score]]/Table1[[#This Row],[Minimum Mark]]</f>
        <v>0.46333333333333332</v>
      </c>
      <c r="M287" s="70" t="str">
        <f>_xlfn.XLOOKUP(Table1[[#This Row],[Pass(%)]],O:O,P:P,,-1)</f>
        <v>D</v>
      </c>
    </row>
    <row r="288" spans="1:13" x14ac:dyDescent="0.35">
      <c r="A288" s="2" t="s">
        <v>8</v>
      </c>
      <c r="B288" s="2" t="s">
        <v>21</v>
      </c>
      <c r="C288" s="6" t="s">
        <v>10</v>
      </c>
      <c r="D288" s="6" t="s">
        <v>20</v>
      </c>
      <c r="E288" s="6" t="s">
        <v>12</v>
      </c>
      <c r="F288" s="6">
        <v>73</v>
      </c>
      <c r="G288" s="6">
        <v>79</v>
      </c>
      <c r="H288" s="6">
        <v>84</v>
      </c>
      <c r="I288" s="2">
        <f t="shared" si="9"/>
        <v>236</v>
      </c>
      <c r="J288" s="8">
        <f>AVERAGE(Table1[[#This Row],[math score]:[writing score]])</f>
        <v>78.666666666666671</v>
      </c>
      <c r="K288" s="2">
        <f t="shared" si="8"/>
        <v>300</v>
      </c>
      <c r="L288" s="4">
        <f>Table1[[#This Row],[Total Score]]/Table1[[#This Row],[Minimum Mark]]</f>
        <v>0.78666666666666663</v>
      </c>
      <c r="M288" s="70" t="str">
        <f>_xlfn.XLOOKUP(Table1[[#This Row],[Pass(%)]],O:O,P:P,,-1)</f>
        <v>C+</v>
      </c>
    </row>
    <row r="289" spans="1:13" x14ac:dyDescent="0.35">
      <c r="A289" s="2" t="s">
        <v>8</v>
      </c>
      <c r="B289" s="2" t="s">
        <v>21</v>
      </c>
      <c r="C289" s="6" t="s">
        <v>14</v>
      </c>
      <c r="D289" s="6" t="s">
        <v>20</v>
      </c>
      <c r="E289" s="6" t="s">
        <v>15</v>
      </c>
      <c r="F289" s="6">
        <v>70</v>
      </c>
      <c r="G289" s="6">
        <v>78</v>
      </c>
      <c r="H289" s="6">
        <v>78</v>
      </c>
      <c r="I289" s="2">
        <f t="shared" si="9"/>
        <v>226</v>
      </c>
      <c r="J289" s="8">
        <f>AVERAGE(Table1[[#This Row],[math score]:[writing score]])</f>
        <v>75.333333333333329</v>
      </c>
      <c r="K289" s="2">
        <f t="shared" si="8"/>
        <v>300</v>
      </c>
      <c r="L289" s="4">
        <f>Table1[[#This Row],[Total Score]]/Table1[[#This Row],[Minimum Mark]]</f>
        <v>0.7533333333333333</v>
      </c>
      <c r="M289" s="70" t="str">
        <f>_xlfn.XLOOKUP(Table1[[#This Row],[Pass(%)]],O:O,P:P,,-1)</f>
        <v>C</v>
      </c>
    </row>
    <row r="290" spans="1:13" x14ac:dyDescent="0.35">
      <c r="A290" s="2" t="s">
        <v>8</v>
      </c>
      <c r="B290" s="2" t="s">
        <v>9</v>
      </c>
      <c r="C290" s="6" t="s">
        <v>23</v>
      </c>
      <c r="D290" s="6" t="s">
        <v>11</v>
      </c>
      <c r="E290" s="6" t="s">
        <v>12</v>
      </c>
      <c r="F290" s="6">
        <v>37</v>
      </c>
      <c r="G290" s="6">
        <v>46</v>
      </c>
      <c r="H290" s="6">
        <v>46</v>
      </c>
      <c r="I290" s="2">
        <f t="shared" si="9"/>
        <v>129</v>
      </c>
      <c r="J290" s="8">
        <f>AVERAGE(Table1[[#This Row],[math score]:[writing score]])</f>
        <v>43</v>
      </c>
      <c r="K290" s="2">
        <f t="shared" si="8"/>
        <v>300</v>
      </c>
      <c r="L290" s="4">
        <f>Table1[[#This Row],[Total Score]]/Table1[[#This Row],[Minimum Mark]]</f>
        <v>0.43</v>
      </c>
      <c r="M290" s="70" t="str">
        <f>_xlfn.XLOOKUP(Table1[[#This Row],[Pass(%)]],O:O,P:P,,-1)</f>
        <v>D</v>
      </c>
    </row>
    <row r="291" spans="1:13" ht="20.5" x14ac:dyDescent="0.8">
      <c r="A291" s="3" t="s">
        <v>17</v>
      </c>
      <c r="B291" s="3" t="s">
        <v>9</v>
      </c>
      <c r="C291" s="7" t="s">
        <v>19</v>
      </c>
      <c r="D291" s="7" t="s">
        <v>11</v>
      </c>
      <c r="E291" s="7" t="s">
        <v>15</v>
      </c>
      <c r="F291" s="7">
        <v>81</v>
      </c>
      <c r="G291" s="7">
        <v>82</v>
      </c>
      <c r="H291" s="7">
        <v>82</v>
      </c>
      <c r="I291" s="3">
        <f t="shared" si="9"/>
        <v>245</v>
      </c>
      <c r="J291" s="14">
        <f>AVERAGE(Table1[[#This Row],[math score]:[writing score]])</f>
        <v>81.666666666666671</v>
      </c>
      <c r="K291" s="3">
        <f t="shared" si="8"/>
        <v>300</v>
      </c>
      <c r="L291" s="5">
        <f>Table1[[#This Row],[Total Score]]/Table1[[#This Row],[Minimum Mark]]</f>
        <v>0.81666666666666665</v>
      </c>
      <c r="M291" s="71" t="str">
        <f>_xlfn.XLOOKUP(Table1[[#This Row],[Pass(%)]],O:O,P:P,,-1)</f>
        <v>B-</v>
      </c>
    </row>
    <row r="292" spans="1:13" ht="20.5" x14ac:dyDescent="0.8">
      <c r="A292" s="3" t="s">
        <v>17</v>
      </c>
      <c r="B292" s="3" t="s">
        <v>24</v>
      </c>
      <c r="C292" s="7" t="s">
        <v>19</v>
      </c>
      <c r="D292" s="7" t="s">
        <v>11</v>
      </c>
      <c r="E292" s="7" t="s">
        <v>15</v>
      </c>
      <c r="F292" s="7">
        <v>97</v>
      </c>
      <c r="G292" s="7">
        <v>82</v>
      </c>
      <c r="H292" s="7">
        <v>88</v>
      </c>
      <c r="I292" s="3">
        <f t="shared" si="9"/>
        <v>267</v>
      </c>
      <c r="J292" s="14">
        <f>AVERAGE(Table1[[#This Row],[math score]:[writing score]])</f>
        <v>89</v>
      </c>
      <c r="K292" s="3">
        <f t="shared" si="8"/>
        <v>300</v>
      </c>
      <c r="L292" s="5">
        <f>Table1[[#This Row],[Total Score]]/Table1[[#This Row],[Minimum Mark]]</f>
        <v>0.89</v>
      </c>
      <c r="M292" s="71" t="str">
        <f>_xlfn.XLOOKUP(Table1[[#This Row],[Pass(%)]],O:O,P:P,,-1)</f>
        <v>B+</v>
      </c>
    </row>
    <row r="293" spans="1:13" x14ac:dyDescent="0.35">
      <c r="A293" s="2" t="s">
        <v>8</v>
      </c>
      <c r="B293" s="2" t="s">
        <v>9</v>
      </c>
      <c r="C293" s="6" t="s">
        <v>23</v>
      </c>
      <c r="D293" s="6" t="s">
        <v>11</v>
      </c>
      <c r="E293" s="6" t="s">
        <v>12</v>
      </c>
      <c r="F293" s="6">
        <v>67</v>
      </c>
      <c r="G293" s="6">
        <v>89</v>
      </c>
      <c r="H293" s="6">
        <v>82</v>
      </c>
      <c r="I293" s="2">
        <f t="shared" si="9"/>
        <v>238</v>
      </c>
      <c r="J293" s="8">
        <f>AVERAGE(Table1[[#This Row],[math score]:[writing score]])</f>
        <v>79.333333333333329</v>
      </c>
      <c r="K293" s="2">
        <f t="shared" si="8"/>
        <v>300</v>
      </c>
      <c r="L293" s="4">
        <f>Table1[[#This Row],[Total Score]]/Table1[[#This Row],[Minimum Mark]]</f>
        <v>0.79333333333333333</v>
      </c>
      <c r="M293" s="70" t="str">
        <f>_xlfn.XLOOKUP(Table1[[#This Row],[Pass(%)]],O:O,P:P,,-1)</f>
        <v>C+</v>
      </c>
    </row>
    <row r="294" spans="1:13" x14ac:dyDescent="0.35">
      <c r="A294" s="2" t="s">
        <v>17</v>
      </c>
      <c r="B294" s="2" t="s">
        <v>9</v>
      </c>
      <c r="C294" s="6" t="s">
        <v>10</v>
      </c>
      <c r="D294" s="6" t="s">
        <v>20</v>
      </c>
      <c r="E294" s="6" t="s">
        <v>12</v>
      </c>
      <c r="F294" s="6">
        <v>88</v>
      </c>
      <c r="G294" s="6">
        <v>75</v>
      </c>
      <c r="H294" s="6">
        <v>76</v>
      </c>
      <c r="I294" s="2">
        <f t="shared" si="9"/>
        <v>239</v>
      </c>
      <c r="J294" s="8">
        <f>AVERAGE(Table1[[#This Row],[math score]:[writing score]])</f>
        <v>79.666666666666671</v>
      </c>
      <c r="K294" s="2">
        <f t="shared" si="8"/>
        <v>300</v>
      </c>
      <c r="L294" s="4">
        <f>Table1[[#This Row],[Total Score]]/Table1[[#This Row],[Minimum Mark]]</f>
        <v>0.79666666666666663</v>
      </c>
      <c r="M294" s="70" t="str">
        <f>_xlfn.XLOOKUP(Table1[[#This Row],[Pass(%)]],O:O,P:P,,-1)</f>
        <v>C+</v>
      </c>
    </row>
    <row r="295" spans="1:13" x14ac:dyDescent="0.35">
      <c r="A295" s="2" t="s">
        <v>17</v>
      </c>
      <c r="B295" s="2" t="s">
        <v>24</v>
      </c>
      <c r="C295" s="6" t="s">
        <v>23</v>
      </c>
      <c r="D295" s="6" t="s">
        <v>11</v>
      </c>
      <c r="E295" s="6" t="s">
        <v>15</v>
      </c>
      <c r="F295" s="6">
        <v>77</v>
      </c>
      <c r="G295" s="6">
        <v>76</v>
      </c>
      <c r="H295" s="6">
        <v>77</v>
      </c>
      <c r="I295" s="2">
        <f t="shared" si="9"/>
        <v>230</v>
      </c>
      <c r="J295" s="8">
        <f>AVERAGE(Table1[[#This Row],[math score]:[writing score]])</f>
        <v>76.666666666666671</v>
      </c>
      <c r="K295" s="2">
        <f t="shared" si="8"/>
        <v>300</v>
      </c>
      <c r="L295" s="4">
        <f>Table1[[#This Row],[Total Score]]/Table1[[#This Row],[Minimum Mark]]</f>
        <v>0.76666666666666672</v>
      </c>
      <c r="M295" s="70" t="str">
        <f>_xlfn.XLOOKUP(Table1[[#This Row],[Pass(%)]],O:O,P:P,,-1)</f>
        <v>C</v>
      </c>
    </row>
    <row r="296" spans="1:13" ht="20.5" x14ac:dyDescent="0.8">
      <c r="A296" s="3" t="s">
        <v>17</v>
      </c>
      <c r="B296" s="3" t="s">
        <v>13</v>
      </c>
      <c r="C296" s="7" t="s">
        <v>19</v>
      </c>
      <c r="D296" s="7" t="s">
        <v>11</v>
      </c>
      <c r="E296" s="7" t="s">
        <v>12</v>
      </c>
      <c r="F296" s="7">
        <v>76</v>
      </c>
      <c r="G296" s="7">
        <v>70</v>
      </c>
      <c r="H296" s="7">
        <v>68</v>
      </c>
      <c r="I296" s="3">
        <f t="shared" si="9"/>
        <v>214</v>
      </c>
      <c r="J296" s="14">
        <f>AVERAGE(Table1[[#This Row],[math score]:[writing score]])</f>
        <v>71.333333333333329</v>
      </c>
      <c r="K296" s="3">
        <f t="shared" si="8"/>
        <v>300</v>
      </c>
      <c r="L296" s="5">
        <f>Table1[[#This Row],[Total Score]]/Table1[[#This Row],[Minimum Mark]]</f>
        <v>0.71333333333333337</v>
      </c>
      <c r="M296" s="71" t="str">
        <f>_xlfn.XLOOKUP(Table1[[#This Row],[Pass(%)]],O:O,P:P,,-1)</f>
        <v>C-</v>
      </c>
    </row>
    <row r="297" spans="1:13" x14ac:dyDescent="0.35">
      <c r="A297" s="2" t="s">
        <v>17</v>
      </c>
      <c r="B297" s="2" t="s">
        <v>21</v>
      </c>
      <c r="C297" s="6" t="s">
        <v>23</v>
      </c>
      <c r="D297" s="6" t="s">
        <v>11</v>
      </c>
      <c r="E297" s="6" t="s">
        <v>12</v>
      </c>
      <c r="F297" s="6">
        <v>86</v>
      </c>
      <c r="G297" s="6">
        <v>73</v>
      </c>
      <c r="H297" s="6">
        <v>70</v>
      </c>
      <c r="I297" s="2">
        <f t="shared" si="9"/>
        <v>229</v>
      </c>
      <c r="J297" s="8">
        <f>AVERAGE(Table1[[#This Row],[math score]:[writing score]])</f>
        <v>76.333333333333329</v>
      </c>
      <c r="K297" s="2">
        <f t="shared" si="8"/>
        <v>300</v>
      </c>
      <c r="L297" s="4">
        <f>Table1[[#This Row],[Total Score]]/Table1[[#This Row],[Minimum Mark]]</f>
        <v>0.76333333333333331</v>
      </c>
      <c r="M297" s="70" t="str">
        <f>_xlfn.XLOOKUP(Table1[[#This Row],[Pass(%)]],O:O,P:P,,-1)</f>
        <v>C</v>
      </c>
    </row>
    <row r="298" spans="1:13" x14ac:dyDescent="0.35">
      <c r="A298" s="2" t="s">
        <v>17</v>
      </c>
      <c r="B298" s="2" t="s">
        <v>13</v>
      </c>
      <c r="C298" s="6" t="s">
        <v>23</v>
      </c>
      <c r="D298" s="6" t="s">
        <v>11</v>
      </c>
      <c r="E298" s="6" t="s">
        <v>15</v>
      </c>
      <c r="F298" s="6">
        <v>63</v>
      </c>
      <c r="G298" s="6">
        <v>60</v>
      </c>
      <c r="H298" s="6">
        <v>57</v>
      </c>
      <c r="I298" s="2">
        <f t="shared" si="9"/>
        <v>180</v>
      </c>
      <c r="J298" s="8">
        <f>AVERAGE(Table1[[#This Row],[math score]:[writing score]])</f>
        <v>60</v>
      </c>
      <c r="K298" s="2">
        <f t="shared" si="8"/>
        <v>300</v>
      </c>
      <c r="L298" s="4">
        <f>Table1[[#This Row],[Total Score]]/Table1[[#This Row],[Minimum Mark]]</f>
        <v>0.6</v>
      </c>
      <c r="M298" s="70" t="str">
        <f>_xlfn.XLOOKUP(Table1[[#This Row],[Pass(%)]],O:O,P:P,,-1)</f>
        <v>D+</v>
      </c>
    </row>
    <row r="299" spans="1:13" x14ac:dyDescent="0.35">
      <c r="A299" s="2" t="s">
        <v>8</v>
      </c>
      <c r="B299" s="2" t="s">
        <v>24</v>
      </c>
      <c r="C299" s="6" t="s">
        <v>10</v>
      </c>
      <c r="D299" s="6" t="s">
        <v>11</v>
      </c>
      <c r="E299" s="6" t="s">
        <v>12</v>
      </c>
      <c r="F299" s="6">
        <v>65</v>
      </c>
      <c r="G299" s="6">
        <v>73</v>
      </c>
      <c r="H299" s="6">
        <v>75</v>
      </c>
      <c r="I299" s="2">
        <f t="shared" si="9"/>
        <v>213</v>
      </c>
      <c r="J299" s="8">
        <f>AVERAGE(Table1[[#This Row],[math score]:[writing score]])</f>
        <v>71</v>
      </c>
      <c r="K299" s="2">
        <f t="shared" si="8"/>
        <v>300</v>
      </c>
      <c r="L299" s="4">
        <f>Table1[[#This Row],[Total Score]]/Table1[[#This Row],[Minimum Mark]]</f>
        <v>0.71</v>
      </c>
      <c r="M299" s="70" t="str">
        <f>_xlfn.XLOOKUP(Table1[[#This Row],[Pass(%)]],O:O,P:P,,-1)</f>
        <v>C-</v>
      </c>
    </row>
    <row r="300" spans="1:13" x14ac:dyDescent="0.35">
      <c r="A300" s="2" t="s">
        <v>17</v>
      </c>
      <c r="B300" s="2" t="s">
        <v>21</v>
      </c>
      <c r="C300" s="6" t="s">
        <v>22</v>
      </c>
      <c r="D300" s="6" t="s">
        <v>20</v>
      </c>
      <c r="E300" s="6" t="s">
        <v>15</v>
      </c>
      <c r="F300" s="6">
        <v>78</v>
      </c>
      <c r="G300" s="6">
        <v>77</v>
      </c>
      <c r="H300" s="6">
        <v>80</v>
      </c>
      <c r="I300" s="2">
        <f t="shared" si="9"/>
        <v>235</v>
      </c>
      <c r="J300" s="8">
        <f>AVERAGE(Table1[[#This Row],[math score]:[writing score]])</f>
        <v>78.333333333333329</v>
      </c>
      <c r="K300" s="2">
        <f t="shared" si="8"/>
        <v>300</v>
      </c>
      <c r="L300" s="4">
        <f>Table1[[#This Row],[Total Score]]/Table1[[#This Row],[Minimum Mark]]</f>
        <v>0.78333333333333333</v>
      </c>
      <c r="M300" s="70" t="str">
        <f>_xlfn.XLOOKUP(Table1[[#This Row],[Pass(%)]],O:O,P:P,,-1)</f>
        <v>C+</v>
      </c>
    </row>
    <row r="301" spans="1:13" ht="20.5" x14ac:dyDescent="0.8">
      <c r="A301" s="3" t="s">
        <v>17</v>
      </c>
      <c r="B301" s="3" t="s">
        <v>9</v>
      </c>
      <c r="C301" s="7" t="s">
        <v>19</v>
      </c>
      <c r="D301" s="7" t="s">
        <v>20</v>
      </c>
      <c r="E301" s="7" t="s">
        <v>12</v>
      </c>
      <c r="F301" s="7">
        <v>67</v>
      </c>
      <c r="G301" s="7">
        <v>62</v>
      </c>
      <c r="H301" s="7">
        <v>60</v>
      </c>
      <c r="I301" s="3">
        <f t="shared" si="9"/>
        <v>189</v>
      </c>
      <c r="J301" s="14">
        <f>AVERAGE(Table1[[#This Row],[math score]:[writing score]])</f>
        <v>63</v>
      </c>
      <c r="K301" s="3">
        <f t="shared" si="8"/>
        <v>300</v>
      </c>
      <c r="L301" s="5">
        <f>Table1[[#This Row],[Total Score]]/Table1[[#This Row],[Minimum Mark]]</f>
        <v>0.63</v>
      </c>
      <c r="M301" s="71" t="str">
        <f>_xlfn.XLOOKUP(Table1[[#This Row],[Pass(%)]],O:O,P:P,,-1)</f>
        <v>D+</v>
      </c>
    </row>
    <row r="302" spans="1:13" x14ac:dyDescent="0.35">
      <c r="A302" s="2" t="s">
        <v>17</v>
      </c>
      <c r="B302" s="2" t="s">
        <v>18</v>
      </c>
      <c r="C302" s="6" t="s">
        <v>23</v>
      </c>
      <c r="D302" s="6" t="s">
        <v>11</v>
      </c>
      <c r="E302" s="6" t="s">
        <v>15</v>
      </c>
      <c r="F302" s="6">
        <v>46</v>
      </c>
      <c r="G302" s="6">
        <v>41</v>
      </c>
      <c r="H302" s="6">
        <v>43</v>
      </c>
      <c r="I302" s="2">
        <f t="shared" si="9"/>
        <v>130</v>
      </c>
      <c r="J302" s="8">
        <f>AVERAGE(Table1[[#This Row],[math score]:[writing score]])</f>
        <v>43.333333333333336</v>
      </c>
      <c r="K302" s="2">
        <f t="shared" si="8"/>
        <v>300</v>
      </c>
      <c r="L302" s="4">
        <f>Table1[[#This Row],[Total Score]]/Table1[[#This Row],[Minimum Mark]]</f>
        <v>0.43333333333333335</v>
      </c>
      <c r="M302" s="70" t="str">
        <f>_xlfn.XLOOKUP(Table1[[#This Row],[Pass(%)]],O:O,P:P,,-1)</f>
        <v>D</v>
      </c>
    </row>
    <row r="303" spans="1:13" ht="20.5" x14ac:dyDescent="0.8">
      <c r="A303" s="3" t="s">
        <v>17</v>
      </c>
      <c r="B303" s="3" t="s">
        <v>24</v>
      </c>
      <c r="C303" s="7" t="s">
        <v>19</v>
      </c>
      <c r="D303" s="7" t="s">
        <v>11</v>
      </c>
      <c r="E303" s="7" t="s">
        <v>15</v>
      </c>
      <c r="F303" s="7">
        <v>71</v>
      </c>
      <c r="G303" s="7">
        <v>74</v>
      </c>
      <c r="H303" s="7">
        <v>68</v>
      </c>
      <c r="I303" s="3">
        <f t="shared" si="9"/>
        <v>213</v>
      </c>
      <c r="J303" s="14">
        <f>AVERAGE(Table1[[#This Row],[math score]:[writing score]])</f>
        <v>71</v>
      </c>
      <c r="K303" s="3">
        <f t="shared" si="8"/>
        <v>300</v>
      </c>
      <c r="L303" s="5">
        <f>Table1[[#This Row],[Total Score]]/Table1[[#This Row],[Minimum Mark]]</f>
        <v>0.71</v>
      </c>
      <c r="M303" s="71" t="str">
        <f>_xlfn.XLOOKUP(Table1[[#This Row],[Pass(%)]],O:O,P:P,,-1)</f>
        <v>C-</v>
      </c>
    </row>
    <row r="304" spans="1:13" x14ac:dyDescent="0.35">
      <c r="A304" s="2" t="s">
        <v>17</v>
      </c>
      <c r="B304" s="2" t="s">
        <v>13</v>
      </c>
      <c r="C304" s="6" t="s">
        <v>22</v>
      </c>
      <c r="D304" s="6" t="s">
        <v>20</v>
      </c>
      <c r="E304" s="6" t="s">
        <v>15</v>
      </c>
      <c r="F304" s="6">
        <v>40</v>
      </c>
      <c r="G304" s="6">
        <v>46</v>
      </c>
      <c r="H304" s="6">
        <v>50</v>
      </c>
      <c r="I304" s="2">
        <f t="shared" si="9"/>
        <v>136</v>
      </c>
      <c r="J304" s="8">
        <f>AVERAGE(Table1[[#This Row],[math score]:[writing score]])</f>
        <v>45.333333333333336</v>
      </c>
      <c r="K304" s="2">
        <f t="shared" si="8"/>
        <v>300</v>
      </c>
      <c r="L304" s="4">
        <f>Table1[[#This Row],[Total Score]]/Table1[[#This Row],[Minimum Mark]]</f>
        <v>0.45333333333333331</v>
      </c>
      <c r="M304" s="70" t="str">
        <f>_xlfn.XLOOKUP(Table1[[#This Row],[Pass(%)]],O:O,P:P,,-1)</f>
        <v>D</v>
      </c>
    </row>
    <row r="305" spans="1:13" ht="20.5" x14ac:dyDescent="0.8">
      <c r="A305" s="3" t="s">
        <v>17</v>
      </c>
      <c r="B305" s="3" t="s">
        <v>21</v>
      </c>
      <c r="C305" s="7" t="s">
        <v>19</v>
      </c>
      <c r="D305" s="7" t="s">
        <v>20</v>
      </c>
      <c r="E305" s="7" t="s">
        <v>12</v>
      </c>
      <c r="F305" s="7">
        <v>90</v>
      </c>
      <c r="G305" s="7">
        <v>87</v>
      </c>
      <c r="H305" s="7">
        <v>75</v>
      </c>
      <c r="I305" s="3">
        <f t="shared" si="9"/>
        <v>252</v>
      </c>
      <c r="J305" s="14">
        <f>AVERAGE(Table1[[#This Row],[math score]:[writing score]])</f>
        <v>84</v>
      </c>
      <c r="K305" s="3">
        <f t="shared" si="8"/>
        <v>300</v>
      </c>
      <c r="L305" s="5">
        <f>Table1[[#This Row],[Total Score]]/Table1[[#This Row],[Minimum Mark]]</f>
        <v>0.84</v>
      </c>
      <c r="M305" s="71" t="str">
        <f>_xlfn.XLOOKUP(Table1[[#This Row],[Pass(%)]],O:O,P:P,,-1)</f>
        <v>B</v>
      </c>
    </row>
    <row r="306" spans="1:13" x14ac:dyDescent="0.35">
      <c r="A306" s="2" t="s">
        <v>17</v>
      </c>
      <c r="B306" s="2" t="s">
        <v>18</v>
      </c>
      <c r="C306" s="6" t="s">
        <v>14</v>
      </c>
      <c r="D306" s="6" t="s">
        <v>20</v>
      </c>
      <c r="E306" s="6" t="s">
        <v>15</v>
      </c>
      <c r="F306" s="6">
        <v>81</v>
      </c>
      <c r="G306" s="6">
        <v>78</v>
      </c>
      <c r="H306" s="6">
        <v>81</v>
      </c>
      <c r="I306" s="2">
        <f t="shared" si="9"/>
        <v>240</v>
      </c>
      <c r="J306" s="8">
        <f>AVERAGE(Table1[[#This Row],[math score]:[writing score]])</f>
        <v>80</v>
      </c>
      <c r="K306" s="2">
        <f t="shared" si="8"/>
        <v>300</v>
      </c>
      <c r="L306" s="4">
        <f>Table1[[#This Row],[Total Score]]/Table1[[#This Row],[Minimum Mark]]</f>
        <v>0.8</v>
      </c>
      <c r="M306" s="70" t="str">
        <f>_xlfn.XLOOKUP(Table1[[#This Row],[Pass(%)]],O:O,P:P,,-1)</f>
        <v>B-</v>
      </c>
    </row>
    <row r="307" spans="1:13" x14ac:dyDescent="0.35">
      <c r="A307" s="2" t="s">
        <v>17</v>
      </c>
      <c r="B307" s="2" t="s">
        <v>21</v>
      </c>
      <c r="C307" s="6" t="s">
        <v>23</v>
      </c>
      <c r="D307" s="6" t="s">
        <v>20</v>
      </c>
      <c r="E307" s="6" t="s">
        <v>12</v>
      </c>
      <c r="F307" s="6">
        <v>56</v>
      </c>
      <c r="G307" s="6">
        <v>54</v>
      </c>
      <c r="H307" s="6">
        <v>52</v>
      </c>
      <c r="I307" s="2">
        <f t="shared" si="9"/>
        <v>162</v>
      </c>
      <c r="J307" s="8">
        <f>AVERAGE(Table1[[#This Row],[math score]:[writing score]])</f>
        <v>54</v>
      </c>
      <c r="K307" s="2">
        <f t="shared" si="8"/>
        <v>300</v>
      </c>
      <c r="L307" s="4">
        <f>Table1[[#This Row],[Total Score]]/Table1[[#This Row],[Minimum Mark]]</f>
        <v>0.54</v>
      </c>
      <c r="M307" s="70" t="str">
        <f>_xlfn.XLOOKUP(Table1[[#This Row],[Pass(%)]],O:O,P:P,,-1)</f>
        <v>D+</v>
      </c>
    </row>
    <row r="308" spans="1:13" ht="20.5" x14ac:dyDescent="0.8">
      <c r="A308" s="3" t="s">
        <v>8</v>
      </c>
      <c r="B308" s="3" t="s">
        <v>13</v>
      </c>
      <c r="C308" s="7" t="s">
        <v>19</v>
      </c>
      <c r="D308" s="7" t="s">
        <v>11</v>
      </c>
      <c r="E308" s="7" t="s">
        <v>15</v>
      </c>
      <c r="F308" s="7">
        <v>67</v>
      </c>
      <c r="G308" s="7">
        <v>84</v>
      </c>
      <c r="H308" s="7">
        <v>81</v>
      </c>
      <c r="I308" s="3">
        <f t="shared" si="9"/>
        <v>232</v>
      </c>
      <c r="J308" s="14">
        <f>AVERAGE(Table1[[#This Row],[math score]:[writing score]])</f>
        <v>77.333333333333329</v>
      </c>
      <c r="K308" s="3">
        <f t="shared" si="8"/>
        <v>300</v>
      </c>
      <c r="L308" s="5">
        <f>Table1[[#This Row],[Total Score]]/Table1[[#This Row],[Minimum Mark]]</f>
        <v>0.77333333333333332</v>
      </c>
      <c r="M308" s="71" t="str">
        <f>_xlfn.XLOOKUP(Table1[[#This Row],[Pass(%)]],O:O,P:P,,-1)</f>
        <v>C+</v>
      </c>
    </row>
    <row r="309" spans="1:13" ht="20.5" x14ac:dyDescent="0.8">
      <c r="A309" s="3" t="s">
        <v>17</v>
      </c>
      <c r="B309" s="3" t="s">
        <v>9</v>
      </c>
      <c r="C309" s="7" t="s">
        <v>19</v>
      </c>
      <c r="D309" s="7" t="s">
        <v>11</v>
      </c>
      <c r="E309" s="7" t="s">
        <v>12</v>
      </c>
      <c r="F309" s="7">
        <v>80</v>
      </c>
      <c r="G309" s="7">
        <v>76</v>
      </c>
      <c r="H309" s="7">
        <v>64</v>
      </c>
      <c r="I309" s="3">
        <f t="shared" si="9"/>
        <v>220</v>
      </c>
      <c r="J309" s="14">
        <f>AVERAGE(Table1[[#This Row],[math score]:[writing score]])</f>
        <v>73.333333333333329</v>
      </c>
      <c r="K309" s="3">
        <f t="shared" si="8"/>
        <v>300</v>
      </c>
      <c r="L309" s="5">
        <f>Table1[[#This Row],[Total Score]]/Table1[[#This Row],[Minimum Mark]]</f>
        <v>0.73333333333333328</v>
      </c>
      <c r="M309" s="71" t="str">
        <f>_xlfn.XLOOKUP(Table1[[#This Row],[Pass(%)]],O:O,P:P,,-1)</f>
        <v>C</v>
      </c>
    </row>
    <row r="310" spans="1:13" ht="20.5" x14ac:dyDescent="0.8">
      <c r="A310" s="3" t="s">
        <v>8</v>
      </c>
      <c r="B310" s="3" t="s">
        <v>13</v>
      </c>
      <c r="C310" s="7" t="s">
        <v>19</v>
      </c>
      <c r="D310" s="7" t="s">
        <v>11</v>
      </c>
      <c r="E310" s="7" t="s">
        <v>15</v>
      </c>
      <c r="F310" s="7">
        <v>74</v>
      </c>
      <c r="G310" s="7">
        <v>75</v>
      </c>
      <c r="H310" s="7">
        <v>83</v>
      </c>
      <c r="I310" s="3">
        <f t="shared" si="9"/>
        <v>232</v>
      </c>
      <c r="J310" s="14">
        <f>AVERAGE(Table1[[#This Row],[math score]:[writing score]])</f>
        <v>77.333333333333329</v>
      </c>
      <c r="K310" s="3">
        <f t="shared" si="8"/>
        <v>300</v>
      </c>
      <c r="L310" s="5">
        <f>Table1[[#This Row],[Total Score]]/Table1[[#This Row],[Minimum Mark]]</f>
        <v>0.77333333333333332</v>
      </c>
      <c r="M310" s="71" t="str">
        <f>_xlfn.XLOOKUP(Table1[[#This Row],[Pass(%)]],O:O,P:P,,-1)</f>
        <v>C+</v>
      </c>
    </row>
    <row r="311" spans="1:13" x14ac:dyDescent="0.35">
      <c r="A311" s="2" t="s">
        <v>17</v>
      </c>
      <c r="B311" s="2" t="s">
        <v>18</v>
      </c>
      <c r="C311" s="6" t="s">
        <v>14</v>
      </c>
      <c r="D311" s="6" t="s">
        <v>11</v>
      </c>
      <c r="E311" s="6" t="s">
        <v>12</v>
      </c>
      <c r="F311" s="6">
        <v>69</v>
      </c>
      <c r="G311" s="6">
        <v>67</v>
      </c>
      <c r="H311" s="6">
        <v>69</v>
      </c>
      <c r="I311" s="2">
        <f t="shared" si="9"/>
        <v>205</v>
      </c>
      <c r="J311" s="8">
        <f>AVERAGE(Table1[[#This Row],[math score]:[writing score]])</f>
        <v>68.333333333333329</v>
      </c>
      <c r="K311" s="2">
        <f t="shared" si="8"/>
        <v>300</v>
      </c>
      <c r="L311" s="4">
        <f>Table1[[#This Row],[Total Score]]/Table1[[#This Row],[Minimum Mark]]</f>
        <v>0.68333333333333335</v>
      </c>
      <c r="M311" s="70" t="str">
        <f>_xlfn.XLOOKUP(Table1[[#This Row],[Pass(%)]],O:O,P:P,,-1)</f>
        <v>D+</v>
      </c>
    </row>
    <row r="312" spans="1:13" x14ac:dyDescent="0.35">
      <c r="A312" s="2" t="s">
        <v>17</v>
      </c>
      <c r="B312" s="2" t="s">
        <v>24</v>
      </c>
      <c r="C312" s="6" t="s">
        <v>14</v>
      </c>
      <c r="D312" s="6" t="s">
        <v>11</v>
      </c>
      <c r="E312" s="6" t="s">
        <v>15</v>
      </c>
      <c r="F312" s="6">
        <v>99</v>
      </c>
      <c r="G312" s="6">
        <v>87</v>
      </c>
      <c r="H312" s="6">
        <v>81</v>
      </c>
      <c r="I312" s="2">
        <f t="shared" si="9"/>
        <v>267</v>
      </c>
      <c r="J312" s="8">
        <f>AVERAGE(Table1[[#This Row],[math score]:[writing score]])</f>
        <v>89</v>
      </c>
      <c r="K312" s="2">
        <f t="shared" si="8"/>
        <v>300</v>
      </c>
      <c r="L312" s="4">
        <f>Table1[[#This Row],[Total Score]]/Table1[[#This Row],[Minimum Mark]]</f>
        <v>0.89</v>
      </c>
      <c r="M312" s="70" t="str">
        <f>_xlfn.XLOOKUP(Table1[[#This Row],[Pass(%)]],O:O,P:P,,-1)</f>
        <v>B+</v>
      </c>
    </row>
    <row r="313" spans="1:13" x14ac:dyDescent="0.35">
      <c r="A313" s="2" t="s">
        <v>17</v>
      </c>
      <c r="B313" s="2" t="s">
        <v>13</v>
      </c>
      <c r="C313" s="6" t="s">
        <v>23</v>
      </c>
      <c r="D313" s="6" t="s">
        <v>11</v>
      </c>
      <c r="E313" s="6" t="s">
        <v>12</v>
      </c>
      <c r="F313" s="6">
        <v>51</v>
      </c>
      <c r="G313" s="6">
        <v>52</v>
      </c>
      <c r="H313" s="6">
        <v>44</v>
      </c>
      <c r="I313" s="2">
        <f t="shared" si="9"/>
        <v>147</v>
      </c>
      <c r="J313" s="8">
        <f>AVERAGE(Table1[[#This Row],[math score]:[writing score]])</f>
        <v>49</v>
      </c>
      <c r="K313" s="2">
        <f t="shared" si="8"/>
        <v>300</v>
      </c>
      <c r="L313" s="4">
        <f>Table1[[#This Row],[Total Score]]/Table1[[#This Row],[Minimum Mark]]</f>
        <v>0.49</v>
      </c>
      <c r="M313" s="70" t="str">
        <f>_xlfn.XLOOKUP(Table1[[#This Row],[Pass(%)]],O:O,P:P,,-1)</f>
        <v>D</v>
      </c>
    </row>
    <row r="314" spans="1:13" ht="20.5" x14ac:dyDescent="0.8">
      <c r="A314" s="3" t="s">
        <v>8</v>
      </c>
      <c r="B314" s="3" t="s">
        <v>9</v>
      </c>
      <c r="C314" s="7" t="s">
        <v>19</v>
      </c>
      <c r="D314" s="7" t="s">
        <v>20</v>
      </c>
      <c r="E314" s="7" t="s">
        <v>12</v>
      </c>
      <c r="F314" s="7">
        <v>53</v>
      </c>
      <c r="G314" s="7">
        <v>71</v>
      </c>
      <c r="H314" s="7">
        <v>67</v>
      </c>
      <c r="I314" s="3">
        <f t="shared" si="9"/>
        <v>191</v>
      </c>
      <c r="J314" s="14">
        <f>AVERAGE(Table1[[#This Row],[math score]:[writing score]])</f>
        <v>63.666666666666664</v>
      </c>
      <c r="K314" s="3">
        <f t="shared" si="8"/>
        <v>300</v>
      </c>
      <c r="L314" s="5">
        <f>Table1[[#This Row],[Total Score]]/Table1[[#This Row],[Minimum Mark]]</f>
        <v>0.63666666666666671</v>
      </c>
      <c r="M314" s="71" t="str">
        <f>_xlfn.XLOOKUP(Table1[[#This Row],[Pass(%)]],O:O,P:P,,-1)</f>
        <v>D+</v>
      </c>
    </row>
    <row r="315" spans="1:13" x14ac:dyDescent="0.35">
      <c r="A315" s="2" t="s">
        <v>8</v>
      </c>
      <c r="B315" s="2" t="s">
        <v>21</v>
      </c>
      <c r="C315" s="6" t="s">
        <v>22</v>
      </c>
      <c r="D315" s="6" t="s">
        <v>20</v>
      </c>
      <c r="E315" s="6" t="s">
        <v>12</v>
      </c>
      <c r="F315" s="6">
        <v>49</v>
      </c>
      <c r="G315" s="6">
        <v>57</v>
      </c>
      <c r="H315" s="6">
        <v>52</v>
      </c>
      <c r="I315" s="2">
        <f t="shared" si="9"/>
        <v>158</v>
      </c>
      <c r="J315" s="8">
        <f>AVERAGE(Table1[[#This Row],[math score]:[writing score]])</f>
        <v>52.666666666666664</v>
      </c>
      <c r="K315" s="2">
        <f t="shared" si="8"/>
        <v>300</v>
      </c>
      <c r="L315" s="4">
        <f>Table1[[#This Row],[Total Score]]/Table1[[#This Row],[Minimum Mark]]</f>
        <v>0.52666666666666662</v>
      </c>
      <c r="M315" s="70" t="str">
        <f>_xlfn.XLOOKUP(Table1[[#This Row],[Pass(%)]],O:O,P:P,,-1)</f>
        <v>D</v>
      </c>
    </row>
    <row r="316" spans="1:13" ht="20.5" x14ac:dyDescent="0.8">
      <c r="A316" s="3" t="s">
        <v>8</v>
      </c>
      <c r="B316" s="3" t="s">
        <v>9</v>
      </c>
      <c r="C316" s="7" t="s">
        <v>19</v>
      </c>
      <c r="D316" s="7" t="s">
        <v>11</v>
      </c>
      <c r="E316" s="7" t="s">
        <v>12</v>
      </c>
      <c r="F316" s="7">
        <v>73</v>
      </c>
      <c r="G316" s="7">
        <v>76</v>
      </c>
      <c r="H316" s="7">
        <v>80</v>
      </c>
      <c r="I316" s="3">
        <f t="shared" si="9"/>
        <v>229</v>
      </c>
      <c r="J316" s="14">
        <f>AVERAGE(Table1[[#This Row],[math score]:[writing score]])</f>
        <v>76.333333333333329</v>
      </c>
      <c r="K316" s="3">
        <f t="shared" si="8"/>
        <v>300</v>
      </c>
      <c r="L316" s="5">
        <f>Table1[[#This Row],[Total Score]]/Table1[[#This Row],[Minimum Mark]]</f>
        <v>0.76333333333333331</v>
      </c>
      <c r="M316" s="71" t="str">
        <f>_xlfn.XLOOKUP(Table1[[#This Row],[Pass(%)]],O:O,P:P,,-1)</f>
        <v>C</v>
      </c>
    </row>
    <row r="317" spans="1:13" x14ac:dyDescent="0.35">
      <c r="A317" s="2" t="s">
        <v>17</v>
      </c>
      <c r="B317" s="2" t="s">
        <v>9</v>
      </c>
      <c r="C317" s="6" t="s">
        <v>10</v>
      </c>
      <c r="D317" s="6" t="s">
        <v>11</v>
      </c>
      <c r="E317" s="6" t="s">
        <v>12</v>
      </c>
      <c r="F317" s="6">
        <v>66</v>
      </c>
      <c r="G317" s="6">
        <v>60</v>
      </c>
      <c r="H317" s="6">
        <v>57</v>
      </c>
      <c r="I317" s="2">
        <f t="shared" si="9"/>
        <v>183</v>
      </c>
      <c r="J317" s="8">
        <f>AVERAGE(Table1[[#This Row],[math score]:[writing score]])</f>
        <v>61</v>
      </c>
      <c r="K317" s="2">
        <f t="shared" si="8"/>
        <v>300</v>
      </c>
      <c r="L317" s="4">
        <f>Table1[[#This Row],[Total Score]]/Table1[[#This Row],[Minimum Mark]]</f>
        <v>0.61</v>
      </c>
      <c r="M317" s="70" t="str">
        <f>_xlfn.XLOOKUP(Table1[[#This Row],[Pass(%)]],O:O,P:P,,-1)</f>
        <v>D+</v>
      </c>
    </row>
    <row r="318" spans="1:13" x14ac:dyDescent="0.35">
      <c r="A318" s="2" t="s">
        <v>17</v>
      </c>
      <c r="B318" s="2" t="s">
        <v>21</v>
      </c>
      <c r="C318" s="6" t="s">
        <v>10</v>
      </c>
      <c r="D318" s="6" t="s">
        <v>11</v>
      </c>
      <c r="E318" s="6" t="s">
        <v>15</v>
      </c>
      <c r="F318" s="6">
        <v>67</v>
      </c>
      <c r="G318" s="6">
        <v>61</v>
      </c>
      <c r="H318" s="6">
        <v>68</v>
      </c>
      <c r="I318" s="2">
        <f t="shared" si="9"/>
        <v>196</v>
      </c>
      <c r="J318" s="8">
        <f>AVERAGE(Table1[[#This Row],[math score]:[writing score]])</f>
        <v>65.333333333333329</v>
      </c>
      <c r="K318" s="2">
        <f t="shared" si="8"/>
        <v>300</v>
      </c>
      <c r="L318" s="4">
        <f>Table1[[#This Row],[Total Score]]/Table1[[#This Row],[Minimum Mark]]</f>
        <v>0.65333333333333332</v>
      </c>
      <c r="M318" s="70" t="str">
        <f>_xlfn.XLOOKUP(Table1[[#This Row],[Pass(%)]],O:O,P:P,,-1)</f>
        <v>D+</v>
      </c>
    </row>
    <row r="319" spans="1:13" ht="20.5" x14ac:dyDescent="0.8">
      <c r="A319" s="3" t="s">
        <v>8</v>
      </c>
      <c r="B319" s="3" t="s">
        <v>13</v>
      </c>
      <c r="C319" s="7" t="s">
        <v>19</v>
      </c>
      <c r="D319" s="7" t="s">
        <v>20</v>
      </c>
      <c r="E319" s="7" t="s">
        <v>15</v>
      </c>
      <c r="F319" s="7">
        <v>68</v>
      </c>
      <c r="G319" s="7">
        <v>67</v>
      </c>
      <c r="H319" s="7">
        <v>69</v>
      </c>
      <c r="I319" s="3">
        <f t="shared" si="9"/>
        <v>204</v>
      </c>
      <c r="J319" s="14">
        <f>AVERAGE(Table1[[#This Row],[math score]:[writing score]])</f>
        <v>68</v>
      </c>
      <c r="K319" s="3">
        <f t="shared" si="8"/>
        <v>300</v>
      </c>
      <c r="L319" s="5">
        <f>Table1[[#This Row],[Total Score]]/Table1[[#This Row],[Minimum Mark]]</f>
        <v>0.68</v>
      </c>
      <c r="M319" s="71" t="str">
        <f>_xlfn.XLOOKUP(Table1[[#This Row],[Pass(%)]],O:O,P:P,,-1)</f>
        <v>D+</v>
      </c>
    </row>
    <row r="320" spans="1:13" x14ac:dyDescent="0.35">
      <c r="A320" s="2" t="s">
        <v>8</v>
      </c>
      <c r="B320" s="2" t="s">
        <v>13</v>
      </c>
      <c r="C320" s="6" t="s">
        <v>10</v>
      </c>
      <c r="D320" s="6" t="s">
        <v>11</v>
      </c>
      <c r="E320" s="6" t="s">
        <v>15</v>
      </c>
      <c r="F320" s="6">
        <v>59</v>
      </c>
      <c r="G320" s="6">
        <v>64</v>
      </c>
      <c r="H320" s="6">
        <v>75</v>
      </c>
      <c r="I320" s="2">
        <f t="shared" si="9"/>
        <v>198</v>
      </c>
      <c r="J320" s="8">
        <f>AVERAGE(Table1[[#This Row],[math score]:[writing score]])</f>
        <v>66</v>
      </c>
      <c r="K320" s="2">
        <f t="shared" si="8"/>
        <v>300</v>
      </c>
      <c r="L320" s="4">
        <f>Table1[[#This Row],[Total Score]]/Table1[[#This Row],[Minimum Mark]]</f>
        <v>0.66</v>
      </c>
      <c r="M320" s="70" t="str">
        <f>_xlfn.XLOOKUP(Table1[[#This Row],[Pass(%)]],O:O,P:P,,-1)</f>
        <v>D+</v>
      </c>
    </row>
    <row r="321" spans="1:13" x14ac:dyDescent="0.35">
      <c r="A321" s="2" t="s">
        <v>17</v>
      </c>
      <c r="B321" s="2" t="s">
        <v>13</v>
      </c>
      <c r="C321" s="6" t="s">
        <v>22</v>
      </c>
      <c r="D321" s="6" t="s">
        <v>11</v>
      </c>
      <c r="E321" s="6" t="s">
        <v>12</v>
      </c>
      <c r="F321" s="6">
        <v>71</v>
      </c>
      <c r="G321" s="6">
        <v>66</v>
      </c>
      <c r="H321" s="6">
        <v>65</v>
      </c>
      <c r="I321" s="2">
        <f t="shared" si="9"/>
        <v>202</v>
      </c>
      <c r="J321" s="8">
        <f>AVERAGE(Table1[[#This Row],[math score]:[writing score]])</f>
        <v>67.333333333333329</v>
      </c>
      <c r="K321" s="2">
        <f t="shared" si="8"/>
        <v>300</v>
      </c>
      <c r="L321" s="4">
        <f>Table1[[#This Row],[Total Score]]/Table1[[#This Row],[Minimum Mark]]</f>
        <v>0.67333333333333334</v>
      </c>
      <c r="M321" s="70" t="str">
        <f>_xlfn.XLOOKUP(Table1[[#This Row],[Pass(%)]],O:O,P:P,,-1)</f>
        <v>D+</v>
      </c>
    </row>
    <row r="322" spans="1:13" x14ac:dyDescent="0.35">
      <c r="A322" s="2" t="s">
        <v>8</v>
      </c>
      <c r="B322" s="2" t="s">
        <v>21</v>
      </c>
      <c r="C322" s="6" t="s">
        <v>16</v>
      </c>
      <c r="D322" s="6" t="s">
        <v>11</v>
      </c>
      <c r="E322" s="6" t="s">
        <v>15</v>
      </c>
      <c r="F322" s="6">
        <v>77</v>
      </c>
      <c r="G322" s="6">
        <v>82</v>
      </c>
      <c r="H322" s="6">
        <v>91</v>
      </c>
      <c r="I322" s="2">
        <f t="shared" si="9"/>
        <v>250</v>
      </c>
      <c r="J322" s="8">
        <f>AVERAGE(Table1[[#This Row],[math score]:[writing score]])</f>
        <v>83.333333333333329</v>
      </c>
      <c r="K322" s="2">
        <f t="shared" si="8"/>
        <v>300</v>
      </c>
      <c r="L322" s="4">
        <f>Table1[[#This Row],[Total Score]]/Table1[[#This Row],[Minimum Mark]]</f>
        <v>0.83333333333333337</v>
      </c>
      <c r="M322" s="70" t="str">
        <f>_xlfn.XLOOKUP(Table1[[#This Row],[Pass(%)]],O:O,P:P,,-1)</f>
        <v>B</v>
      </c>
    </row>
    <row r="323" spans="1:13" ht="20.5" x14ac:dyDescent="0.8">
      <c r="A323" s="3" t="s">
        <v>17</v>
      </c>
      <c r="B323" s="3" t="s">
        <v>13</v>
      </c>
      <c r="C323" s="7" t="s">
        <v>19</v>
      </c>
      <c r="D323" s="7" t="s">
        <v>11</v>
      </c>
      <c r="E323" s="7" t="s">
        <v>12</v>
      </c>
      <c r="F323" s="7">
        <v>83</v>
      </c>
      <c r="G323" s="7">
        <v>72</v>
      </c>
      <c r="H323" s="7">
        <v>78</v>
      </c>
      <c r="I323" s="3">
        <f t="shared" si="9"/>
        <v>233</v>
      </c>
      <c r="J323" s="14">
        <f>AVERAGE(Table1[[#This Row],[math score]:[writing score]])</f>
        <v>77.666666666666671</v>
      </c>
      <c r="K323" s="3">
        <f t="shared" si="8"/>
        <v>300</v>
      </c>
      <c r="L323" s="5">
        <f>Table1[[#This Row],[Total Score]]/Table1[[#This Row],[Minimum Mark]]</f>
        <v>0.77666666666666662</v>
      </c>
      <c r="M323" s="71" t="str">
        <f>_xlfn.XLOOKUP(Table1[[#This Row],[Pass(%)]],O:O,P:P,,-1)</f>
        <v>C+</v>
      </c>
    </row>
    <row r="324" spans="1:13" x14ac:dyDescent="0.35">
      <c r="A324" s="2" t="s">
        <v>17</v>
      </c>
      <c r="B324" s="2" t="s">
        <v>9</v>
      </c>
      <c r="C324" s="6" t="s">
        <v>10</v>
      </c>
      <c r="D324" s="6" t="s">
        <v>11</v>
      </c>
      <c r="E324" s="6" t="s">
        <v>12</v>
      </c>
      <c r="F324" s="6">
        <v>63</v>
      </c>
      <c r="G324" s="6">
        <v>71</v>
      </c>
      <c r="H324" s="6">
        <v>69</v>
      </c>
      <c r="I324" s="2">
        <f t="shared" si="9"/>
        <v>203</v>
      </c>
      <c r="J324" s="8">
        <f>AVERAGE(Table1[[#This Row],[math score]:[writing score]])</f>
        <v>67.666666666666671</v>
      </c>
      <c r="K324" s="2">
        <f t="shared" si="8"/>
        <v>300</v>
      </c>
      <c r="L324" s="4">
        <f>Table1[[#This Row],[Total Score]]/Table1[[#This Row],[Minimum Mark]]</f>
        <v>0.67666666666666664</v>
      </c>
      <c r="M324" s="70" t="str">
        <f>_xlfn.XLOOKUP(Table1[[#This Row],[Pass(%)]],O:O,P:P,,-1)</f>
        <v>D+</v>
      </c>
    </row>
    <row r="325" spans="1:13" ht="20.5" x14ac:dyDescent="0.8">
      <c r="A325" s="3" t="s">
        <v>8</v>
      </c>
      <c r="B325" s="3" t="s">
        <v>21</v>
      </c>
      <c r="C325" s="7" t="s">
        <v>19</v>
      </c>
      <c r="D325" s="7" t="s">
        <v>20</v>
      </c>
      <c r="E325" s="7" t="s">
        <v>12</v>
      </c>
      <c r="F325" s="7">
        <v>56</v>
      </c>
      <c r="G325" s="7">
        <v>65</v>
      </c>
      <c r="H325" s="7">
        <v>63</v>
      </c>
      <c r="I325" s="3">
        <f t="shared" si="9"/>
        <v>184</v>
      </c>
      <c r="J325" s="14">
        <f>AVERAGE(Table1[[#This Row],[math score]:[writing score]])</f>
        <v>61.333333333333336</v>
      </c>
      <c r="K325" s="3">
        <f t="shared" si="8"/>
        <v>300</v>
      </c>
      <c r="L325" s="5">
        <f>Table1[[#This Row],[Total Score]]/Table1[[#This Row],[Minimum Mark]]</f>
        <v>0.61333333333333329</v>
      </c>
      <c r="M325" s="71" t="str">
        <f>_xlfn.XLOOKUP(Table1[[#This Row],[Pass(%)]],O:O,P:P,,-1)</f>
        <v>D+</v>
      </c>
    </row>
    <row r="326" spans="1:13" x14ac:dyDescent="0.35">
      <c r="A326" s="2" t="s">
        <v>8</v>
      </c>
      <c r="B326" s="2" t="s">
        <v>13</v>
      </c>
      <c r="C326" s="6" t="s">
        <v>22</v>
      </c>
      <c r="D326" s="6" t="s">
        <v>20</v>
      </c>
      <c r="E326" s="6" t="s">
        <v>15</v>
      </c>
      <c r="F326" s="6">
        <v>67</v>
      </c>
      <c r="G326" s="6">
        <v>79</v>
      </c>
      <c r="H326" s="6">
        <v>84</v>
      </c>
      <c r="I326" s="2">
        <f t="shared" si="9"/>
        <v>230</v>
      </c>
      <c r="J326" s="8">
        <f>AVERAGE(Table1[[#This Row],[math score]:[writing score]])</f>
        <v>76.666666666666671</v>
      </c>
      <c r="K326" s="2">
        <f t="shared" ref="K326:K389" si="10">3*100</f>
        <v>300</v>
      </c>
      <c r="L326" s="4">
        <f>Table1[[#This Row],[Total Score]]/Table1[[#This Row],[Minimum Mark]]</f>
        <v>0.76666666666666672</v>
      </c>
      <c r="M326" s="70" t="str">
        <f>_xlfn.XLOOKUP(Table1[[#This Row],[Pass(%)]],O:O,P:P,,-1)</f>
        <v>C</v>
      </c>
    </row>
    <row r="327" spans="1:13" x14ac:dyDescent="0.35">
      <c r="A327" s="2" t="s">
        <v>8</v>
      </c>
      <c r="B327" s="2" t="s">
        <v>24</v>
      </c>
      <c r="C327" s="6" t="s">
        <v>22</v>
      </c>
      <c r="D327" s="6" t="s">
        <v>11</v>
      </c>
      <c r="E327" s="6" t="s">
        <v>12</v>
      </c>
      <c r="F327" s="6">
        <v>75</v>
      </c>
      <c r="G327" s="6">
        <v>86</v>
      </c>
      <c r="H327" s="6">
        <v>79</v>
      </c>
      <c r="I327" s="2">
        <f t="shared" ref="I327:I390" si="11">SUM(F327:H327)</f>
        <v>240</v>
      </c>
      <c r="J327" s="8">
        <f>AVERAGE(Table1[[#This Row],[math score]:[writing score]])</f>
        <v>80</v>
      </c>
      <c r="K327" s="2">
        <f t="shared" si="10"/>
        <v>300</v>
      </c>
      <c r="L327" s="4">
        <f>Table1[[#This Row],[Total Score]]/Table1[[#This Row],[Minimum Mark]]</f>
        <v>0.8</v>
      </c>
      <c r="M327" s="70" t="str">
        <f>_xlfn.XLOOKUP(Table1[[#This Row],[Pass(%)]],O:O,P:P,,-1)</f>
        <v>B-</v>
      </c>
    </row>
    <row r="328" spans="1:13" x14ac:dyDescent="0.35">
      <c r="A328" s="2" t="s">
        <v>8</v>
      </c>
      <c r="B328" s="2" t="s">
        <v>13</v>
      </c>
      <c r="C328" s="6" t="s">
        <v>14</v>
      </c>
      <c r="D328" s="6" t="s">
        <v>11</v>
      </c>
      <c r="E328" s="6" t="s">
        <v>12</v>
      </c>
      <c r="F328" s="6">
        <v>71</v>
      </c>
      <c r="G328" s="6">
        <v>81</v>
      </c>
      <c r="H328" s="6">
        <v>80</v>
      </c>
      <c r="I328" s="2">
        <f t="shared" si="11"/>
        <v>232</v>
      </c>
      <c r="J328" s="8">
        <f>AVERAGE(Table1[[#This Row],[math score]:[writing score]])</f>
        <v>77.333333333333329</v>
      </c>
      <c r="K328" s="2">
        <f t="shared" si="10"/>
        <v>300</v>
      </c>
      <c r="L328" s="4">
        <f>Table1[[#This Row],[Total Score]]/Table1[[#This Row],[Minimum Mark]]</f>
        <v>0.77333333333333332</v>
      </c>
      <c r="M328" s="70" t="str">
        <f>_xlfn.XLOOKUP(Table1[[#This Row],[Pass(%)]],O:O,P:P,,-1)</f>
        <v>C+</v>
      </c>
    </row>
    <row r="329" spans="1:13" x14ac:dyDescent="0.35">
      <c r="A329" s="2" t="s">
        <v>8</v>
      </c>
      <c r="B329" s="2" t="s">
        <v>13</v>
      </c>
      <c r="C329" s="6" t="s">
        <v>23</v>
      </c>
      <c r="D329" s="6" t="s">
        <v>20</v>
      </c>
      <c r="E329" s="6" t="s">
        <v>12</v>
      </c>
      <c r="F329" s="6">
        <v>43</v>
      </c>
      <c r="G329" s="6">
        <v>53</v>
      </c>
      <c r="H329" s="6">
        <v>53</v>
      </c>
      <c r="I329" s="2">
        <f t="shared" si="11"/>
        <v>149</v>
      </c>
      <c r="J329" s="8">
        <f>AVERAGE(Table1[[#This Row],[math score]:[writing score]])</f>
        <v>49.666666666666664</v>
      </c>
      <c r="K329" s="2">
        <f t="shared" si="10"/>
        <v>300</v>
      </c>
      <c r="L329" s="4">
        <f>Table1[[#This Row],[Total Score]]/Table1[[#This Row],[Minimum Mark]]</f>
        <v>0.49666666666666665</v>
      </c>
      <c r="M329" s="70" t="str">
        <f>_xlfn.XLOOKUP(Table1[[#This Row],[Pass(%)]],O:O,P:P,,-1)</f>
        <v>D</v>
      </c>
    </row>
    <row r="330" spans="1:13" x14ac:dyDescent="0.35">
      <c r="A330" s="2" t="s">
        <v>8</v>
      </c>
      <c r="B330" s="2" t="s">
        <v>13</v>
      </c>
      <c r="C330" s="6" t="s">
        <v>22</v>
      </c>
      <c r="D330" s="6" t="s">
        <v>20</v>
      </c>
      <c r="E330" s="6" t="s">
        <v>12</v>
      </c>
      <c r="F330" s="6">
        <v>41</v>
      </c>
      <c r="G330" s="6">
        <v>46</v>
      </c>
      <c r="H330" s="6">
        <v>43</v>
      </c>
      <c r="I330" s="2">
        <f t="shared" si="11"/>
        <v>130</v>
      </c>
      <c r="J330" s="8">
        <f>AVERAGE(Table1[[#This Row],[math score]:[writing score]])</f>
        <v>43.333333333333336</v>
      </c>
      <c r="K330" s="2">
        <f t="shared" si="10"/>
        <v>300</v>
      </c>
      <c r="L330" s="4">
        <f>Table1[[#This Row],[Total Score]]/Table1[[#This Row],[Minimum Mark]]</f>
        <v>0.43333333333333335</v>
      </c>
      <c r="M330" s="70" t="str">
        <f>_xlfn.XLOOKUP(Table1[[#This Row],[Pass(%)]],O:O,P:P,,-1)</f>
        <v>D</v>
      </c>
    </row>
    <row r="331" spans="1:13" x14ac:dyDescent="0.35">
      <c r="A331" s="2" t="s">
        <v>8</v>
      </c>
      <c r="B331" s="2" t="s">
        <v>13</v>
      </c>
      <c r="C331" s="6" t="s">
        <v>14</v>
      </c>
      <c r="D331" s="6" t="s">
        <v>11</v>
      </c>
      <c r="E331" s="6" t="s">
        <v>12</v>
      </c>
      <c r="F331" s="6">
        <v>82</v>
      </c>
      <c r="G331" s="6">
        <v>90</v>
      </c>
      <c r="H331" s="6">
        <v>94</v>
      </c>
      <c r="I331" s="2">
        <f t="shared" si="11"/>
        <v>266</v>
      </c>
      <c r="J331" s="8">
        <f>AVERAGE(Table1[[#This Row],[math score]:[writing score]])</f>
        <v>88.666666666666671</v>
      </c>
      <c r="K331" s="2">
        <f t="shared" si="10"/>
        <v>300</v>
      </c>
      <c r="L331" s="4">
        <f>Table1[[#This Row],[Total Score]]/Table1[[#This Row],[Minimum Mark]]</f>
        <v>0.88666666666666671</v>
      </c>
      <c r="M331" s="70" t="str">
        <f>_xlfn.XLOOKUP(Table1[[#This Row],[Pass(%)]],O:O,P:P,,-1)</f>
        <v>B+</v>
      </c>
    </row>
    <row r="332" spans="1:13" x14ac:dyDescent="0.35">
      <c r="A332" s="2" t="s">
        <v>17</v>
      </c>
      <c r="B332" s="2" t="s">
        <v>13</v>
      </c>
      <c r="C332" s="6" t="s">
        <v>14</v>
      </c>
      <c r="D332" s="6" t="s">
        <v>11</v>
      </c>
      <c r="E332" s="6" t="s">
        <v>12</v>
      </c>
      <c r="F332" s="6">
        <v>61</v>
      </c>
      <c r="G332" s="6">
        <v>61</v>
      </c>
      <c r="H332" s="6">
        <v>62</v>
      </c>
      <c r="I332" s="2">
        <f t="shared" si="11"/>
        <v>184</v>
      </c>
      <c r="J332" s="8">
        <f>AVERAGE(Table1[[#This Row],[math score]:[writing score]])</f>
        <v>61.333333333333336</v>
      </c>
      <c r="K332" s="2">
        <f t="shared" si="10"/>
        <v>300</v>
      </c>
      <c r="L332" s="4">
        <f>Table1[[#This Row],[Total Score]]/Table1[[#This Row],[Minimum Mark]]</f>
        <v>0.61333333333333329</v>
      </c>
      <c r="M332" s="70" t="str">
        <f>_xlfn.XLOOKUP(Table1[[#This Row],[Pass(%)]],O:O,P:P,,-1)</f>
        <v>D+</v>
      </c>
    </row>
    <row r="333" spans="1:13" x14ac:dyDescent="0.35">
      <c r="A333" s="2" t="s">
        <v>17</v>
      </c>
      <c r="B333" s="2" t="s">
        <v>18</v>
      </c>
      <c r="C333" s="6" t="s">
        <v>14</v>
      </c>
      <c r="D333" s="6" t="s">
        <v>20</v>
      </c>
      <c r="E333" s="6" t="s">
        <v>12</v>
      </c>
      <c r="F333" s="6">
        <v>28</v>
      </c>
      <c r="G333" s="6">
        <v>23</v>
      </c>
      <c r="H333" s="6">
        <v>19</v>
      </c>
      <c r="I333" s="2">
        <f t="shared" si="11"/>
        <v>70</v>
      </c>
      <c r="J333" s="8">
        <f>AVERAGE(Table1[[#This Row],[math score]:[writing score]])</f>
        <v>23.333333333333332</v>
      </c>
      <c r="K333" s="2">
        <f t="shared" si="10"/>
        <v>300</v>
      </c>
      <c r="L333" s="4">
        <f>Table1[[#This Row],[Total Score]]/Table1[[#This Row],[Minimum Mark]]</f>
        <v>0.23333333333333334</v>
      </c>
      <c r="M333" s="70" t="str">
        <f>_xlfn.XLOOKUP(Table1[[#This Row],[Pass(%)]],O:O,P:P,,-1)</f>
        <v>F</v>
      </c>
    </row>
    <row r="334" spans="1:13" ht="20.5" x14ac:dyDescent="0.8">
      <c r="A334" s="3" t="s">
        <v>17</v>
      </c>
      <c r="B334" s="3" t="s">
        <v>13</v>
      </c>
      <c r="C334" s="7" t="s">
        <v>19</v>
      </c>
      <c r="D334" s="7" t="s">
        <v>11</v>
      </c>
      <c r="E334" s="7" t="s">
        <v>15</v>
      </c>
      <c r="F334" s="7">
        <v>82</v>
      </c>
      <c r="G334" s="7">
        <v>75</v>
      </c>
      <c r="H334" s="7">
        <v>77</v>
      </c>
      <c r="I334" s="3">
        <f t="shared" si="11"/>
        <v>234</v>
      </c>
      <c r="J334" s="14">
        <f>AVERAGE(Table1[[#This Row],[math score]:[writing score]])</f>
        <v>78</v>
      </c>
      <c r="K334" s="3">
        <f t="shared" si="10"/>
        <v>300</v>
      </c>
      <c r="L334" s="5">
        <f>Table1[[#This Row],[Total Score]]/Table1[[#This Row],[Minimum Mark]]</f>
        <v>0.78</v>
      </c>
      <c r="M334" s="71" t="str">
        <f>_xlfn.XLOOKUP(Table1[[#This Row],[Pass(%)]],O:O,P:P,,-1)</f>
        <v>C+</v>
      </c>
    </row>
    <row r="335" spans="1:13" x14ac:dyDescent="0.35">
      <c r="A335" s="2" t="s">
        <v>8</v>
      </c>
      <c r="B335" s="2" t="s">
        <v>9</v>
      </c>
      <c r="C335" s="6" t="s">
        <v>23</v>
      </c>
      <c r="D335" s="6" t="s">
        <v>11</v>
      </c>
      <c r="E335" s="6" t="s">
        <v>12</v>
      </c>
      <c r="F335" s="6">
        <v>41</v>
      </c>
      <c r="G335" s="6">
        <v>55</v>
      </c>
      <c r="H335" s="6">
        <v>51</v>
      </c>
      <c r="I335" s="2">
        <f t="shared" si="11"/>
        <v>147</v>
      </c>
      <c r="J335" s="8">
        <f>AVERAGE(Table1[[#This Row],[math score]:[writing score]])</f>
        <v>49</v>
      </c>
      <c r="K335" s="2">
        <f t="shared" si="10"/>
        <v>300</v>
      </c>
      <c r="L335" s="4">
        <f>Table1[[#This Row],[Total Score]]/Table1[[#This Row],[Minimum Mark]]</f>
        <v>0.49</v>
      </c>
      <c r="M335" s="70" t="str">
        <f>_xlfn.XLOOKUP(Table1[[#This Row],[Pass(%)]],O:O,P:P,,-1)</f>
        <v>D</v>
      </c>
    </row>
    <row r="336" spans="1:13" x14ac:dyDescent="0.35">
      <c r="A336" s="2" t="s">
        <v>17</v>
      </c>
      <c r="B336" s="2" t="s">
        <v>13</v>
      </c>
      <c r="C336" s="6" t="s">
        <v>22</v>
      </c>
      <c r="D336" s="6" t="s">
        <v>11</v>
      </c>
      <c r="E336" s="6" t="s">
        <v>12</v>
      </c>
      <c r="F336" s="6">
        <v>71</v>
      </c>
      <c r="G336" s="6">
        <v>60</v>
      </c>
      <c r="H336" s="6">
        <v>61</v>
      </c>
      <c r="I336" s="2">
        <f t="shared" si="11"/>
        <v>192</v>
      </c>
      <c r="J336" s="8">
        <f>AVERAGE(Table1[[#This Row],[math score]:[writing score]])</f>
        <v>64</v>
      </c>
      <c r="K336" s="2">
        <f t="shared" si="10"/>
        <v>300</v>
      </c>
      <c r="L336" s="4">
        <f>Table1[[#This Row],[Total Score]]/Table1[[#This Row],[Minimum Mark]]</f>
        <v>0.64</v>
      </c>
      <c r="M336" s="70" t="str">
        <f>_xlfn.XLOOKUP(Table1[[#This Row],[Pass(%)]],O:O,P:P,,-1)</f>
        <v>D+</v>
      </c>
    </row>
    <row r="337" spans="1:13" ht="20.5" x14ac:dyDescent="0.8">
      <c r="A337" s="3" t="s">
        <v>17</v>
      </c>
      <c r="B337" s="3" t="s">
        <v>13</v>
      </c>
      <c r="C337" s="7" t="s">
        <v>19</v>
      </c>
      <c r="D337" s="7" t="s">
        <v>11</v>
      </c>
      <c r="E337" s="7" t="s">
        <v>12</v>
      </c>
      <c r="F337" s="7">
        <v>47</v>
      </c>
      <c r="G337" s="7">
        <v>37</v>
      </c>
      <c r="H337" s="7">
        <v>35</v>
      </c>
      <c r="I337" s="3">
        <f t="shared" si="11"/>
        <v>119</v>
      </c>
      <c r="J337" s="14">
        <f>AVERAGE(Table1[[#This Row],[math score]:[writing score]])</f>
        <v>39.666666666666664</v>
      </c>
      <c r="K337" s="3">
        <f t="shared" si="10"/>
        <v>300</v>
      </c>
      <c r="L337" s="5">
        <f>Table1[[#This Row],[Total Score]]/Table1[[#This Row],[Minimum Mark]]</f>
        <v>0.39666666666666667</v>
      </c>
      <c r="M337" s="71" t="str">
        <f>_xlfn.XLOOKUP(Table1[[#This Row],[Pass(%)]],O:O,P:P,,-1)</f>
        <v>D-</v>
      </c>
    </row>
    <row r="338" spans="1:13" ht="20.5" x14ac:dyDescent="0.8">
      <c r="A338" s="3" t="s">
        <v>17</v>
      </c>
      <c r="B338" s="3" t="s">
        <v>24</v>
      </c>
      <c r="C338" s="7" t="s">
        <v>19</v>
      </c>
      <c r="D338" s="7" t="s">
        <v>11</v>
      </c>
      <c r="E338" s="7" t="s">
        <v>15</v>
      </c>
      <c r="F338" s="7">
        <v>62</v>
      </c>
      <c r="G338" s="7">
        <v>56</v>
      </c>
      <c r="H338" s="7">
        <v>53</v>
      </c>
      <c r="I338" s="3">
        <f t="shared" si="11"/>
        <v>171</v>
      </c>
      <c r="J338" s="14">
        <f>AVERAGE(Table1[[#This Row],[math score]:[writing score]])</f>
        <v>57</v>
      </c>
      <c r="K338" s="3">
        <f t="shared" si="10"/>
        <v>300</v>
      </c>
      <c r="L338" s="5">
        <f>Table1[[#This Row],[Total Score]]/Table1[[#This Row],[Minimum Mark]]</f>
        <v>0.56999999999999995</v>
      </c>
      <c r="M338" s="71" t="str">
        <f>_xlfn.XLOOKUP(Table1[[#This Row],[Pass(%)]],O:O,P:P,,-1)</f>
        <v>D+</v>
      </c>
    </row>
    <row r="339" spans="1:13" ht="20.5" x14ac:dyDescent="0.8">
      <c r="A339" s="3" t="s">
        <v>17</v>
      </c>
      <c r="B339" s="3" t="s">
        <v>9</v>
      </c>
      <c r="C339" s="7" t="s">
        <v>19</v>
      </c>
      <c r="D339" s="7" t="s">
        <v>11</v>
      </c>
      <c r="E339" s="7" t="s">
        <v>12</v>
      </c>
      <c r="F339" s="7">
        <v>90</v>
      </c>
      <c r="G339" s="7">
        <v>78</v>
      </c>
      <c r="H339" s="7">
        <v>81</v>
      </c>
      <c r="I339" s="3">
        <f t="shared" si="11"/>
        <v>249</v>
      </c>
      <c r="J339" s="14">
        <f>AVERAGE(Table1[[#This Row],[math score]:[writing score]])</f>
        <v>83</v>
      </c>
      <c r="K339" s="3">
        <f t="shared" si="10"/>
        <v>300</v>
      </c>
      <c r="L339" s="5">
        <f>Table1[[#This Row],[Total Score]]/Table1[[#This Row],[Minimum Mark]]</f>
        <v>0.83</v>
      </c>
      <c r="M339" s="71" t="str">
        <f>_xlfn.XLOOKUP(Table1[[#This Row],[Pass(%)]],O:O,P:P,,-1)</f>
        <v>B</v>
      </c>
    </row>
    <row r="340" spans="1:13" x14ac:dyDescent="0.35">
      <c r="A340" s="2" t="s">
        <v>8</v>
      </c>
      <c r="B340" s="2" t="s">
        <v>13</v>
      </c>
      <c r="C340" s="6" t="s">
        <v>10</v>
      </c>
      <c r="D340" s="6" t="s">
        <v>11</v>
      </c>
      <c r="E340" s="6" t="s">
        <v>12</v>
      </c>
      <c r="F340" s="6">
        <v>83</v>
      </c>
      <c r="G340" s="6">
        <v>93</v>
      </c>
      <c r="H340" s="6">
        <v>95</v>
      </c>
      <c r="I340" s="2">
        <f t="shared" si="11"/>
        <v>271</v>
      </c>
      <c r="J340" s="8">
        <f>AVERAGE(Table1[[#This Row],[math score]:[writing score]])</f>
        <v>90.333333333333329</v>
      </c>
      <c r="K340" s="2">
        <f t="shared" si="10"/>
        <v>300</v>
      </c>
      <c r="L340" s="4">
        <f>Table1[[#This Row],[Total Score]]/Table1[[#This Row],[Minimum Mark]]</f>
        <v>0.90333333333333332</v>
      </c>
      <c r="M340" s="70" t="str">
        <f>_xlfn.XLOOKUP(Table1[[#This Row],[Pass(%)]],O:O,P:P,,-1)</f>
        <v>A-</v>
      </c>
    </row>
    <row r="341" spans="1:13" x14ac:dyDescent="0.35">
      <c r="A341" s="2" t="s">
        <v>8</v>
      </c>
      <c r="B341" s="2" t="s">
        <v>9</v>
      </c>
      <c r="C341" s="6" t="s">
        <v>14</v>
      </c>
      <c r="D341" s="6" t="s">
        <v>20</v>
      </c>
      <c r="E341" s="6" t="s">
        <v>12</v>
      </c>
      <c r="F341" s="6">
        <v>61</v>
      </c>
      <c r="G341" s="6">
        <v>68</v>
      </c>
      <c r="H341" s="6">
        <v>66</v>
      </c>
      <c r="I341" s="2">
        <f t="shared" si="11"/>
        <v>195</v>
      </c>
      <c r="J341" s="8">
        <f>AVERAGE(Table1[[#This Row],[math score]:[writing score]])</f>
        <v>65</v>
      </c>
      <c r="K341" s="2">
        <f t="shared" si="10"/>
        <v>300</v>
      </c>
      <c r="L341" s="4">
        <f>Table1[[#This Row],[Total Score]]/Table1[[#This Row],[Minimum Mark]]</f>
        <v>0.65</v>
      </c>
      <c r="M341" s="70" t="str">
        <f>_xlfn.XLOOKUP(Table1[[#This Row],[Pass(%)]],O:O,P:P,,-1)</f>
        <v>D+</v>
      </c>
    </row>
    <row r="342" spans="1:13" x14ac:dyDescent="0.35">
      <c r="A342" s="2" t="s">
        <v>17</v>
      </c>
      <c r="B342" s="2" t="s">
        <v>21</v>
      </c>
      <c r="C342" s="6" t="s">
        <v>23</v>
      </c>
      <c r="D342" s="6" t="s">
        <v>11</v>
      </c>
      <c r="E342" s="6" t="s">
        <v>15</v>
      </c>
      <c r="F342" s="6">
        <v>76</v>
      </c>
      <c r="G342" s="6">
        <v>70</v>
      </c>
      <c r="H342" s="6">
        <v>69</v>
      </c>
      <c r="I342" s="2">
        <f t="shared" si="11"/>
        <v>215</v>
      </c>
      <c r="J342" s="8">
        <f>AVERAGE(Table1[[#This Row],[math score]:[writing score]])</f>
        <v>71.666666666666671</v>
      </c>
      <c r="K342" s="2">
        <f t="shared" si="10"/>
        <v>300</v>
      </c>
      <c r="L342" s="4">
        <f>Table1[[#This Row],[Total Score]]/Table1[[#This Row],[Minimum Mark]]</f>
        <v>0.71666666666666667</v>
      </c>
      <c r="M342" s="70" t="str">
        <f>_xlfn.XLOOKUP(Table1[[#This Row],[Pass(%)]],O:O,P:P,,-1)</f>
        <v>C-</v>
      </c>
    </row>
    <row r="343" spans="1:13" ht="20.5" x14ac:dyDescent="0.8">
      <c r="A343" s="3" t="s">
        <v>17</v>
      </c>
      <c r="B343" s="3" t="s">
        <v>13</v>
      </c>
      <c r="C343" s="7" t="s">
        <v>19</v>
      </c>
      <c r="D343" s="7" t="s">
        <v>11</v>
      </c>
      <c r="E343" s="7" t="s">
        <v>12</v>
      </c>
      <c r="F343" s="7">
        <v>49</v>
      </c>
      <c r="G343" s="7">
        <v>51</v>
      </c>
      <c r="H343" s="7">
        <v>43</v>
      </c>
      <c r="I343" s="3">
        <f t="shared" si="11"/>
        <v>143</v>
      </c>
      <c r="J343" s="14">
        <f>AVERAGE(Table1[[#This Row],[math score]:[writing score]])</f>
        <v>47.666666666666664</v>
      </c>
      <c r="K343" s="3">
        <f t="shared" si="10"/>
        <v>300</v>
      </c>
      <c r="L343" s="5">
        <f>Table1[[#This Row],[Total Score]]/Table1[[#This Row],[Minimum Mark]]</f>
        <v>0.47666666666666668</v>
      </c>
      <c r="M343" s="71" t="str">
        <f>_xlfn.XLOOKUP(Table1[[#This Row],[Pass(%)]],O:O,P:P,,-1)</f>
        <v>D</v>
      </c>
    </row>
    <row r="344" spans="1:13" x14ac:dyDescent="0.35">
      <c r="A344" s="2" t="s">
        <v>8</v>
      </c>
      <c r="B344" s="2" t="s">
        <v>9</v>
      </c>
      <c r="C344" s="6" t="s">
        <v>23</v>
      </c>
      <c r="D344" s="6" t="s">
        <v>20</v>
      </c>
      <c r="E344" s="6" t="s">
        <v>12</v>
      </c>
      <c r="F344" s="6">
        <v>24</v>
      </c>
      <c r="G344" s="6">
        <v>38</v>
      </c>
      <c r="H344" s="6">
        <v>27</v>
      </c>
      <c r="I344" s="2">
        <f t="shared" si="11"/>
        <v>89</v>
      </c>
      <c r="J344" s="8">
        <f>AVERAGE(Table1[[#This Row],[math score]:[writing score]])</f>
        <v>29.666666666666668</v>
      </c>
      <c r="K344" s="2">
        <f t="shared" si="10"/>
        <v>300</v>
      </c>
      <c r="L344" s="4">
        <f>Table1[[#This Row],[Total Score]]/Table1[[#This Row],[Minimum Mark]]</f>
        <v>0.29666666666666669</v>
      </c>
      <c r="M344" s="70" t="str">
        <f>_xlfn.XLOOKUP(Table1[[#This Row],[Pass(%)]],O:O,P:P,,-1)</f>
        <v>F</v>
      </c>
    </row>
    <row r="345" spans="1:13" x14ac:dyDescent="0.35">
      <c r="A345" s="2" t="s">
        <v>8</v>
      </c>
      <c r="B345" s="2" t="s">
        <v>21</v>
      </c>
      <c r="C345" s="6" t="s">
        <v>23</v>
      </c>
      <c r="D345" s="6" t="s">
        <v>20</v>
      </c>
      <c r="E345" s="6" t="s">
        <v>15</v>
      </c>
      <c r="F345" s="6">
        <v>35</v>
      </c>
      <c r="G345" s="6">
        <v>55</v>
      </c>
      <c r="H345" s="6">
        <v>60</v>
      </c>
      <c r="I345" s="2">
        <f t="shared" si="11"/>
        <v>150</v>
      </c>
      <c r="J345" s="8">
        <f>AVERAGE(Table1[[#This Row],[math score]:[writing score]])</f>
        <v>50</v>
      </c>
      <c r="K345" s="2">
        <f t="shared" si="10"/>
        <v>300</v>
      </c>
      <c r="L345" s="4">
        <f>Table1[[#This Row],[Total Score]]/Table1[[#This Row],[Minimum Mark]]</f>
        <v>0.5</v>
      </c>
      <c r="M345" s="70" t="str">
        <f>_xlfn.XLOOKUP(Table1[[#This Row],[Pass(%)]],O:O,P:P,,-1)</f>
        <v>D</v>
      </c>
    </row>
    <row r="346" spans="1:13" x14ac:dyDescent="0.35">
      <c r="A346" s="2" t="s">
        <v>17</v>
      </c>
      <c r="B346" s="2" t="s">
        <v>13</v>
      </c>
      <c r="C346" s="6" t="s">
        <v>22</v>
      </c>
      <c r="D346" s="6" t="s">
        <v>20</v>
      </c>
      <c r="E346" s="6" t="s">
        <v>12</v>
      </c>
      <c r="F346" s="6">
        <v>58</v>
      </c>
      <c r="G346" s="6">
        <v>61</v>
      </c>
      <c r="H346" s="6">
        <v>52</v>
      </c>
      <c r="I346" s="2">
        <f t="shared" si="11"/>
        <v>171</v>
      </c>
      <c r="J346" s="8">
        <f>AVERAGE(Table1[[#This Row],[math score]:[writing score]])</f>
        <v>57</v>
      </c>
      <c r="K346" s="2">
        <f t="shared" si="10"/>
        <v>300</v>
      </c>
      <c r="L346" s="4">
        <f>Table1[[#This Row],[Total Score]]/Table1[[#This Row],[Minimum Mark]]</f>
        <v>0.56999999999999995</v>
      </c>
      <c r="M346" s="70" t="str">
        <f>_xlfn.XLOOKUP(Table1[[#This Row],[Pass(%)]],O:O,P:P,,-1)</f>
        <v>D+</v>
      </c>
    </row>
    <row r="347" spans="1:13" x14ac:dyDescent="0.35">
      <c r="A347" s="2" t="s">
        <v>8</v>
      </c>
      <c r="B347" s="2" t="s">
        <v>13</v>
      </c>
      <c r="C347" s="6" t="s">
        <v>22</v>
      </c>
      <c r="D347" s="6" t="s">
        <v>11</v>
      </c>
      <c r="E347" s="6" t="s">
        <v>12</v>
      </c>
      <c r="F347" s="6">
        <v>61</v>
      </c>
      <c r="G347" s="6">
        <v>73</v>
      </c>
      <c r="H347" s="6">
        <v>63</v>
      </c>
      <c r="I347" s="2">
        <f t="shared" si="11"/>
        <v>197</v>
      </c>
      <c r="J347" s="8">
        <f>AVERAGE(Table1[[#This Row],[math score]:[writing score]])</f>
        <v>65.666666666666671</v>
      </c>
      <c r="K347" s="2">
        <f t="shared" si="10"/>
        <v>300</v>
      </c>
      <c r="L347" s="4">
        <f>Table1[[#This Row],[Total Score]]/Table1[[#This Row],[Minimum Mark]]</f>
        <v>0.65666666666666662</v>
      </c>
      <c r="M347" s="70" t="str">
        <f>_xlfn.XLOOKUP(Table1[[#This Row],[Pass(%)]],O:O,P:P,,-1)</f>
        <v>D+</v>
      </c>
    </row>
    <row r="348" spans="1:13" x14ac:dyDescent="0.35">
      <c r="A348" s="2" t="s">
        <v>8</v>
      </c>
      <c r="B348" s="2" t="s">
        <v>9</v>
      </c>
      <c r="C348" s="6" t="s">
        <v>22</v>
      </c>
      <c r="D348" s="6" t="s">
        <v>11</v>
      </c>
      <c r="E348" s="6" t="s">
        <v>15</v>
      </c>
      <c r="F348" s="6">
        <v>69</v>
      </c>
      <c r="G348" s="6">
        <v>76</v>
      </c>
      <c r="H348" s="6">
        <v>74</v>
      </c>
      <c r="I348" s="2">
        <f t="shared" si="11"/>
        <v>219</v>
      </c>
      <c r="J348" s="8">
        <f>AVERAGE(Table1[[#This Row],[math score]:[writing score]])</f>
        <v>73</v>
      </c>
      <c r="K348" s="2">
        <f t="shared" si="10"/>
        <v>300</v>
      </c>
      <c r="L348" s="4">
        <f>Table1[[#This Row],[Total Score]]/Table1[[#This Row],[Minimum Mark]]</f>
        <v>0.73</v>
      </c>
      <c r="M348" s="70" t="str">
        <f>_xlfn.XLOOKUP(Table1[[#This Row],[Pass(%)]],O:O,P:P,,-1)</f>
        <v>C</v>
      </c>
    </row>
    <row r="349" spans="1:13" ht="20.5" x14ac:dyDescent="0.8">
      <c r="A349" s="3" t="s">
        <v>17</v>
      </c>
      <c r="B349" s="3" t="s">
        <v>21</v>
      </c>
      <c r="C349" s="7" t="s">
        <v>19</v>
      </c>
      <c r="D349" s="7" t="s">
        <v>11</v>
      </c>
      <c r="E349" s="7" t="s">
        <v>15</v>
      </c>
      <c r="F349" s="7">
        <v>67</v>
      </c>
      <c r="G349" s="7">
        <v>72</v>
      </c>
      <c r="H349" s="7">
        <v>67</v>
      </c>
      <c r="I349" s="3">
        <f t="shared" si="11"/>
        <v>206</v>
      </c>
      <c r="J349" s="14">
        <f>AVERAGE(Table1[[#This Row],[math score]:[writing score]])</f>
        <v>68.666666666666671</v>
      </c>
      <c r="K349" s="3">
        <f t="shared" si="10"/>
        <v>300</v>
      </c>
      <c r="L349" s="5">
        <f>Table1[[#This Row],[Total Score]]/Table1[[#This Row],[Minimum Mark]]</f>
        <v>0.68666666666666665</v>
      </c>
      <c r="M349" s="71" t="str">
        <f>_xlfn.XLOOKUP(Table1[[#This Row],[Pass(%)]],O:O,P:P,,-1)</f>
        <v>D+</v>
      </c>
    </row>
    <row r="350" spans="1:13" x14ac:dyDescent="0.35">
      <c r="A350" s="2" t="s">
        <v>17</v>
      </c>
      <c r="B350" s="2" t="s">
        <v>21</v>
      </c>
      <c r="C350" s="6" t="s">
        <v>14</v>
      </c>
      <c r="D350" s="6" t="s">
        <v>11</v>
      </c>
      <c r="E350" s="6" t="s">
        <v>12</v>
      </c>
      <c r="F350" s="6">
        <v>79</v>
      </c>
      <c r="G350" s="6">
        <v>73</v>
      </c>
      <c r="H350" s="6">
        <v>67</v>
      </c>
      <c r="I350" s="2">
        <f t="shared" si="11"/>
        <v>219</v>
      </c>
      <c r="J350" s="8">
        <f>AVERAGE(Table1[[#This Row],[math score]:[writing score]])</f>
        <v>73</v>
      </c>
      <c r="K350" s="2">
        <f t="shared" si="10"/>
        <v>300</v>
      </c>
      <c r="L350" s="4">
        <f>Table1[[#This Row],[Total Score]]/Table1[[#This Row],[Minimum Mark]]</f>
        <v>0.73</v>
      </c>
      <c r="M350" s="70" t="str">
        <f>_xlfn.XLOOKUP(Table1[[#This Row],[Pass(%)]],O:O,P:P,,-1)</f>
        <v>C</v>
      </c>
    </row>
    <row r="351" spans="1:13" x14ac:dyDescent="0.35">
      <c r="A351" s="2" t="s">
        <v>8</v>
      </c>
      <c r="B351" s="2" t="s">
        <v>13</v>
      </c>
      <c r="C351" s="6" t="s">
        <v>22</v>
      </c>
      <c r="D351" s="6" t="s">
        <v>11</v>
      </c>
      <c r="E351" s="6" t="s">
        <v>12</v>
      </c>
      <c r="F351" s="6">
        <v>72</v>
      </c>
      <c r="G351" s="6">
        <v>80</v>
      </c>
      <c r="H351" s="6">
        <v>75</v>
      </c>
      <c r="I351" s="2">
        <f t="shared" si="11"/>
        <v>227</v>
      </c>
      <c r="J351" s="8">
        <f>AVERAGE(Table1[[#This Row],[math score]:[writing score]])</f>
        <v>75.666666666666671</v>
      </c>
      <c r="K351" s="2">
        <f t="shared" si="10"/>
        <v>300</v>
      </c>
      <c r="L351" s="4">
        <f>Table1[[#This Row],[Total Score]]/Table1[[#This Row],[Minimum Mark]]</f>
        <v>0.75666666666666671</v>
      </c>
      <c r="M351" s="70" t="str">
        <f>_xlfn.XLOOKUP(Table1[[#This Row],[Pass(%)]],O:O,P:P,,-1)</f>
        <v>C</v>
      </c>
    </row>
    <row r="352" spans="1:13" x14ac:dyDescent="0.35">
      <c r="A352" s="2" t="s">
        <v>17</v>
      </c>
      <c r="B352" s="2" t="s">
        <v>9</v>
      </c>
      <c r="C352" s="6" t="s">
        <v>14</v>
      </c>
      <c r="D352" s="6" t="s">
        <v>11</v>
      </c>
      <c r="E352" s="6" t="s">
        <v>12</v>
      </c>
      <c r="F352" s="6">
        <v>62</v>
      </c>
      <c r="G352" s="6">
        <v>61</v>
      </c>
      <c r="H352" s="6">
        <v>57</v>
      </c>
      <c r="I352" s="2">
        <f t="shared" si="11"/>
        <v>180</v>
      </c>
      <c r="J352" s="8">
        <f>AVERAGE(Table1[[#This Row],[math score]:[writing score]])</f>
        <v>60</v>
      </c>
      <c r="K352" s="2">
        <f t="shared" si="10"/>
        <v>300</v>
      </c>
      <c r="L352" s="4">
        <f>Table1[[#This Row],[Total Score]]/Table1[[#This Row],[Minimum Mark]]</f>
        <v>0.6</v>
      </c>
      <c r="M352" s="70" t="str">
        <f>_xlfn.XLOOKUP(Table1[[#This Row],[Pass(%)]],O:O,P:P,,-1)</f>
        <v>D+</v>
      </c>
    </row>
    <row r="353" spans="1:13" x14ac:dyDescent="0.35">
      <c r="A353" s="2" t="s">
        <v>8</v>
      </c>
      <c r="B353" s="2" t="s">
        <v>13</v>
      </c>
      <c r="C353" s="6" t="s">
        <v>10</v>
      </c>
      <c r="D353" s="6" t="s">
        <v>11</v>
      </c>
      <c r="E353" s="6" t="s">
        <v>15</v>
      </c>
      <c r="F353" s="6">
        <v>77</v>
      </c>
      <c r="G353" s="6">
        <v>94</v>
      </c>
      <c r="H353" s="6">
        <v>95</v>
      </c>
      <c r="I353" s="2">
        <f t="shared" si="11"/>
        <v>266</v>
      </c>
      <c r="J353" s="8">
        <f>AVERAGE(Table1[[#This Row],[math score]:[writing score]])</f>
        <v>88.666666666666671</v>
      </c>
      <c r="K353" s="2">
        <f t="shared" si="10"/>
        <v>300</v>
      </c>
      <c r="L353" s="4">
        <f>Table1[[#This Row],[Total Score]]/Table1[[#This Row],[Minimum Mark]]</f>
        <v>0.88666666666666671</v>
      </c>
      <c r="M353" s="70" t="str">
        <f>_xlfn.XLOOKUP(Table1[[#This Row],[Pass(%)]],O:O,P:P,,-1)</f>
        <v>B+</v>
      </c>
    </row>
    <row r="354" spans="1:13" x14ac:dyDescent="0.35">
      <c r="A354" s="2" t="s">
        <v>17</v>
      </c>
      <c r="B354" s="2" t="s">
        <v>21</v>
      </c>
      <c r="C354" s="6" t="s">
        <v>22</v>
      </c>
      <c r="D354" s="6" t="s">
        <v>20</v>
      </c>
      <c r="E354" s="6" t="s">
        <v>12</v>
      </c>
      <c r="F354" s="6">
        <v>75</v>
      </c>
      <c r="G354" s="6">
        <v>74</v>
      </c>
      <c r="H354" s="6">
        <v>66</v>
      </c>
      <c r="I354" s="2">
        <f t="shared" si="11"/>
        <v>215</v>
      </c>
      <c r="J354" s="8">
        <f>AVERAGE(Table1[[#This Row],[math score]:[writing score]])</f>
        <v>71.666666666666671</v>
      </c>
      <c r="K354" s="2">
        <f t="shared" si="10"/>
        <v>300</v>
      </c>
      <c r="L354" s="4">
        <f>Table1[[#This Row],[Total Score]]/Table1[[#This Row],[Minimum Mark]]</f>
        <v>0.71666666666666667</v>
      </c>
      <c r="M354" s="70" t="str">
        <f>_xlfn.XLOOKUP(Table1[[#This Row],[Pass(%)]],O:O,P:P,,-1)</f>
        <v>C-</v>
      </c>
    </row>
    <row r="355" spans="1:13" ht="20.5" x14ac:dyDescent="0.8">
      <c r="A355" s="3" t="s">
        <v>17</v>
      </c>
      <c r="B355" s="3" t="s">
        <v>24</v>
      </c>
      <c r="C355" s="7" t="s">
        <v>19</v>
      </c>
      <c r="D355" s="7" t="s">
        <v>11</v>
      </c>
      <c r="E355" s="7" t="s">
        <v>12</v>
      </c>
      <c r="F355" s="7">
        <v>87</v>
      </c>
      <c r="G355" s="7">
        <v>74</v>
      </c>
      <c r="H355" s="7">
        <v>76</v>
      </c>
      <c r="I355" s="3">
        <f t="shared" si="11"/>
        <v>237</v>
      </c>
      <c r="J355" s="14">
        <f>AVERAGE(Table1[[#This Row],[math score]:[writing score]])</f>
        <v>79</v>
      </c>
      <c r="K355" s="3">
        <f t="shared" si="10"/>
        <v>300</v>
      </c>
      <c r="L355" s="5">
        <f>Table1[[#This Row],[Total Score]]/Table1[[#This Row],[Minimum Mark]]</f>
        <v>0.79</v>
      </c>
      <c r="M355" s="71" t="str">
        <f>_xlfn.XLOOKUP(Table1[[#This Row],[Pass(%)]],O:O,P:P,,-1)</f>
        <v>C+</v>
      </c>
    </row>
    <row r="356" spans="1:13" x14ac:dyDescent="0.35">
      <c r="A356" s="2" t="s">
        <v>8</v>
      </c>
      <c r="B356" s="2" t="s">
        <v>9</v>
      </c>
      <c r="C356" s="6" t="s">
        <v>10</v>
      </c>
      <c r="D356" s="6" t="s">
        <v>11</v>
      </c>
      <c r="E356" s="6" t="s">
        <v>12</v>
      </c>
      <c r="F356" s="6">
        <v>52</v>
      </c>
      <c r="G356" s="6">
        <v>65</v>
      </c>
      <c r="H356" s="6">
        <v>69</v>
      </c>
      <c r="I356" s="2">
        <f t="shared" si="11"/>
        <v>186</v>
      </c>
      <c r="J356" s="8">
        <f>AVERAGE(Table1[[#This Row],[math score]:[writing score]])</f>
        <v>62</v>
      </c>
      <c r="K356" s="2">
        <f t="shared" si="10"/>
        <v>300</v>
      </c>
      <c r="L356" s="4">
        <f>Table1[[#This Row],[Total Score]]/Table1[[#This Row],[Minimum Mark]]</f>
        <v>0.62</v>
      </c>
      <c r="M356" s="70" t="str">
        <f>_xlfn.XLOOKUP(Table1[[#This Row],[Pass(%)]],O:O,P:P,,-1)</f>
        <v>D+</v>
      </c>
    </row>
    <row r="357" spans="1:13" x14ac:dyDescent="0.35">
      <c r="A357" s="2" t="s">
        <v>17</v>
      </c>
      <c r="B357" s="2" t="s">
        <v>24</v>
      </c>
      <c r="C357" s="6" t="s">
        <v>14</v>
      </c>
      <c r="D357" s="6" t="s">
        <v>11</v>
      </c>
      <c r="E357" s="6" t="s">
        <v>12</v>
      </c>
      <c r="F357" s="6">
        <v>66</v>
      </c>
      <c r="G357" s="6">
        <v>57</v>
      </c>
      <c r="H357" s="6">
        <v>52</v>
      </c>
      <c r="I357" s="2">
        <f t="shared" si="11"/>
        <v>175</v>
      </c>
      <c r="J357" s="8">
        <f>AVERAGE(Table1[[#This Row],[math score]:[writing score]])</f>
        <v>58.333333333333336</v>
      </c>
      <c r="K357" s="2">
        <f t="shared" si="10"/>
        <v>300</v>
      </c>
      <c r="L357" s="4">
        <f>Table1[[#This Row],[Total Score]]/Table1[[#This Row],[Minimum Mark]]</f>
        <v>0.58333333333333337</v>
      </c>
      <c r="M357" s="70" t="str">
        <f>_xlfn.XLOOKUP(Table1[[#This Row],[Pass(%)]],O:O,P:P,,-1)</f>
        <v>D+</v>
      </c>
    </row>
    <row r="358" spans="1:13" x14ac:dyDescent="0.35">
      <c r="A358" s="2" t="s">
        <v>8</v>
      </c>
      <c r="B358" s="2" t="s">
        <v>13</v>
      </c>
      <c r="C358" s="6" t="s">
        <v>14</v>
      </c>
      <c r="D358" s="6" t="s">
        <v>11</v>
      </c>
      <c r="E358" s="6" t="s">
        <v>15</v>
      </c>
      <c r="F358" s="6">
        <v>63</v>
      </c>
      <c r="G358" s="6">
        <v>78</v>
      </c>
      <c r="H358" s="6">
        <v>80</v>
      </c>
      <c r="I358" s="2">
        <f t="shared" si="11"/>
        <v>221</v>
      </c>
      <c r="J358" s="8">
        <f>AVERAGE(Table1[[#This Row],[math score]:[writing score]])</f>
        <v>73.666666666666671</v>
      </c>
      <c r="K358" s="2">
        <f t="shared" si="10"/>
        <v>300</v>
      </c>
      <c r="L358" s="4">
        <f>Table1[[#This Row],[Total Score]]/Table1[[#This Row],[Minimum Mark]]</f>
        <v>0.73666666666666669</v>
      </c>
      <c r="M358" s="70" t="str">
        <f>_xlfn.XLOOKUP(Table1[[#This Row],[Pass(%)]],O:O,P:P,,-1)</f>
        <v>C</v>
      </c>
    </row>
    <row r="359" spans="1:13" ht="20.5" x14ac:dyDescent="0.8">
      <c r="A359" s="3" t="s">
        <v>8</v>
      </c>
      <c r="B359" s="3" t="s">
        <v>13</v>
      </c>
      <c r="C359" s="7" t="s">
        <v>19</v>
      </c>
      <c r="D359" s="7" t="s">
        <v>11</v>
      </c>
      <c r="E359" s="7" t="s">
        <v>12</v>
      </c>
      <c r="F359" s="7">
        <v>46</v>
      </c>
      <c r="G359" s="7">
        <v>58</v>
      </c>
      <c r="H359" s="7">
        <v>57</v>
      </c>
      <c r="I359" s="3">
        <f t="shared" si="11"/>
        <v>161</v>
      </c>
      <c r="J359" s="14">
        <f>AVERAGE(Table1[[#This Row],[math score]:[writing score]])</f>
        <v>53.666666666666664</v>
      </c>
      <c r="K359" s="3">
        <f t="shared" si="10"/>
        <v>300</v>
      </c>
      <c r="L359" s="5">
        <f>Table1[[#This Row],[Total Score]]/Table1[[#This Row],[Minimum Mark]]</f>
        <v>0.53666666666666663</v>
      </c>
      <c r="M359" s="71" t="str">
        <f>_xlfn.XLOOKUP(Table1[[#This Row],[Pass(%)]],O:O,P:P,,-1)</f>
        <v>D+</v>
      </c>
    </row>
    <row r="360" spans="1:13" x14ac:dyDescent="0.35">
      <c r="A360" s="2" t="s">
        <v>8</v>
      </c>
      <c r="B360" s="2" t="s">
        <v>13</v>
      </c>
      <c r="C360" s="6" t="s">
        <v>14</v>
      </c>
      <c r="D360" s="6" t="s">
        <v>11</v>
      </c>
      <c r="E360" s="6" t="s">
        <v>12</v>
      </c>
      <c r="F360" s="6">
        <v>59</v>
      </c>
      <c r="G360" s="6">
        <v>71</v>
      </c>
      <c r="H360" s="6">
        <v>70</v>
      </c>
      <c r="I360" s="2">
        <f t="shared" si="11"/>
        <v>200</v>
      </c>
      <c r="J360" s="8">
        <f>AVERAGE(Table1[[#This Row],[math score]:[writing score]])</f>
        <v>66.666666666666671</v>
      </c>
      <c r="K360" s="2">
        <f t="shared" si="10"/>
        <v>300</v>
      </c>
      <c r="L360" s="4">
        <f>Table1[[#This Row],[Total Score]]/Table1[[#This Row],[Minimum Mark]]</f>
        <v>0.66666666666666663</v>
      </c>
      <c r="M360" s="70" t="str">
        <f>_xlfn.XLOOKUP(Table1[[#This Row],[Pass(%)]],O:O,P:P,,-1)</f>
        <v>D+</v>
      </c>
    </row>
    <row r="361" spans="1:13" x14ac:dyDescent="0.35">
      <c r="A361" s="2" t="s">
        <v>8</v>
      </c>
      <c r="B361" s="2" t="s">
        <v>9</v>
      </c>
      <c r="C361" s="6" t="s">
        <v>10</v>
      </c>
      <c r="D361" s="6" t="s">
        <v>11</v>
      </c>
      <c r="E361" s="6" t="s">
        <v>12</v>
      </c>
      <c r="F361" s="6">
        <v>61</v>
      </c>
      <c r="G361" s="6">
        <v>72</v>
      </c>
      <c r="H361" s="6">
        <v>70</v>
      </c>
      <c r="I361" s="2">
        <f t="shared" si="11"/>
        <v>203</v>
      </c>
      <c r="J361" s="8">
        <f>AVERAGE(Table1[[#This Row],[math score]:[writing score]])</f>
        <v>67.666666666666671</v>
      </c>
      <c r="K361" s="2">
        <f t="shared" si="10"/>
        <v>300</v>
      </c>
      <c r="L361" s="4">
        <f>Table1[[#This Row],[Total Score]]/Table1[[#This Row],[Minimum Mark]]</f>
        <v>0.67666666666666664</v>
      </c>
      <c r="M361" s="70" t="str">
        <f>_xlfn.XLOOKUP(Table1[[#This Row],[Pass(%)]],O:O,P:P,,-1)</f>
        <v>D+</v>
      </c>
    </row>
    <row r="362" spans="1:13" ht="20.5" x14ac:dyDescent="0.8">
      <c r="A362" s="3" t="s">
        <v>17</v>
      </c>
      <c r="B362" s="3" t="s">
        <v>18</v>
      </c>
      <c r="C362" s="7" t="s">
        <v>19</v>
      </c>
      <c r="D362" s="7" t="s">
        <v>11</v>
      </c>
      <c r="E362" s="7" t="s">
        <v>12</v>
      </c>
      <c r="F362" s="7">
        <v>63</v>
      </c>
      <c r="G362" s="7">
        <v>61</v>
      </c>
      <c r="H362" s="7">
        <v>61</v>
      </c>
      <c r="I362" s="3">
        <f t="shared" si="11"/>
        <v>185</v>
      </c>
      <c r="J362" s="14">
        <f>AVERAGE(Table1[[#This Row],[math score]:[writing score]])</f>
        <v>61.666666666666664</v>
      </c>
      <c r="K362" s="3">
        <f t="shared" si="10"/>
        <v>300</v>
      </c>
      <c r="L362" s="5">
        <f>Table1[[#This Row],[Total Score]]/Table1[[#This Row],[Minimum Mark]]</f>
        <v>0.6166666666666667</v>
      </c>
      <c r="M362" s="71" t="str">
        <f>_xlfn.XLOOKUP(Table1[[#This Row],[Pass(%)]],O:O,P:P,,-1)</f>
        <v>D+</v>
      </c>
    </row>
    <row r="363" spans="1:13" x14ac:dyDescent="0.35">
      <c r="A363" s="2" t="s">
        <v>8</v>
      </c>
      <c r="B363" s="2" t="s">
        <v>13</v>
      </c>
      <c r="C363" s="6" t="s">
        <v>14</v>
      </c>
      <c r="D363" s="6" t="s">
        <v>20</v>
      </c>
      <c r="E363" s="6" t="s">
        <v>15</v>
      </c>
      <c r="F363" s="6">
        <v>42</v>
      </c>
      <c r="G363" s="6">
        <v>66</v>
      </c>
      <c r="H363" s="6">
        <v>69</v>
      </c>
      <c r="I363" s="2">
        <f t="shared" si="11"/>
        <v>177</v>
      </c>
      <c r="J363" s="8">
        <f>AVERAGE(Table1[[#This Row],[math score]:[writing score]])</f>
        <v>59</v>
      </c>
      <c r="K363" s="2">
        <f t="shared" si="10"/>
        <v>300</v>
      </c>
      <c r="L363" s="4">
        <f>Table1[[#This Row],[Total Score]]/Table1[[#This Row],[Minimum Mark]]</f>
        <v>0.59</v>
      </c>
      <c r="M363" s="70" t="str">
        <f>_xlfn.XLOOKUP(Table1[[#This Row],[Pass(%)]],O:O,P:P,,-1)</f>
        <v>D+</v>
      </c>
    </row>
    <row r="364" spans="1:13" x14ac:dyDescent="0.35">
      <c r="A364" s="2" t="s">
        <v>17</v>
      </c>
      <c r="B364" s="2" t="s">
        <v>21</v>
      </c>
      <c r="C364" s="6" t="s">
        <v>14</v>
      </c>
      <c r="D364" s="6" t="s">
        <v>20</v>
      </c>
      <c r="E364" s="6" t="s">
        <v>12</v>
      </c>
      <c r="F364" s="6">
        <v>59</v>
      </c>
      <c r="G364" s="6">
        <v>62</v>
      </c>
      <c r="H364" s="6">
        <v>61</v>
      </c>
      <c r="I364" s="2">
        <f t="shared" si="11"/>
        <v>182</v>
      </c>
      <c r="J364" s="8">
        <f>AVERAGE(Table1[[#This Row],[math score]:[writing score]])</f>
        <v>60.666666666666664</v>
      </c>
      <c r="K364" s="2">
        <f t="shared" si="10"/>
        <v>300</v>
      </c>
      <c r="L364" s="4">
        <f>Table1[[#This Row],[Total Score]]/Table1[[#This Row],[Minimum Mark]]</f>
        <v>0.60666666666666669</v>
      </c>
      <c r="M364" s="70" t="str">
        <f>_xlfn.XLOOKUP(Table1[[#This Row],[Pass(%)]],O:O,P:P,,-1)</f>
        <v>D+</v>
      </c>
    </row>
    <row r="365" spans="1:13" x14ac:dyDescent="0.35">
      <c r="A365" s="2" t="s">
        <v>8</v>
      </c>
      <c r="B365" s="2" t="s">
        <v>21</v>
      </c>
      <c r="C365" s="6" t="s">
        <v>14</v>
      </c>
      <c r="D365" s="6" t="s">
        <v>11</v>
      </c>
      <c r="E365" s="6" t="s">
        <v>12</v>
      </c>
      <c r="F365" s="6">
        <v>80</v>
      </c>
      <c r="G365" s="6">
        <v>90</v>
      </c>
      <c r="H365" s="6">
        <v>89</v>
      </c>
      <c r="I365" s="2">
        <f t="shared" si="11"/>
        <v>259</v>
      </c>
      <c r="J365" s="8">
        <f>AVERAGE(Table1[[#This Row],[math score]:[writing score]])</f>
        <v>86.333333333333329</v>
      </c>
      <c r="K365" s="2">
        <f t="shared" si="10"/>
        <v>300</v>
      </c>
      <c r="L365" s="4">
        <f>Table1[[#This Row],[Total Score]]/Table1[[#This Row],[Minimum Mark]]</f>
        <v>0.86333333333333329</v>
      </c>
      <c r="M365" s="70" t="str">
        <f>_xlfn.XLOOKUP(Table1[[#This Row],[Pass(%)]],O:O,P:P,,-1)</f>
        <v>B</v>
      </c>
    </row>
    <row r="366" spans="1:13" x14ac:dyDescent="0.35">
      <c r="A366" s="2" t="s">
        <v>8</v>
      </c>
      <c r="B366" s="2" t="s">
        <v>9</v>
      </c>
      <c r="C366" s="6" t="s">
        <v>22</v>
      </c>
      <c r="D366" s="6" t="s">
        <v>11</v>
      </c>
      <c r="E366" s="6" t="s">
        <v>12</v>
      </c>
      <c r="F366" s="6">
        <v>58</v>
      </c>
      <c r="G366" s="6">
        <v>62</v>
      </c>
      <c r="H366" s="6">
        <v>59</v>
      </c>
      <c r="I366" s="2">
        <f t="shared" si="11"/>
        <v>179</v>
      </c>
      <c r="J366" s="8">
        <f>AVERAGE(Table1[[#This Row],[math score]:[writing score]])</f>
        <v>59.666666666666664</v>
      </c>
      <c r="K366" s="2">
        <f t="shared" si="10"/>
        <v>300</v>
      </c>
      <c r="L366" s="4">
        <f>Table1[[#This Row],[Total Score]]/Table1[[#This Row],[Minimum Mark]]</f>
        <v>0.59666666666666668</v>
      </c>
      <c r="M366" s="70" t="str">
        <f>_xlfn.XLOOKUP(Table1[[#This Row],[Pass(%)]],O:O,P:P,,-1)</f>
        <v>D+</v>
      </c>
    </row>
    <row r="367" spans="1:13" x14ac:dyDescent="0.35">
      <c r="A367" s="2" t="s">
        <v>17</v>
      </c>
      <c r="B367" s="2" t="s">
        <v>9</v>
      </c>
      <c r="C367" s="6" t="s">
        <v>23</v>
      </c>
      <c r="D367" s="6" t="s">
        <v>11</v>
      </c>
      <c r="E367" s="6" t="s">
        <v>15</v>
      </c>
      <c r="F367" s="6">
        <v>85</v>
      </c>
      <c r="G367" s="6">
        <v>84</v>
      </c>
      <c r="H367" s="6">
        <v>78</v>
      </c>
      <c r="I367" s="2">
        <f t="shared" si="11"/>
        <v>247</v>
      </c>
      <c r="J367" s="8">
        <f>AVERAGE(Table1[[#This Row],[math score]:[writing score]])</f>
        <v>82.333333333333329</v>
      </c>
      <c r="K367" s="2">
        <f t="shared" si="10"/>
        <v>300</v>
      </c>
      <c r="L367" s="4">
        <f>Table1[[#This Row],[Total Score]]/Table1[[#This Row],[Minimum Mark]]</f>
        <v>0.82333333333333336</v>
      </c>
      <c r="M367" s="70" t="str">
        <f>_xlfn.XLOOKUP(Table1[[#This Row],[Pass(%)]],O:O,P:P,,-1)</f>
        <v>B-</v>
      </c>
    </row>
    <row r="368" spans="1:13" x14ac:dyDescent="0.35">
      <c r="A368" s="2" t="s">
        <v>8</v>
      </c>
      <c r="B368" s="2" t="s">
        <v>13</v>
      </c>
      <c r="C368" s="6" t="s">
        <v>14</v>
      </c>
      <c r="D368" s="6" t="s">
        <v>11</v>
      </c>
      <c r="E368" s="6" t="s">
        <v>12</v>
      </c>
      <c r="F368" s="6">
        <v>52</v>
      </c>
      <c r="G368" s="6">
        <v>58</v>
      </c>
      <c r="H368" s="6">
        <v>58</v>
      </c>
      <c r="I368" s="2">
        <f t="shared" si="11"/>
        <v>168</v>
      </c>
      <c r="J368" s="8">
        <f>AVERAGE(Table1[[#This Row],[math score]:[writing score]])</f>
        <v>56</v>
      </c>
      <c r="K368" s="2">
        <f t="shared" si="10"/>
        <v>300</v>
      </c>
      <c r="L368" s="4">
        <f>Table1[[#This Row],[Total Score]]/Table1[[#This Row],[Minimum Mark]]</f>
        <v>0.56000000000000005</v>
      </c>
      <c r="M368" s="70" t="str">
        <f>_xlfn.XLOOKUP(Table1[[#This Row],[Pass(%)]],O:O,P:P,,-1)</f>
        <v>D+</v>
      </c>
    </row>
    <row r="369" spans="1:13" x14ac:dyDescent="0.35">
      <c r="A369" s="2" t="s">
        <v>8</v>
      </c>
      <c r="B369" s="2" t="s">
        <v>21</v>
      </c>
      <c r="C369" s="6" t="s">
        <v>23</v>
      </c>
      <c r="D369" s="6" t="s">
        <v>20</v>
      </c>
      <c r="E369" s="6" t="s">
        <v>12</v>
      </c>
      <c r="F369" s="6">
        <v>27</v>
      </c>
      <c r="G369" s="6">
        <v>34</v>
      </c>
      <c r="H369" s="6">
        <v>32</v>
      </c>
      <c r="I369" s="2">
        <f t="shared" si="11"/>
        <v>93</v>
      </c>
      <c r="J369" s="8">
        <f>AVERAGE(Table1[[#This Row],[math score]:[writing score]])</f>
        <v>31</v>
      </c>
      <c r="K369" s="2">
        <f t="shared" si="10"/>
        <v>300</v>
      </c>
      <c r="L369" s="4">
        <f>Table1[[#This Row],[Total Score]]/Table1[[#This Row],[Minimum Mark]]</f>
        <v>0.31</v>
      </c>
      <c r="M369" s="70" t="str">
        <f>_xlfn.XLOOKUP(Table1[[#This Row],[Pass(%)]],O:O,P:P,,-1)</f>
        <v>D-</v>
      </c>
    </row>
    <row r="370" spans="1:13" x14ac:dyDescent="0.35">
      <c r="A370" s="2" t="s">
        <v>17</v>
      </c>
      <c r="B370" s="2" t="s">
        <v>13</v>
      </c>
      <c r="C370" s="6" t="s">
        <v>14</v>
      </c>
      <c r="D370" s="6" t="s">
        <v>11</v>
      </c>
      <c r="E370" s="6" t="s">
        <v>12</v>
      </c>
      <c r="F370" s="6">
        <v>59</v>
      </c>
      <c r="G370" s="6">
        <v>60</v>
      </c>
      <c r="H370" s="6">
        <v>58</v>
      </c>
      <c r="I370" s="2">
        <f t="shared" si="11"/>
        <v>177</v>
      </c>
      <c r="J370" s="8">
        <f>AVERAGE(Table1[[#This Row],[math score]:[writing score]])</f>
        <v>59</v>
      </c>
      <c r="K370" s="2">
        <f t="shared" si="10"/>
        <v>300</v>
      </c>
      <c r="L370" s="4">
        <f>Table1[[#This Row],[Total Score]]/Table1[[#This Row],[Minimum Mark]]</f>
        <v>0.59</v>
      </c>
      <c r="M370" s="70" t="str">
        <f>_xlfn.XLOOKUP(Table1[[#This Row],[Pass(%)]],O:O,P:P,,-1)</f>
        <v>D+</v>
      </c>
    </row>
    <row r="371" spans="1:13" x14ac:dyDescent="0.35">
      <c r="A371" s="2" t="s">
        <v>17</v>
      </c>
      <c r="B371" s="2" t="s">
        <v>18</v>
      </c>
      <c r="C371" s="6" t="s">
        <v>10</v>
      </c>
      <c r="D371" s="6" t="s">
        <v>20</v>
      </c>
      <c r="E371" s="6" t="s">
        <v>15</v>
      </c>
      <c r="F371" s="6">
        <v>49</v>
      </c>
      <c r="G371" s="6">
        <v>58</v>
      </c>
      <c r="H371" s="6">
        <v>60</v>
      </c>
      <c r="I371" s="2">
        <f t="shared" si="11"/>
        <v>167</v>
      </c>
      <c r="J371" s="8">
        <f>AVERAGE(Table1[[#This Row],[math score]:[writing score]])</f>
        <v>55.666666666666664</v>
      </c>
      <c r="K371" s="2">
        <f t="shared" si="10"/>
        <v>300</v>
      </c>
      <c r="L371" s="4">
        <f>Table1[[#This Row],[Total Score]]/Table1[[#This Row],[Minimum Mark]]</f>
        <v>0.55666666666666664</v>
      </c>
      <c r="M371" s="70" t="str">
        <f>_xlfn.XLOOKUP(Table1[[#This Row],[Pass(%)]],O:O,P:P,,-1)</f>
        <v>D+</v>
      </c>
    </row>
    <row r="372" spans="1:13" x14ac:dyDescent="0.35">
      <c r="A372" s="2" t="s">
        <v>17</v>
      </c>
      <c r="B372" s="2" t="s">
        <v>13</v>
      </c>
      <c r="C372" s="6" t="s">
        <v>22</v>
      </c>
      <c r="D372" s="6" t="s">
        <v>11</v>
      </c>
      <c r="E372" s="6" t="s">
        <v>15</v>
      </c>
      <c r="F372" s="6">
        <v>69</v>
      </c>
      <c r="G372" s="6">
        <v>58</v>
      </c>
      <c r="H372" s="6">
        <v>53</v>
      </c>
      <c r="I372" s="2">
        <f t="shared" si="11"/>
        <v>180</v>
      </c>
      <c r="J372" s="8">
        <f>AVERAGE(Table1[[#This Row],[math score]:[writing score]])</f>
        <v>60</v>
      </c>
      <c r="K372" s="2">
        <f t="shared" si="10"/>
        <v>300</v>
      </c>
      <c r="L372" s="4">
        <f>Table1[[#This Row],[Total Score]]/Table1[[#This Row],[Minimum Mark]]</f>
        <v>0.6</v>
      </c>
      <c r="M372" s="70" t="str">
        <f>_xlfn.XLOOKUP(Table1[[#This Row],[Pass(%)]],O:O,P:P,,-1)</f>
        <v>D+</v>
      </c>
    </row>
    <row r="373" spans="1:13" x14ac:dyDescent="0.35">
      <c r="A373" s="2" t="s">
        <v>17</v>
      </c>
      <c r="B373" s="2" t="s">
        <v>13</v>
      </c>
      <c r="C373" s="6" t="s">
        <v>10</v>
      </c>
      <c r="D373" s="6" t="s">
        <v>20</v>
      </c>
      <c r="E373" s="6" t="s">
        <v>12</v>
      </c>
      <c r="F373" s="6">
        <v>61</v>
      </c>
      <c r="G373" s="6">
        <v>66</v>
      </c>
      <c r="H373" s="6">
        <v>61</v>
      </c>
      <c r="I373" s="2">
        <f t="shared" si="11"/>
        <v>188</v>
      </c>
      <c r="J373" s="8">
        <f>AVERAGE(Table1[[#This Row],[math score]:[writing score]])</f>
        <v>62.666666666666664</v>
      </c>
      <c r="K373" s="2">
        <f t="shared" si="10"/>
        <v>300</v>
      </c>
      <c r="L373" s="4">
        <f>Table1[[#This Row],[Total Score]]/Table1[[#This Row],[Minimum Mark]]</f>
        <v>0.62666666666666671</v>
      </c>
      <c r="M373" s="70" t="str">
        <f>_xlfn.XLOOKUP(Table1[[#This Row],[Pass(%)]],O:O,P:P,,-1)</f>
        <v>D+</v>
      </c>
    </row>
    <row r="374" spans="1:13" x14ac:dyDescent="0.35">
      <c r="A374" s="2" t="s">
        <v>8</v>
      </c>
      <c r="B374" s="2" t="s">
        <v>18</v>
      </c>
      <c r="C374" s="6" t="s">
        <v>23</v>
      </c>
      <c r="D374" s="6" t="s">
        <v>20</v>
      </c>
      <c r="E374" s="6" t="s">
        <v>12</v>
      </c>
      <c r="F374" s="6">
        <v>44</v>
      </c>
      <c r="G374" s="6">
        <v>64</v>
      </c>
      <c r="H374" s="6">
        <v>58</v>
      </c>
      <c r="I374" s="2">
        <f t="shared" si="11"/>
        <v>166</v>
      </c>
      <c r="J374" s="8">
        <f>AVERAGE(Table1[[#This Row],[math score]:[writing score]])</f>
        <v>55.333333333333336</v>
      </c>
      <c r="K374" s="2">
        <f t="shared" si="10"/>
        <v>300</v>
      </c>
      <c r="L374" s="4">
        <f>Table1[[#This Row],[Total Score]]/Table1[[#This Row],[Minimum Mark]]</f>
        <v>0.55333333333333334</v>
      </c>
      <c r="M374" s="70" t="str">
        <f>_xlfn.XLOOKUP(Table1[[#This Row],[Pass(%)]],O:O,P:P,,-1)</f>
        <v>D+</v>
      </c>
    </row>
    <row r="375" spans="1:13" x14ac:dyDescent="0.35">
      <c r="A375" s="2" t="s">
        <v>8</v>
      </c>
      <c r="B375" s="2" t="s">
        <v>21</v>
      </c>
      <c r="C375" s="6" t="s">
        <v>23</v>
      </c>
      <c r="D375" s="6" t="s">
        <v>11</v>
      </c>
      <c r="E375" s="6" t="s">
        <v>12</v>
      </c>
      <c r="F375" s="6">
        <v>73</v>
      </c>
      <c r="G375" s="6">
        <v>84</v>
      </c>
      <c r="H375" s="6">
        <v>85</v>
      </c>
      <c r="I375" s="2">
        <f t="shared" si="11"/>
        <v>242</v>
      </c>
      <c r="J375" s="8">
        <f>AVERAGE(Table1[[#This Row],[math score]:[writing score]])</f>
        <v>80.666666666666671</v>
      </c>
      <c r="K375" s="2">
        <f t="shared" si="10"/>
        <v>300</v>
      </c>
      <c r="L375" s="4">
        <f>Table1[[#This Row],[Total Score]]/Table1[[#This Row],[Minimum Mark]]</f>
        <v>0.80666666666666664</v>
      </c>
      <c r="M375" s="70" t="str">
        <f>_xlfn.XLOOKUP(Table1[[#This Row],[Pass(%)]],O:O,P:P,,-1)</f>
        <v>B-</v>
      </c>
    </row>
    <row r="376" spans="1:13" x14ac:dyDescent="0.35">
      <c r="A376" s="2" t="s">
        <v>17</v>
      </c>
      <c r="B376" s="2" t="s">
        <v>24</v>
      </c>
      <c r="C376" s="6" t="s">
        <v>14</v>
      </c>
      <c r="D376" s="6" t="s">
        <v>11</v>
      </c>
      <c r="E376" s="6" t="s">
        <v>12</v>
      </c>
      <c r="F376" s="6">
        <v>84</v>
      </c>
      <c r="G376" s="6">
        <v>77</v>
      </c>
      <c r="H376" s="6">
        <v>71</v>
      </c>
      <c r="I376" s="2">
        <f t="shared" si="11"/>
        <v>232</v>
      </c>
      <c r="J376" s="8">
        <f>AVERAGE(Table1[[#This Row],[math score]:[writing score]])</f>
        <v>77.333333333333329</v>
      </c>
      <c r="K376" s="2">
        <f t="shared" si="10"/>
        <v>300</v>
      </c>
      <c r="L376" s="4">
        <f>Table1[[#This Row],[Total Score]]/Table1[[#This Row],[Minimum Mark]]</f>
        <v>0.77333333333333332</v>
      </c>
      <c r="M376" s="70" t="str">
        <f>_xlfn.XLOOKUP(Table1[[#This Row],[Pass(%)]],O:O,P:P,,-1)</f>
        <v>C+</v>
      </c>
    </row>
    <row r="377" spans="1:13" x14ac:dyDescent="0.35">
      <c r="A377" s="2" t="s">
        <v>8</v>
      </c>
      <c r="B377" s="2" t="s">
        <v>13</v>
      </c>
      <c r="C377" s="6" t="s">
        <v>14</v>
      </c>
      <c r="D377" s="6" t="s">
        <v>20</v>
      </c>
      <c r="E377" s="6" t="s">
        <v>15</v>
      </c>
      <c r="F377" s="6">
        <v>45</v>
      </c>
      <c r="G377" s="6">
        <v>73</v>
      </c>
      <c r="H377" s="6">
        <v>70</v>
      </c>
      <c r="I377" s="2">
        <f t="shared" si="11"/>
        <v>188</v>
      </c>
      <c r="J377" s="8">
        <f>AVERAGE(Table1[[#This Row],[math score]:[writing score]])</f>
        <v>62.666666666666664</v>
      </c>
      <c r="K377" s="2">
        <f t="shared" si="10"/>
        <v>300</v>
      </c>
      <c r="L377" s="4">
        <f>Table1[[#This Row],[Total Score]]/Table1[[#This Row],[Minimum Mark]]</f>
        <v>0.62666666666666671</v>
      </c>
      <c r="M377" s="70" t="str">
        <f>_xlfn.XLOOKUP(Table1[[#This Row],[Pass(%)]],O:O,P:P,,-1)</f>
        <v>D+</v>
      </c>
    </row>
    <row r="378" spans="1:13" x14ac:dyDescent="0.35">
      <c r="A378" s="2" t="s">
        <v>17</v>
      </c>
      <c r="B378" s="2" t="s">
        <v>21</v>
      </c>
      <c r="C378" s="6" t="s">
        <v>23</v>
      </c>
      <c r="D378" s="6" t="s">
        <v>11</v>
      </c>
      <c r="E378" s="6" t="s">
        <v>12</v>
      </c>
      <c r="F378" s="6">
        <v>74</v>
      </c>
      <c r="G378" s="6">
        <v>74</v>
      </c>
      <c r="H378" s="6">
        <v>72</v>
      </c>
      <c r="I378" s="2">
        <f t="shared" si="11"/>
        <v>220</v>
      </c>
      <c r="J378" s="8">
        <f>AVERAGE(Table1[[#This Row],[math score]:[writing score]])</f>
        <v>73.333333333333329</v>
      </c>
      <c r="K378" s="2">
        <f t="shared" si="10"/>
        <v>300</v>
      </c>
      <c r="L378" s="4">
        <f>Table1[[#This Row],[Total Score]]/Table1[[#This Row],[Minimum Mark]]</f>
        <v>0.73333333333333328</v>
      </c>
      <c r="M378" s="70" t="str">
        <f>_xlfn.XLOOKUP(Table1[[#This Row],[Pass(%)]],O:O,P:P,,-1)</f>
        <v>C</v>
      </c>
    </row>
    <row r="379" spans="1:13" x14ac:dyDescent="0.35">
      <c r="A379" s="2" t="s">
        <v>8</v>
      </c>
      <c r="B379" s="2" t="s">
        <v>21</v>
      </c>
      <c r="C379" s="6" t="s">
        <v>14</v>
      </c>
      <c r="D379" s="6" t="s">
        <v>11</v>
      </c>
      <c r="E379" s="6" t="s">
        <v>15</v>
      </c>
      <c r="F379" s="6">
        <v>82</v>
      </c>
      <c r="G379" s="6">
        <v>97</v>
      </c>
      <c r="H379" s="6">
        <v>96</v>
      </c>
      <c r="I379" s="2">
        <f t="shared" si="11"/>
        <v>275</v>
      </c>
      <c r="J379" s="8">
        <f>AVERAGE(Table1[[#This Row],[math score]:[writing score]])</f>
        <v>91.666666666666671</v>
      </c>
      <c r="K379" s="2">
        <f t="shared" si="10"/>
        <v>300</v>
      </c>
      <c r="L379" s="4">
        <f>Table1[[#This Row],[Total Score]]/Table1[[#This Row],[Minimum Mark]]</f>
        <v>0.91666666666666663</v>
      </c>
      <c r="M379" s="70" t="str">
        <f>_xlfn.XLOOKUP(Table1[[#This Row],[Pass(%)]],O:O,P:P,,-1)</f>
        <v>A-</v>
      </c>
    </row>
    <row r="380" spans="1:13" x14ac:dyDescent="0.35">
      <c r="A380" s="2" t="s">
        <v>8</v>
      </c>
      <c r="B380" s="2" t="s">
        <v>21</v>
      </c>
      <c r="C380" s="6" t="s">
        <v>10</v>
      </c>
      <c r="D380" s="6" t="s">
        <v>11</v>
      </c>
      <c r="E380" s="6" t="s">
        <v>12</v>
      </c>
      <c r="F380" s="6">
        <v>59</v>
      </c>
      <c r="G380" s="6">
        <v>70</v>
      </c>
      <c r="H380" s="6">
        <v>73</v>
      </c>
      <c r="I380" s="2">
        <f t="shared" si="11"/>
        <v>202</v>
      </c>
      <c r="J380" s="8">
        <f>AVERAGE(Table1[[#This Row],[math score]:[writing score]])</f>
        <v>67.333333333333329</v>
      </c>
      <c r="K380" s="2">
        <f t="shared" si="10"/>
        <v>300</v>
      </c>
      <c r="L380" s="4">
        <f>Table1[[#This Row],[Total Score]]/Table1[[#This Row],[Minimum Mark]]</f>
        <v>0.67333333333333334</v>
      </c>
      <c r="M380" s="70" t="str">
        <f>_xlfn.XLOOKUP(Table1[[#This Row],[Pass(%)]],O:O,P:P,,-1)</f>
        <v>D+</v>
      </c>
    </row>
    <row r="381" spans="1:13" ht="20.5" x14ac:dyDescent="0.8">
      <c r="A381" s="3" t="s">
        <v>17</v>
      </c>
      <c r="B381" s="3" t="s">
        <v>24</v>
      </c>
      <c r="C381" s="7" t="s">
        <v>19</v>
      </c>
      <c r="D381" s="7" t="s">
        <v>20</v>
      </c>
      <c r="E381" s="7" t="s">
        <v>12</v>
      </c>
      <c r="F381" s="7">
        <v>46</v>
      </c>
      <c r="G381" s="7">
        <v>43</v>
      </c>
      <c r="H381" s="7">
        <v>41</v>
      </c>
      <c r="I381" s="3">
        <f t="shared" si="11"/>
        <v>130</v>
      </c>
      <c r="J381" s="14">
        <f>AVERAGE(Table1[[#This Row],[math score]:[writing score]])</f>
        <v>43.333333333333336</v>
      </c>
      <c r="K381" s="3">
        <f t="shared" si="10"/>
        <v>300</v>
      </c>
      <c r="L381" s="5">
        <f>Table1[[#This Row],[Total Score]]/Table1[[#This Row],[Minimum Mark]]</f>
        <v>0.43333333333333335</v>
      </c>
      <c r="M381" s="71" t="str">
        <f>_xlfn.XLOOKUP(Table1[[#This Row],[Pass(%)]],O:O,P:P,,-1)</f>
        <v>D</v>
      </c>
    </row>
    <row r="382" spans="1:13" x14ac:dyDescent="0.35">
      <c r="A382" s="2" t="s">
        <v>8</v>
      </c>
      <c r="B382" s="2" t="s">
        <v>21</v>
      </c>
      <c r="C382" s="6" t="s">
        <v>23</v>
      </c>
      <c r="D382" s="6" t="s">
        <v>11</v>
      </c>
      <c r="E382" s="6" t="s">
        <v>12</v>
      </c>
      <c r="F382" s="6">
        <v>80</v>
      </c>
      <c r="G382" s="6">
        <v>90</v>
      </c>
      <c r="H382" s="6">
        <v>82</v>
      </c>
      <c r="I382" s="2">
        <f t="shared" si="11"/>
        <v>252</v>
      </c>
      <c r="J382" s="8">
        <f>AVERAGE(Table1[[#This Row],[math score]:[writing score]])</f>
        <v>84</v>
      </c>
      <c r="K382" s="2">
        <f t="shared" si="10"/>
        <v>300</v>
      </c>
      <c r="L382" s="4">
        <f>Table1[[#This Row],[Total Score]]/Table1[[#This Row],[Minimum Mark]]</f>
        <v>0.84</v>
      </c>
      <c r="M382" s="70" t="str">
        <f>_xlfn.XLOOKUP(Table1[[#This Row],[Pass(%)]],O:O,P:P,,-1)</f>
        <v>B</v>
      </c>
    </row>
    <row r="383" spans="1:13" x14ac:dyDescent="0.35">
      <c r="A383" s="2" t="s">
        <v>8</v>
      </c>
      <c r="B383" s="2" t="s">
        <v>21</v>
      </c>
      <c r="C383" s="6" t="s">
        <v>16</v>
      </c>
      <c r="D383" s="6" t="s">
        <v>20</v>
      </c>
      <c r="E383" s="6" t="s">
        <v>15</v>
      </c>
      <c r="F383" s="6">
        <v>85</v>
      </c>
      <c r="G383" s="6">
        <v>95</v>
      </c>
      <c r="H383" s="6">
        <v>100</v>
      </c>
      <c r="I383" s="2">
        <f t="shared" si="11"/>
        <v>280</v>
      </c>
      <c r="J383" s="8">
        <f>AVERAGE(Table1[[#This Row],[math score]:[writing score]])</f>
        <v>93.333333333333329</v>
      </c>
      <c r="K383" s="2">
        <f t="shared" si="10"/>
        <v>300</v>
      </c>
      <c r="L383" s="4">
        <f>Table1[[#This Row],[Total Score]]/Table1[[#This Row],[Minimum Mark]]</f>
        <v>0.93333333333333335</v>
      </c>
      <c r="M383" s="70" t="str">
        <f>_xlfn.XLOOKUP(Table1[[#This Row],[Pass(%)]],O:O,P:P,,-1)</f>
        <v>A</v>
      </c>
    </row>
    <row r="384" spans="1:13" x14ac:dyDescent="0.35">
      <c r="A384" s="2" t="s">
        <v>8</v>
      </c>
      <c r="B384" s="2" t="s">
        <v>18</v>
      </c>
      <c r="C384" s="6" t="s">
        <v>23</v>
      </c>
      <c r="D384" s="6" t="s">
        <v>11</v>
      </c>
      <c r="E384" s="6" t="s">
        <v>12</v>
      </c>
      <c r="F384" s="6">
        <v>71</v>
      </c>
      <c r="G384" s="6">
        <v>83</v>
      </c>
      <c r="H384" s="6">
        <v>77</v>
      </c>
      <c r="I384" s="2">
        <f t="shared" si="11"/>
        <v>231</v>
      </c>
      <c r="J384" s="8">
        <f>AVERAGE(Table1[[#This Row],[math score]:[writing score]])</f>
        <v>77</v>
      </c>
      <c r="K384" s="2">
        <f t="shared" si="10"/>
        <v>300</v>
      </c>
      <c r="L384" s="4">
        <f>Table1[[#This Row],[Total Score]]/Table1[[#This Row],[Minimum Mark]]</f>
        <v>0.77</v>
      </c>
      <c r="M384" s="70" t="str">
        <f>_xlfn.XLOOKUP(Table1[[#This Row],[Pass(%)]],O:O,P:P,,-1)</f>
        <v>C+</v>
      </c>
    </row>
    <row r="385" spans="1:13" x14ac:dyDescent="0.35">
      <c r="A385" s="2" t="s">
        <v>17</v>
      </c>
      <c r="B385" s="2" t="s">
        <v>18</v>
      </c>
      <c r="C385" s="6" t="s">
        <v>10</v>
      </c>
      <c r="D385" s="6" t="s">
        <v>11</v>
      </c>
      <c r="E385" s="6" t="s">
        <v>12</v>
      </c>
      <c r="F385" s="6">
        <v>66</v>
      </c>
      <c r="G385" s="6">
        <v>64</v>
      </c>
      <c r="H385" s="6">
        <v>62</v>
      </c>
      <c r="I385" s="2">
        <f t="shared" si="11"/>
        <v>192</v>
      </c>
      <c r="J385" s="8">
        <f>AVERAGE(Table1[[#This Row],[math score]:[writing score]])</f>
        <v>64</v>
      </c>
      <c r="K385" s="2">
        <f t="shared" si="10"/>
        <v>300</v>
      </c>
      <c r="L385" s="4">
        <f>Table1[[#This Row],[Total Score]]/Table1[[#This Row],[Minimum Mark]]</f>
        <v>0.64</v>
      </c>
      <c r="M385" s="70" t="str">
        <f>_xlfn.XLOOKUP(Table1[[#This Row],[Pass(%)]],O:O,P:P,,-1)</f>
        <v>D+</v>
      </c>
    </row>
    <row r="386" spans="1:13" ht="20.5" x14ac:dyDescent="0.8">
      <c r="A386" s="3" t="s">
        <v>8</v>
      </c>
      <c r="B386" s="3" t="s">
        <v>9</v>
      </c>
      <c r="C386" s="7" t="s">
        <v>19</v>
      </c>
      <c r="D386" s="7" t="s">
        <v>11</v>
      </c>
      <c r="E386" s="7" t="s">
        <v>12</v>
      </c>
      <c r="F386" s="7">
        <v>80</v>
      </c>
      <c r="G386" s="7">
        <v>86</v>
      </c>
      <c r="H386" s="7">
        <v>83</v>
      </c>
      <c r="I386" s="3">
        <f t="shared" si="11"/>
        <v>249</v>
      </c>
      <c r="J386" s="14">
        <f>AVERAGE(Table1[[#This Row],[math score]:[writing score]])</f>
        <v>83</v>
      </c>
      <c r="K386" s="3">
        <f t="shared" si="10"/>
        <v>300</v>
      </c>
      <c r="L386" s="5">
        <f>Table1[[#This Row],[Total Score]]/Table1[[#This Row],[Minimum Mark]]</f>
        <v>0.83</v>
      </c>
      <c r="M386" s="71" t="str">
        <f>_xlfn.XLOOKUP(Table1[[#This Row],[Pass(%)]],O:O,P:P,,-1)</f>
        <v>B</v>
      </c>
    </row>
    <row r="387" spans="1:13" ht="20.5" x14ac:dyDescent="0.8">
      <c r="A387" s="3" t="s">
        <v>17</v>
      </c>
      <c r="B387" s="3" t="s">
        <v>13</v>
      </c>
      <c r="C387" s="7" t="s">
        <v>19</v>
      </c>
      <c r="D387" s="7" t="s">
        <v>11</v>
      </c>
      <c r="E387" s="7" t="s">
        <v>15</v>
      </c>
      <c r="F387" s="7">
        <v>87</v>
      </c>
      <c r="G387" s="7">
        <v>100</v>
      </c>
      <c r="H387" s="7">
        <v>95</v>
      </c>
      <c r="I387" s="3">
        <f t="shared" si="11"/>
        <v>282</v>
      </c>
      <c r="J387" s="14">
        <f>AVERAGE(Table1[[#This Row],[math score]:[writing score]])</f>
        <v>94</v>
      </c>
      <c r="K387" s="3">
        <f t="shared" si="10"/>
        <v>300</v>
      </c>
      <c r="L387" s="5">
        <f>Table1[[#This Row],[Total Score]]/Table1[[#This Row],[Minimum Mark]]</f>
        <v>0.94</v>
      </c>
      <c r="M387" s="71" t="str">
        <f>_xlfn.XLOOKUP(Table1[[#This Row],[Pass(%)]],O:O,P:P,,-1)</f>
        <v>A</v>
      </c>
    </row>
    <row r="388" spans="1:13" x14ac:dyDescent="0.35">
      <c r="A388" s="2" t="s">
        <v>17</v>
      </c>
      <c r="B388" s="2" t="s">
        <v>13</v>
      </c>
      <c r="C388" s="6" t="s">
        <v>16</v>
      </c>
      <c r="D388" s="6" t="s">
        <v>20</v>
      </c>
      <c r="E388" s="6" t="s">
        <v>12</v>
      </c>
      <c r="F388" s="6">
        <v>79</v>
      </c>
      <c r="G388" s="6">
        <v>81</v>
      </c>
      <c r="H388" s="6">
        <v>71</v>
      </c>
      <c r="I388" s="2">
        <f t="shared" si="11"/>
        <v>231</v>
      </c>
      <c r="J388" s="8">
        <f>AVERAGE(Table1[[#This Row],[math score]:[writing score]])</f>
        <v>77</v>
      </c>
      <c r="K388" s="2">
        <f t="shared" si="10"/>
        <v>300</v>
      </c>
      <c r="L388" s="4">
        <f>Table1[[#This Row],[Total Score]]/Table1[[#This Row],[Minimum Mark]]</f>
        <v>0.77</v>
      </c>
      <c r="M388" s="70" t="str">
        <f>_xlfn.XLOOKUP(Table1[[#This Row],[Pass(%)]],O:O,P:P,,-1)</f>
        <v>C+</v>
      </c>
    </row>
    <row r="389" spans="1:13" x14ac:dyDescent="0.35">
      <c r="A389" s="2" t="s">
        <v>8</v>
      </c>
      <c r="B389" s="2" t="s">
        <v>24</v>
      </c>
      <c r="C389" s="6" t="s">
        <v>23</v>
      </c>
      <c r="D389" s="6" t="s">
        <v>20</v>
      </c>
      <c r="E389" s="6" t="s">
        <v>12</v>
      </c>
      <c r="F389" s="6">
        <v>38</v>
      </c>
      <c r="G389" s="6">
        <v>49</v>
      </c>
      <c r="H389" s="6">
        <v>45</v>
      </c>
      <c r="I389" s="2">
        <f t="shared" si="11"/>
        <v>132</v>
      </c>
      <c r="J389" s="8">
        <f>AVERAGE(Table1[[#This Row],[math score]:[writing score]])</f>
        <v>44</v>
      </c>
      <c r="K389" s="2">
        <f t="shared" si="10"/>
        <v>300</v>
      </c>
      <c r="L389" s="4">
        <f>Table1[[#This Row],[Total Score]]/Table1[[#This Row],[Minimum Mark]]</f>
        <v>0.44</v>
      </c>
      <c r="M389" s="70" t="str">
        <f>_xlfn.XLOOKUP(Table1[[#This Row],[Pass(%)]],O:O,P:P,,-1)</f>
        <v>D</v>
      </c>
    </row>
    <row r="390" spans="1:13" x14ac:dyDescent="0.35">
      <c r="A390" s="2" t="s">
        <v>8</v>
      </c>
      <c r="B390" s="2" t="s">
        <v>18</v>
      </c>
      <c r="C390" s="6" t="s">
        <v>23</v>
      </c>
      <c r="D390" s="6" t="s">
        <v>20</v>
      </c>
      <c r="E390" s="6" t="s">
        <v>12</v>
      </c>
      <c r="F390" s="6">
        <v>38</v>
      </c>
      <c r="G390" s="6">
        <v>43</v>
      </c>
      <c r="H390" s="6">
        <v>43</v>
      </c>
      <c r="I390" s="2">
        <f t="shared" si="11"/>
        <v>124</v>
      </c>
      <c r="J390" s="8">
        <f>AVERAGE(Table1[[#This Row],[math score]:[writing score]])</f>
        <v>41.333333333333336</v>
      </c>
      <c r="K390" s="2">
        <f t="shared" ref="K390:K453" si="12">3*100</f>
        <v>300</v>
      </c>
      <c r="L390" s="4">
        <f>Table1[[#This Row],[Total Score]]/Table1[[#This Row],[Minimum Mark]]</f>
        <v>0.41333333333333333</v>
      </c>
      <c r="M390" s="70" t="str">
        <f>_xlfn.XLOOKUP(Table1[[#This Row],[Pass(%)]],O:O,P:P,,-1)</f>
        <v>D</v>
      </c>
    </row>
    <row r="391" spans="1:13" x14ac:dyDescent="0.35">
      <c r="A391" s="2" t="s">
        <v>8</v>
      </c>
      <c r="B391" s="2" t="s">
        <v>24</v>
      </c>
      <c r="C391" s="6" t="s">
        <v>14</v>
      </c>
      <c r="D391" s="6" t="s">
        <v>11</v>
      </c>
      <c r="E391" s="6" t="s">
        <v>12</v>
      </c>
      <c r="F391" s="6">
        <v>67</v>
      </c>
      <c r="G391" s="6">
        <v>76</v>
      </c>
      <c r="H391" s="6">
        <v>75</v>
      </c>
      <c r="I391" s="2">
        <f t="shared" ref="I391:I454" si="13">SUM(F391:H391)</f>
        <v>218</v>
      </c>
      <c r="J391" s="8">
        <f>AVERAGE(Table1[[#This Row],[math score]:[writing score]])</f>
        <v>72.666666666666671</v>
      </c>
      <c r="K391" s="2">
        <f t="shared" si="12"/>
        <v>300</v>
      </c>
      <c r="L391" s="4">
        <f>Table1[[#This Row],[Total Score]]/Table1[[#This Row],[Minimum Mark]]</f>
        <v>0.72666666666666668</v>
      </c>
      <c r="M391" s="70" t="str">
        <f>_xlfn.XLOOKUP(Table1[[#This Row],[Pass(%)]],O:O,P:P,,-1)</f>
        <v>C-</v>
      </c>
    </row>
    <row r="392" spans="1:13" x14ac:dyDescent="0.35">
      <c r="A392" s="2" t="s">
        <v>8</v>
      </c>
      <c r="B392" s="2" t="s">
        <v>24</v>
      </c>
      <c r="C392" s="6" t="s">
        <v>10</v>
      </c>
      <c r="D392" s="6" t="s">
        <v>11</v>
      </c>
      <c r="E392" s="6" t="s">
        <v>12</v>
      </c>
      <c r="F392" s="6">
        <v>64</v>
      </c>
      <c r="G392" s="6">
        <v>73</v>
      </c>
      <c r="H392" s="6">
        <v>70</v>
      </c>
      <c r="I392" s="2">
        <f t="shared" si="13"/>
        <v>207</v>
      </c>
      <c r="J392" s="8">
        <f>AVERAGE(Table1[[#This Row],[math score]:[writing score]])</f>
        <v>69</v>
      </c>
      <c r="K392" s="2">
        <f t="shared" si="12"/>
        <v>300</v>
      </c>
      <c r="L392" s="4">
        <f>Table1[[#This Row],[Total Score]]/Table1[[#This Row],[Minimum Mark]]</f>
        <v>0.69</v>
      </c>
      <c r="M392" s="70" t="str">
        <f>_xlfn.XLOOKUP(Table1[[#This Row],[Pass(%)]],O:O,P:P,,-1)</f>
        <v>D+</v>
      </c>
    </row>
    <row r="393" spans="1:13" ht="20.5" x14ac:dyDescent="0.8">
      <c r="A393" s="3" t="s">
        <v>8</v>
      </c>
      <c r="B393" s="3" t="s">
        <v>13</v>
      </c>
      <c r="C393" s="7" t="s">
        <v>19</v>
      </c>
      <c r="D393" s="7" t="s">
        <v>20</v>
      </c>
      <c r="E393" s="7" t="s">
        <v>12</v>
      </c>
      <c r="F393" s="7">
        <v>57</v>
      </c>
      <c r="G393" s="7">
        <v>78</v>
      </c>
      <c r="H393" s="7">
        <v>67</v>
      </c>
      <c r="I393" s="3">
        <f t="shared" si="13"/>
        <v>202</v>
      </c>
      <c r="J393" s="14">
        <f>AVERAGE(Table1[[#This Row],[math score]:[writing score]])</f>
        <v>67.333333333333329</v>
      </c>
      <c r="K393" s="3">
        <f t="shared" si="12"/>
        <v>300</v>
      </c>
      <c r="L393" s="5">
        <f>Table1[[#This Row],[Total Score]]/Table1[[#This Row],[Minimum Mark]]</f>
        <v>0.67333333333333334</v>
      </c>
      <c r="M393" s="71" t="str">
        <f>_xlfn.XLOOKUP(Table1[[#This Row],[Pass(%)]],O:O,P:P,,-1)</f>
        <v>D+</v>
      </c>
    </row>
    <row r="394" spans="1:13" x14ac:dyDescent="0.35">
      <c r="A394" s="2" t="s">
        <v>8</v>
      </c>
      <c r="B394" s="2" t="s">
        <v>21</v>
      </c>
      <c r="C394" s="6" t="s">
        <v>22</v>
      </c>
      <c r="D394" s="6" t="s">
        <v>11</v>
      </c>
      <c r="E394" s="6" t="s">
        <v>12</v>
      </c>
      <c r="F394" s="6">
        <v>62</v>
      </c>
      <c r="G394" s="6">
        <v>64</v>
      </c>
      <c r="H394" s="6">
        <v>64</v>
      </c>
      <c r="I394" s="2">
        <f t="shared" si="13"/>
        <v>190</v>
      </c>
      <c r="J394" s="8">
        <f>AVERAGE(Table1[[#This Row],[math score]:[writing score]])</f>
        <v>63.333333333333336</v>
      </c>
      <c r="K394" s="2">
        <f t="shared" si="12"/>
        <v>300</v>
      </c>
      <c r="L394" s="4">
        <f>Table1[[#This Row],[Total Score]]/Table1[[#This Row],[Minimum Mark]]</f>
        <v>0.6333333333333333</v>
      </c>
      <c r="M394" s="70" t="str">
        <f>_xlfn.XLOOKUP(Table1[[#This Row],[Pass(%)]],O:O,P:P,,-1)</f>
        <v>D+</v>
      </c>
    </row>
    <row r="395" spans="1:13" x14ac:dyDescent="0.35">
      <c r="A395" s="2" t="s">
        <v>17</v>
      </c>
      <c r="B395" s="2" t="s">
        <v>21</v>
      </c>
      <c r="C395" s="6" t="s">
        <v>16</v>
      </c>
      <c r="D395" s="6" t="s">
        <v>11</v>
      </c>
      <c r="E395" s="6" t="s">
        <v>12</v>
      </c>
      <c r="F395" s="6">
        <v>73</v>
      </c>
      <c r="G395" s="6">
        <v>70</v>
      </c>
      <c r="H395" s="6">
        <v>75</v>
      </c>
      <c r="I395" s="2">
        <f t="shared" si="13"/>
        <v>218</v>
      </c>
      <c r="J395" s="8">
        <f>AVERAGE(Table1[[#This Row],[math score]:[writing score]])</f>
        <v>72.666666666666671</v>
      </c>
      <c r="K395" s="2">
        <f t="shared" si="12"/>
        <v>300</v>
      </c>
      <c r="L395" s="4">
        <f>Table1[[#This Row],[Total Score]]/Table1[[#This Row],[Minimum Mark]]</f>
        <v>0.72666666666666668</v>
      </c>
      <c r="M395" s="70" t="str">
        <f>_xlfn.XLOOKUP(Table1[[#This Row],[Pass(%)]],O:O,P:P,,-1)</f>
        <v>C-</v>
      </c>
    </row>
    <row r="396" spans="1:13" x14ac:dyDescent="0.35">
      <c r="A396" s="2" t="s">
        <v>17</v>
      </c>
      <c r="B396" s="2" t="s">
        <v>24</v>
      </c>
      <c r="C396" s="6" t="s">
        <v>23</v>
      </c>
      <c r="D396" s="6" t="s">
        <v>20</v>
      </c>
      <c r="E396" s="6" t="s">
        <v>15</v>
      </c>
      <c r="F396" s="6">
        <v>73</v>
      </c>
      <c r="G396" s="6">
        <v>67</v>
      </c>
      <c r="H396" s="6">
        <v>59</v>
      </c>
      <c r="I396" s="2">
        <f t="shared" si="13"/>
        <v>199</v>
      </c>
      <c r="J396" s="8">
        <f>AVERAGE(Table1[[#This Row],[math score]:[writing score]])</f>
        <v>66.333333333333329</v>
      </c>
      <c r="K396" s="2">
        <f t="shared" si="12"/>
        <v>300</v>
      </c>
      <c r="L396" s="4">
        <f>Table1[[#This Row],[Total Score]]/Table1[[#This Row],[Minimum Mark]]</f>
        <v>0.66333333333333333</v>
      </c>
      <c r="M396" s="70" t="str">
        <f>_xlfn.XLOOKUP(Table1[[#This Row],[Pass(%)]],O:O,P:P,,-1)</f>
        <v>D+</v>
      </c>
    </row>
    <row r="397" spans="1:13" x14ac:dyDescent="0.35">
      <c r="A397" s="2" t="s">
        <v>8</v>
      </c>
      <c r="B397" s="2" t="s">
        <v>21</v>
      </c>
      <c r="C397" s="6" t="s">
        <v>14</v>
      </c>
      <c r="D397" s="6" t="s">
        <v>11</v>
      </c>
      <c r="E397" s="6" t="s">
        <v>12</v>
      </c>
      <c r="F397" s="6">
        <v>77</v>
      </c>
      <c r="G397" s="6">
        <v>68</v>
      </c>
      <c r="H397" s="6">
        <v>77</v>
      </c>
      <c r="I397" s="2">
        <f t="shared" si="13"/>
        <v>222</v>
      </c>
      <c r="J397" s="8">
        <f>AVERAGE(Table1[[#This Row],[math score]:[writing score]])</f>
        <v>74</v>
      </c>
      <c r="K397" s="2">
        <f t="shared" si="12"/>
        <v>300</v>
      </c>
      <c r="L397" s="4">
        <f>Table1[[#This Row],[Total Score]]/Table1[[#This Row],[Minimum Mark]]</f>
        <v>0.74</v>
      </c>
      <c r="M397" s="70" t="str">
        <f>_xlfn.XLOOKUP(Table1[[#This Row],[Pass(%)]],O:O,P:P,,-1)</f>
        <v>C</v>
      </c>
    </row>
    <row r="398" spans="1:13" x14ac:dyDescent="0.35">
      <c r="A398" s="2" t="s">
        <v>17</v>
      </c>
      <c r="B398" s="2" t="s">
        <v>24</v>
      </c>
      <c r="C398" s="6" t="s">
        <v>14</v>
      </c>
      <c r="D398" s="6" t="s">
        <v>11</v>
      </c>
      <c r="E398" s="6" t="s">
        <v>12</v>
      </c>
      <c r="F398" s="6">
        <v>76</v>
      </c>
      <c r="G398" s="6">
        <v>67</v>
      </c>
      <c r="H398" s="6">
        <v>67</v>
      </c>
      <c r="I398" s="2">
        <f t="shared" si="13"/>
        <v>210</v>
      </c>
      <c r="J398" s="8">
        <f>AVERAGE(Table1[[#This Row],[math score]:[writing score]])</f>
        <v>70</v>
      </c>
      <c r="K398" s="2">
        <f t="shared" si="12"/>
        <v>300</v>
      </c>
      <c r="L398" s="4">
        <f>Table1[[#This Row],[Total Score]]/Table1[[#This Row],[Minimum Mark]]</f>
        <v>0.7</v>
      </c>
      <c r="M398" s="70" t="str">
        <f>_xlfn.XLOOKUP(Table1[[#This Row],[Pass(%)]],O:O,P:P,,-1)</f>
        <v>C-</v>
      </c>
    </row>
    <row r="399" spans="1:13" ht="20.5" x14ac:dyDescent="0.8">
      <c r="A399" s="3" t="s">
        <v>17</v>
      </c>
      <c r="B399" s="3" t="s">
        <v>13</v>
      </c>
      <c r="C399" s="7" t="s">
        <v>19</v>
      </c>
      <c r="D399" s="7" t="s">
        <v>11</v>
      </c>
      <c r="E399" s="7" t="s">
        <v>15</v>
      </c>
      <c r="F399" s="7">
        <v>57</v>
      </c>
      <c r="G399" s="7">
        <v>54</v>
      </c>
      <c r="H399" s="7">
        <v>56</v>
      </c>
      <c r="I399" s="3">
        <f t="shared" si="13"/>
        <v>167</v>
      </c>
      <c r="J399" s="14">
        <f>AVERAGE(Table1[[#This Row],[math score]:[writing score]])</f>
        <v>55.666666666666664</v>
      </c>
      <c r="K399" s="3">
        <f t="shared" si="12"/>
        <v>300</v>
      </c>
      <c r="L399" s="5">
        <f>Table1[[#This Row],[Total Score]]/Table1[[#This Row],[Minimum Mark]]</f>
        <v>0.55666666666666664</v>
      </c>
      <c r="M399" s="71" t="str">
        <f>_xlfn.XLOOKUP(Table1[[#This Row],[Pass(%)]],O:O,P:P,,-1)</f>
        <v>D+</v>
      </c>
    </row>
    <row r="400" spans="1:13" x14ac:dyDescent="0.35">
      <c r="A400" s="2" t="s">
        <v>8</v>
      </c>
      <c r="B400" s="2" t="s">
        <v>13</v>
      </c>
      <c r="C400" s="6" t="s">
        <v>23</v>
      </c>
      <c r="D400" s="6" t="s">
        <v>11</v>
      </c>
      <c r="E400" s="6" t="s">
        <v>15</v>
      </c>
      <c r="F400" s="6">
        <v>65</v>
      </c>
      <c r="G400" s="6">
        <v>74</v>
      </c>
      <c r="H400" s="6">
        <v>77</v>
      </c>
      <c r="I400" s="2">
        <f t="shared" si="13"/>
        <v>216</v>
      </c>
      <c r="J400" s="8">
        <f>AVERAGE(Table1[[#This Row],[math score]:[writing score]])</f>
        <v>72</v>
      </c>
      <c r="K400" s="2">
        <f t="shared" si="12"/>
        <v>300</v>
      </c>
      <c r="L400" s="4">
        <f>Table1[[#This Row],[Total Score]]/Table1[[#This Row],[Minimum Mark]]</f>
        <v>0.72</v>
      </c>
      <c r="M400" s="70" t="str">
        <f>_xlfn.XLOOKUP(Table1[[#This Row],[Pass(%)]],O:O,P:P,,-1)</f>
        <v>C-</v>
      </c>
    </row>
    <row r="401" spans="1:13" x14ac:dyDescent="0.35">
      <c r="A401" s="2" t="s">
        <v>17</v>
      </c>
      <c r="B401" s="2" t="s">
        <v>18</v>
      </c>
      <c r="C401" s="6" t="s">
        <v>22</v>
      </c>
      <c r="D401" s="6" t="s">
        <v>20</v>
      </c>
      <c r="E401" s="6" t="s">
        <v>12</v>
      </c>
      <c r="F401" s="6">
        <v>48</v>
      </c>
      <c r="G401" s="6">
        <v>45</v>
      </c>
      <c r="H401" s="6">
        <v>41</v>
      </c>
      <c r="I401" s="2">
        <f t="shared" si="13"/>
        <v>134</v>
      </c>
      <c r="J401" s="8">
        <f>AVERAGE(Table1[[#This Row],[math score]:[writing score]])</f>
        <v>44.666666666666664</v>
      </c>
      <c r="K401" s="2">
        <f t="shared" si="12"/>
        <v>300</v>
      </c>
      <c r="L401" s="4">
        <f>Table1[[#This Row],[Total Score]]/Table1[[#This Row],[Minimum Mark]]</f>
        <v>0.44666666666666666</v>
      </c>
      <c r="M401" s="70" t="str">
        <f>_xlfn.XLOOKUP(Table1[[#This Row],[Pass(%)]],O:O,P:P,,-1)</f>
        <v>D</v>
      </c>
    </row>
    <row r="402" spans="1:13" x14ac:dyDescent="0.35">
      <c r="A402" s="2" t="s">
        <v>8</v>
      </c>
      <c r="B402" s="2" t="s">
        <v>9</v>
      </c>
      <c r="C402" s="6" t="s">
        <v>22</v>
      </c>
      <c r="D402" s="6" t="s">
        <v>20</v>
      </c>
      <c r="E402" s="6" t="s">
        <v>12</v>
      </c>
      <c r="F402" s="6">
        <v>50</v>
      </c>
      <c r="G402" s="6">
        <v>67</v>
      </c>
      <c r="H402" s="6">
        <v>63</v>
      </c>
      <c r="I402" s="2">
        <f t="shared" si="13"/>
        <v>180</v>
      </c>
      <c r="J402" s="8">
        <f>AVERAGE(Table1[[#This Row],[math score]:[writing score]])</f>
        <v>60</v>
      </c>
      <c r="K402" s="2">
        <f t="shared" si="12"/>
        <v>300</v>
      </c>
      <c r="L402" s="4">
        <f>Table1[[#This Row],[Total Score]]/Table1[[#This Row],[Minimum Mark]]</f>
        <v>0.6</v>
      </c>
      <c r="M402" s="70" t="str">
        <f>_xlfn.XLOOKUP(Table1[[#This Row],[Pass(%)]],O:O,P:P,,-1)</f>
        <v>D+</v>
      </c>
    </row>
    <row r="403" spans="1:13" ht="20.5" x14ac:dyDescent="0.8">
      <c r="A403" s="3" t="s">
        <v>8</v>
      </c>
      <c r="B403" s="3" t="s">
        <v>13</v>
      </c>
      <c r="C403" s="7" t="s">
        <v>19</v>
      </c>
      <c r="D403" s="7" t="s">
        <v>11</v>
      </c>
      <c r="E403" s="7" t="s">
        <v>12</v>
      </c>
      <c r="F403" s="7">
        <v>85</v>
      </c>
      <c r="G403" s="7">
        <v>89</v>
      </c>
      <c r="H403" s="7">
        <v>95</v>
      </c>
      <c r="I403" s="3">
        <f t="shared" si="13"/>
        <v>269</v>
      </c>
      <c r="J403" s="14">
        <f>AVERAGE(Table1[[#This Row],[math score]:[writing score]])</f>
        <v>89.666666666666671</v>
      </c>
      <c r="K403" s="3">
        <f t="shared" si="12"/>
        <v>300</v>
      </c>
      <c r="L403" s="5">
        <f>Table1[[#This Row],[Total Score]]/Table1[[#This Row],[Minimum Mark]]</f>
        <v>0.89666666666666661</v>
      </c>
      <c r="M403" s="71" t="str">
        <f>_xlfn.XLOOKUP(Table1[[#This Row],[Pass(%)]],O:O,P:P,,-1)</f>
        <v>B+</v>
      </c>
    </row>
    <row r="404" spans="1:13" x14ac:dyDescent="0.35">
      <c r="A404" s="2" t="s">
        <v>17</v>
      </c>
      <c r="B404" s="2" t="s">
        <v>9</v>
      </c>
      <c r="C404" s="6" t="s">
        <v>23</v>
      </c>
      <c r="D404" s="6" t="s">
        <v>11</v>
      </c>
      <c r="E404" s="6" t="s">
        <v>12</v>
      </c>
      <c r="F404" s="6">
        <v>74</v>
      </c>
      <c r="G404" s="6">
        <v>63</v>
      </c>
      <c r="H404" s="6">
        <v>57</v>
      </c>
      <c r="I404" s="2">
        <f t="shared" si="13"/>
        <v>194</v>
      </c>
      <c r="J404" s="8">
        <f>AVERAGE(Table1[[#This Row],[math score]:[writing score]])</f>
        <v>64.666666666666671</v>
      </c>
      <c r="K404" s="2">
        <f t="shared" si="12"/>
        <v>300</v>
      </c>
      <c r="L404" s="4">
        <f>Table1[[#This Row],[Total Score]]/Table1[[#This Row],[Minimum Mark]]</f>
        <v>0.64666666666666661</v>
      </c>
      <c r="M404" s="70" t="str">
        <f>_xlfn.XLOOKUP(Table1[[#This Row],[Pass(%)]],O:O,P:P,,-1)</f>
        <v>D+</v>
      </c>
    </row>
    <row r="405" spans="1:13" x14ac:dyDescent="0.35">
      <c r="A405" s="2" t="s">
        <v>17</v>
      </c>
      <c r="B405" s="2" t="s">
        <v>21</v>
      </c>
      <c r="C405" s="6" t="s">
        <v>23</v>
      </c>
      <c r="D405" s="6" t="s">
        <v>11</v>
      </c>
      <c r="E405" s="6" t="s">
        <v>12</v>
      </c>
      <c r="F405" s="6">
        <v>60</v>
      </c>
      <c r="G405" s="6">
        <v>59</v>
      </c>
      <c r="H405" s="6">
        <v>54</v>
      </c>
      <c r="I405" s="2">
        <f t="shared" si="13"/>
        <v>173</v>
      </c>
      <c r="J405" s="8">
        <f>AVERAGE(Table1[[#This Row],[math score]:[writing score]])</f>
        <v>57.666666666666664</v>
      </c>
      <c r="K405" s="2">
        <f t="shared" si="12"/>
        <v>300</v>
      </c>
      <c r="L405" s="4">
        <f>Table1[[#This Row],[Total Score]]/Table1[[#This Row],[Minimum Mark]]</f>
        <v>0.57666666666666666</v>
      </c>
      <c r="M405" s="70" t="str">
        <f>_xlfn.XLOOKUP(Table1[[#This Row],[Pass(%)]],O:O,P:P,,-1)</f>
        <v>D+</v>
      </c>
    </row>
    <row r="406" spans="1:13" x14ac:dyDescent="0.35">
      <c r="A406" s="2" t="s">
        <v>8</v>
      </c>
      <c r="B406" s="2" t="s">
        <v>13</v>
      </c>
      <c r="C406" s="6" t="s">
        <v>23</v>
      </c>
      <c r="D406" s="6" t="s">
        <v>11</v>
      </c>
      <c r="E406" s="6" t="s">
        <v>15</v>
      </c>
      <c r="F406" s="6">
        <v>59</v>
      </c>
      <c r="G406" s="6">
        <v>54</v>
      </c>
      <c r="H406" s="6">
        <v>67</v>
      </c>
      <c r="I406" s="2">
        <f t="shared" si="13"/>
        <v>180</v>
      </c>
      <c r="J406" s="8">
        <f>AVERAGE(Table1[[#This Row],[math score]:[writing score]])</f>
        <v>60</v>
      </c>
      <c r="K406" s="2">
        <f t="shared" si="12"/>
        <v>300</v>
      </c>
      <c r="L406" s="4">
        <f>Table1[[#This Row],[Total Score]]/Table1[[#This Row],[Minimum Mark]]</f>
        <v>0.6</v>
      </c>
      <c r="M406" s="70" t="str">
        <f>_xlfn.XLOOKUP(Table1[[#This Row],[Pass(%)]],O:O,P:P,,-1)</f>
        <v>D+</v>
      </c>
    </row>
    <row r="407" spans="1:13" x14ac:dyDescent="0.35">
      <c r="A407" s="2" t="s">
        <v>17</v>
      </c>
      <c r="B407" s="2" t="s">
        <v>18</v>
      </c>
      <c r="C407" s="6" t="s">
        <v>14</v>
      </c>
      <c r="D407" s="6" t="s">
        <v>11</v>
      </c>
      <c r="E407" s="6" t="s">
        <v>12</v>
      </c>
      <c r="F407" s="6">
        <v>53</v>
      </c>
      <c r="G407" s="6">
        <v>43</v>
      </c>
      <c r="H407" s="6">
        <v>43</v>
      </c>
      <c r="I407" s="2">
        <f t="shared" si="13"/>
        <v>139</v>
      </c>
      <c r="J407" s="8">
        <f>AVERAGE(Table1[[#This Row],[math score]:[writing score]])</f>
        <v>46.333333333333336</v>
      </c>
      <c r="K407" s="2">
        <f t="shared" si="12"/>
        <v>300</v>
      </c>
      <c r="L407" s="4">
        <f>Table1[[#This Row],[Total Score]]/Table1[[#This Row],[Minimum Mark]]</f>
        <v>0.46333333333333332</v>
      </c>
      <c r="M407" s="70" t="str">
        <f>_xlfn.XLOOKUP(Table1[[#This Row],[Pass(%)]],O:O,P:P,,-1)</f>
        <v>D</v>
      </c>
    </row>
    <row r="408" spans="1:13" x14ac:dyDescent="0.35">
      <c r="A408" s="2" t="s">
        <v>8</v>
      </c>
      <c r="B408" s="2" t="s">
        <v>18</v>
      </c>
      <c r="C408" s="6" t="s">
        <v>14</v>
      </c>
      <c r="D408" s="6" t="s">
        <v>20</v>
      </c>
      <c r="E408" s="6" t="s">
        <v>12</v>
      </c>
      <c r="F408" s="6">
        <v>49</v>
      </c>
      <c r="G408" s="6">
        <v>65</v>
      </c>
      <c r="H408" s="6">
        <v>55</v>
      </c>
      <c r="I408" s="2">
        <f t="shared" si="13"/>
        <v>169</v>
      </c>
      <c r="J408" s="8">
        <f>AVERAGE(Table1[[#This Row],[math score]:[writing score]])</f>
        <v>56.333333333333336</v>
      </c>
      <c r="K408" s="2">
        <f t="shared" si="12"/>
        <v>300</v>
      </c>
      <c r="L408" s="4">
        <f>Table1[[#This Row],[Total Score]]/Table1[[#This Row],[Minimum Mark]]</f>
        <v>0.56333333333333335</v>
      </c>
      <c r="M408" s="70" t="str">
        <f>_xlfn.XLOOKUP(Table1[[#This Row],[Pass(%)]],O:O,P:P,,-1)</f>
        <v>D+</v>
      </c>
    </row>
    <row r="409" spans="1:13" x14ac:dyDescent="0.35">
      <c r="A409" s="2" t="s">
        <v>8</v>
      </c>
      <c r="B409" s="2" t="s">
        <v>21</v>
      </c>
      <c r="C409" s="6" t="s">
        <v>22</v>
      </c>
      <c r="D409" s="6" t="s">
        <v>11</v>
      </c>
      <c r="E409" s="6" t="s">
        <v>15</v>
      </c>
      <c r="F409" s="6">
        <v>88</v>
      </c>
      <c r="G409" s="6">
        <v>99</v>
      </c>
      <c r="H409" s="6">
        <v>100</v>
      </c>
      <c r="I409" s="2">
        <f t="shared" si="13"/>
        <v>287</v>
      </c>
      <c r="J409" s="8">
        <f>AVERAGE(Table1[[#This Row],[math score]:[writing score]])</f>
        <v>95.666666666666671</v>
      </c>
      <c r="K409" s="2">
        <f t="shared" si="12"/>
        <v>300</v>
      </c>
      <c r="L409" s="4">
        <f>Table1[[#This Row],[Total Score]]/Table1[[#This Row],[Minimum Mark]]</f>
        <v>0.95666666666666667</v>
      </c>
      <c r="M409" s="70" t="str">
        <f>_xlfn.XLOOKUP(Table1[[#This Row],[Pass(%)]],O:O,P:P,,-1)</f>
        <v>A</v>
      </c>
    </row>
    <row r="410" spans="1:13" x14ac:dyDescent="0.35">
      <c r="A410" s="2" t="s">
        <v>8</v>
      </c>
      <c r="B410" s="2" t="s">
        <v>13</v>
      </c>
      <c r="C410" s="6" t="s">
        <v>22</v>
      </c>
      <c r="D410" s="6" t="s">
        <v>11</v>
      </c>
      <c r="E410" s="6" t="s">
        <v>12</v>
      </c>
      <c r="F410" s="6">
        <v>54</v>
      </c>
      <c r="G410" s="6">
        <v>59</v>
      </c>
      <c r="H410" s="6">
        <v>62</v>
      </c>
      <c r="I410" s="2">
        <f t="shared" si="13"/>
        <v>175</v>
      </c>
      <c r="J410" s="8">
        <f>AVERAGE(Table1[[#This Row],[math score]:[writing score]])</f>
        <v>58.333333333333336</v>
      </c>
      <c r="K410" s="2">
        <f t="shared" si="12"/>
        <v>300</v>
      </c>
      <c r="L410" s="4">
        <f>Table1[[#This Row],[Total Score]]/Table1[[#This Row],[Minimum Mark]]</f>
        <v>0.58333333333333337</v>
      </c>
      <c r="M410" s="70" t="str">
        <f>_xlfn.XLOOKUP(Table1[[#This Row],[Pass(%)]],O:O,P:P,,-1)</f>
        <v>D+</v>
      </c>
    </row>
    <row r="411" spans="1:13" x14ac:dyDescent="0.35">
      <c r="A411" s="2" t="s">
        <v>8</v>
      </c>
      <c r="B411" s="2" t="s">
        <v>13</v>
      </c>
      <c r="C411" s="6" t="s">
        <v>23</v>
      </c>
      <c r="D411" s="6" t="s">
        <v>11</v>
      </c>
      <c r="E411" s="6" t="s">
        <v>12</v>
      </c>
      <c r="F411" s="6">
        <v>63</v>
      </c>
      <c r="G411" s="6">
        <v>73</v>
      </c>
      <c r="H411" s="6">
        <v>68</v>
      </c>
      <c r="I411" s="2">
        <f t="shared" si="13"/>
        <v>204</v>
      </c>
      <c r="J411" s="8">
        <f>AVERAGE(Table1[[#This Row],[math score]:[writing score]])</f>
        <v>68</v>
      </c>
      <c r="K411" s="2">
        <f t="shared" si="12"/>
        <v>300</v>
      </c>
      <c r="L411" s="4">
        <f>Table1[[#This Row],[Total Score]]/Table1[[#This Row],[Minimum Mark]]</f>
        <v>0.68</v>
      </c>
      <c r="M411" s="70" t="str">
        <f>_xlfn.XLOOKUP(Table1[[#This Row],[Pass(%)]],O:O,P:P,,-1)</f>
        <v>D+</v>
      </c>
    </row>
    <row r="412" spans="1:13" ht="20.5" x14ac:dyDescent="0.8">
      <c r="A412" s="3" t="s">
        <v>17</v>
      </c>
      <c r="B412" s="3" t="s">
        <v>9</v>
      </c>
      <c r="C412" s="7" t="s">
        <v>19</v>
      </c>
      <c r="D412" s="7" t="s">
        <v>11</v>
      </c>
      <c r="E412" s="7" t="s">
        <v>15</v>
      </c>
      <c r="F412" s="7">
        <v>65</v>
      </c>
      <c r="G412" s="7">
        <v>65</v>
      </c>
      <c r="H412" s="7">
        <v>63</v>
      </c>
      <c r="I412" s="3">
        <f t="shared" si="13"/>
        <v>193</v>
      </c>
      <c r="J412" s="14">
        <f>AVERAGE(Table1[[#This Row],[math score]:[writing score]])</f>
        <v>64.333333333333329</v>
      </c>
      <c r="K412" s="3">
        <f t="shared" si="12"/>
        <v>300</v>
      </c>
      <c r="L412" s="5">
        <f>Table1[[#This Row],[Total Score]]/Table1[[#This Row],[Minimum Mark]]</f>
        <v>0.64333333333333331</v>
      </c>
      <c r="M412" s="71" t="str">
        <f>_xlfn.XLOOKUP(Table1[[#This Row],[Pass(%)]],O:O,P:P,,-1)</f>
        <v>D+</v>
      </c>
    </row>
    <row r="413" spans="1:13" ht="20.5" x14ac:dyDescent="0.8">
      <c r="A413" s="3" t="s">
        <v>8</v>
      </c>
      <c r="B413" s="3" t="s">
        <v>9</v>
      </c>
      <c r="C413" s="7" t="s">
        <v>19</v>
      </c>
      <c r="D413" s="7" t="s">
        <v>11</v>
      </c>
      <c r="E413" s="7" t="s">
        <v>12</v>
      </c>
      <c r="F413" s="7">
        <v>82</v>
      </c>
      <c r="G413" s="7">
        <v>80</v>
      </c>
      <c r="H413" s="7">
        <v>77</v>
      </c>
      <c r="I413" s="3">
        <f t="shared" si="13"/>
        <v>239</v>
      </c>
      <c r="J413" s="14">
        <f>AVERAGE(Table1[[#This Row],[math score]:[writing score]])</f>
        <v>79.666666666666671</v>
      </c>
      <c r="K413" s="3">
        <f t="shared" si="12"/>
        <v>300</v>
      </c>
      <c r="L413" s="5">
        <f>Table1[[#This Row],[Total Score]]/Table1[[#This Row],[Minimum Mark]]</f>
        <v>0.79666666666666663</v>
      </c>
      <c r="M413" s="71" t="str">
        <f>_xlfn.XLOOKUP(Table1[[#This Row],[Pass(%)]],O:O,P:P,,-1)</f>
        <v>C+</v>
      </c>
    </row>
    <row r="414" spans="1:13" x14ac:dyDescent="0.35">
      <c r="A414" s="2" t="s">
        <v>8</v>
      </c>
      <c r="B414" s="2" t="s">
        <v>21</v>
      </c>
      <c r="C414" s="6" t="s">
        <v>22</v>
      </c>
      <c r="D414" s="6" t="s">
        <v>20</v>
      </c>
      <c r="E414" s="6" t="s">
        <v>15</v>
      </c>
      <c r="F414" s="6">
        <v>52</v>
      </c>
      <c r="G414" s="6">
        <v>57</v>
      </c>
      <c r="H414" s="6">
        <v>56</v>
      </c>
      <c r="I414" s="2">
        <f t="shared" si="13"/>
        <v>165</v>
      </c>
      <c r="J414" s="8">
        <f>AVERAGE(Table1[[#This Row],[math score]:[writing score]])</f>
        <v>55</v>
      </c>
      <c r="K414" s="2">
        <f t="shared" si="12"/>
        <v>300</v>
      </c>
      <c r="L414" s="4">
        <f>Table1[[#This Row],[Total Score]]/Table1[[#This Row],[Minimum Mark]]</f>
        <v>0.55000000000000004</v>
      </c>
      <c r="M414" s="70" t="str">
        <f>_xlfn.XLOOKUP(Table1[[#This Row],[Pass(%)]],O:O,P:P,,-1)</f>
        <v>D+</v>
      </c>
    </row>
    <row r="415" spans="1:13" ht="20.5" x14ac:dyDescent="0.8">
      <c r="A415" s="3" t="s">
        <v>17</v>
      </c>
      <c r="B415" s="3" t="s">
        <v>21</v>
      </c>
      <c r="C415" s="7" t="s">
        <v>19</v>
      </c>
      <c r="D415" s="7" t="s">
        <v>11</v>
      </c>
      <c r="E415" s="7" t="s">
        <v>15</v>
      </c>
      <c r="F415" s="7">
        <v>87</v>
      </c>
      <c r="G415" s="7">
        <v>84</v>
      </c>
      <c r="H415" s="7">
        <v>85</v>
      </c>
      <c r="I415" s="3">
        <f t="shared" si="13"/>
        <v>256</v>
      </c>
      <c r="J415" s="14">
        <f>AVERAGE(Table1[[#This Row],[math score]:[writing score]])</f>
        <v>85.333333333333329</v>
      </c>
      <c r="K415" s="3">
        <f t="shared" si="12"/>
        <v>300</v>
      </c>
      <c r="L415" s="5">
        <f>Table1[[#This Row],[Total Score]]/Table1[[#This Row],[Minimum Mark]]</f>
        <v>0.85333333333333339</v>
      </c>
      <c r="M415" s="71" t="str">
        <f>_xlfn.XLOOKUP(Table1[[#This Row],[Pass(%)]],O:O,P:P,,-1)</f>
        <v>B</v>
      </c>
    </row>
    <row r="416" spans="1:13" x14ac:dyDescent="0.35">
      <c r="A416" s="2" t="s">
        <v>8</v>
      </c>
      <c r="B416" s="2" t="s">
        <v>21</v>
      </c>
      <c r="C416" s="6" t="s">
        <v>16</v>
      </c>
      <c r="D416" s="6" t="s">
        <v>11</v>
      </c>
      <c r="E416" s="6" t="s">
        <v>15</v>
      </c>
      <c r="F416" s="6">
        <v>70</v>
      </c>
      <c r="G416" s="6">
        <v>71</v>
      </c>
      <c r="H416" s="6">
        <v>74</v>
      </c>
      <c r="I416" s="2">
        <f t="shared" si="13"/>
        <v>215</v>
      </c>
      <c r="J416" s="8">
        <f>AVERAGE(Table1[[#This Row],[math score]:[writing score]])</f>
        <v>71.666666666666671</v>
      </c>
      <c r="K416" s="2">
        <f t="shared" si="12"/>
        <v>300</v>
      </c>
      <c r="L416" s="4">
        <f>Table1[[#This Row],[Total Score]]/Table1[[#This Row],[Minimum Mark]]</f>
        <v>0.71666666666666667</v>
      </c>
      <c r="M416" s="70" t="str">
        <f>_xlfn.XLOOKUP(Table1[[#This Row],[Pass(%)]],O:O,P:P,,-1)</f>
        <v>C-</v>
      </c>
    </row>
    <row r="417" spans="1:13" x14ac:dyDescent="0.35">
      <c r="A417" s="2" t="s">
        <v>17</v>
      </c>
      <c r="B417" s="2" t="s">
        <v>24</v>
      </c>
      <c r="C417" s="6" t="s">
        <v>14</v>
      </c>
      <c r="D417" s="6" t="s">
        <v>11</v>
      </c>
      <c r="E417" s="6" t="s">
        <v>15</v>
      </c>
      <c r="F417" s="6">
        <v>84</v>
      </c>
      <c r="G417" s="6">
        <v>83</v>
      </c>
      <c r="H417" s="6">
        <v>78</v>
      </c>
      <c r="I417" s="2">
        <f t="shared" si="13"/>
        <v>245</v>
      </c>
      <c r="J417" s="8">
        <f>AVERAGE(Table1[[#This Row],[math score]:[writing score]])</f>
        <v>81.666666666666671</v>
      </c>
      <c r="K417" s="2">
        <f t="shared" si="12"/>
        <v>300</v>
      </c>
      <c r="L417" s="4">
        <f>Table1[[#This Row],[Total Score]]/Table1[[#This Row],[Minimum Mark]]</f>
        <v>0.81666666666666665</v>
      </c>
      <c r="M417" s="70" t="str">
        <f>_xlfn.XLOOKUP(Table1[[#This Row],[Pass(%)]],O:O,P:P,,-1)</f>
        <v>B-</v>
      </c>
    </row>
    <row r="418" spans="1:13" ht="20.5" x14ac:dyDescent="0.8">
      <c r="A418" s="3" t="s">
        <v>17</v>
      </c>
      <c r="B418" s="3" t="s">
        <v>21</v>
      </c>
      <c r="C418" s="7" t="s">
        <v>19</v>
      </c>
      <c r="D418" s="7" t="s">
        <v>11</v>
      </c>
      <c r="E418" s="7" t="s">
        <v>12</v>
      </c>
      <c r="F418" s="7">
        <v>71</v>
      </c>
      <c r="G418" s="7">
        <v>66</v>
      </c>
      <c r="H418" s="7">
        <v>60</v>
      </c>
      <c r="I418" s="3">
        <f t="shared" si="13"/>
        <v>197</v>
      </c>
      <c r="J418" s="14">
        <f>AVERAGE(Table1[[#This Row],[math score]:[writing score]])</f>
        <v>65.666666666666671</v>
      </c>
      <c r="K418" s="3">
        <f t="shared" si="12"/>
        <v>300</v>
      </c>
      <c r="L418" s="5">
        <f>Table1[[#This Row],[Total Score]]/Table1[[#This Row],[Minimum Mark]]</f>
        <v>0.65666666666666662</v>
      </c>
      <c r="M418" s="71" t="str">
        <f>_xlfn.XLOOKUP(Table1[[#This Row],[Pass(%)]],O:O,P:P,,-1)</f>
        <v>D+</v>
      </c>
    </row>
    <row r="419" spans="1:13" x14ac:dyDescent="0.35">
      <c r="A419" s="2" t="s">
        <v>17</v>
      </c>
      <c r="B419" s="2" t="s">
        <v>9</v>
      </c>
      <c r="C419" s="6" t="s">
        <v>23</v>
      </c>
      <c r="D419" s="6" t="s">
        <v>11</v>
      </c>
      <c r="E419" s="6" t="s">
        <v>15</v>
      </c>
      <c r="F419" s="6">
        <v>63</v>
      </c>
      <c r="G419" s="6">
        <v>67</v>
      </c>
      <c r="H419" s="6">
        <v>67</v>
      </c>
      <c r="I419" s="2">
        <f t="shared" si="13"/>
        <v>197</v>
      </c>
      <c r="J419" s="8">
        <f>AVERAGE(Table1[[#This Row],[math score]:[writing score]])</f>
        <v>65.666666666666671</v>
      </c>
      <c r="K419" s="2">
        <f t="shared" si="12"/>
        <v>300</v>
      </c>
      <c r="L419" s="4">
        <f>Table1[[#This Row],[Total Score]]/Table1[[#This Row],[Minimum Mark]]</f>
        <v>0.65666666666666662</v>
      </c>
      <c r="M419" s="70" t="str">
        <f>_xlfn.XLOOKUP(Table1[[#This Row],[Pass(%)]],O:O,P:P,,-1)</f>
        <v>D+</v>
      </c>
    </row>
    <row r="420" spans="1:13" x14ac:dyDescent="0.35">
      <c r="A420" s="2" t="s">
        <v>8</v>
      </c>
      <c r="B420" s="2" t="s">
        <v>13</v>
      </c>
      <c r="C420" s="6" t="s">
        <v>10</v>
      </c>
      <c r="D420" s="6" t="s">
        <v>20</v>
      </c>
      <c r="E420" s="6" t="s">
        <v>15</v>
      </c>
      <c r="F420" s="6">
        <v>51</v>
      </c>
      <c r="G420" s="6">
        <v>72</v>
      </c>
      <c r="H420" s="6">
        <v>79</v>
      </c>
      <c r="I420" s="2">
        <f t="shared" si="13"/>
        <v>202</v>
      </c>
      <c r="J420" s="8">
        <f>AVERAGE(Table1[[#This Row],[math score]:[writing score]])</f>
        <v>67.333333333333329</v>
      </c>
      <c r="K420" s="2">
        <f t="shared" si="12"/>
        <v>300</v>
      </c>
      <c r="L420" s="4">
        <f>Table1[[#This Row],[Total Score]]/Table1[[#This Row],[Minimum Mark]]</f>
        <v>0.67333333333333334</v>
      </c>
      <c r="M420" s="70" t="str">
        <f>_xlfn.XLOOKUP(Table1[[#This Row],[Pass(%)]],O:O,P:P,,-1)</f>
        <v>D+</v>
      </c>
    </row>
    <row r="421" spans="1:13" x14ac:dyDescent="0.35">
      <c r="A421" s="2" t="s">
        <v>17</v>
      </c>
      <c r="B421" s="2" t="s">
        <v>24</v>
      </c>
      <c r="C421" s="6" t="s">
        <v>22</v>
      </c>
      <c r="D421" s="6" t="s">
        <v>11</v>
      </c>
      <c r="E421" s="6" t="s">
        <v>12</v>
      </c>
      <c r="F421" s="6">
        <v>84</v>
      </c>
      <c r="G421" s="6">
        <v>73</v>
      </c>
      <c r="H421" s="6">
        <v>69</v>
      </c>
      <c r="I421" s="2">
        <f t="shared" si="13"/>
        <v>226</v>
      </c>
      <c r="J421" s="8">
        <f>AVERAGE(Table1[[#This Row],[math score]:[writing score]])</f>
        <v>75.333333333333329</v>
      </c>
      <c r="K421" s="2">
        <f t="shared" si="12"/>
        <v>300</v>
      </c>
      <c r="L421" s="4">
        <f>Table1[[#This Row],[Total Score]]/Table1[[#This Row],[Minimum Mark]]</f>
        <v>0.7533333333333333</v>
      </c>
      <c r="M421" s="70" t="str">
        <f>_xlfn.XLOOKUP(Table1[[#This Row],[Pass(%)]],O:O,P:P,,-1)</f>
        <v>C</v>
      </c>
    </row>
    <row r="422" spans="1:13" x14ac:dyDescent="0.35">
      <c r="A422" s="2" t="s">
        <v>17</v>
      </c>
      <c r="B422" s="2" t="s">
        <v>13</v>
      </c>
      <c r="C422" s="6" t="s">
        <v>10</v>
      </c>
      <c r="D422" s="6" t="s">
        <v>11</v>
      </c>
      <c r="E422" s="6" t="s">
        <v>15</v>
      </c>
      <c r="F422" s="6">
        <v>71</v>
      </c>
      <c r="G422" s="6">
        <v>74</v>
      </c>
      <c r="H422" s="6">
        <v>68</v>
      </c>
      <c r="I422" s="2">
        <f t="shared" si="13"/>
        <v>213</v>
      </c>
      <c r="J422" s="8">
        <f>AVERAGE(Table1[[#This Row],[math score]:[writing score]])</f>
        <v>71</v>
      </c>
      <c r="K422" s="2">
        <f t="shared" si="12"/>
        <v>300</v>
      </c>
      <c r="L422" s="4">
        <f>Table1[[#This Row],[Total Score]]/Table1[[#This Row],[Minimum Mark]]</f>
        <v>0.71</v>
      </c>
      <c r="M422" s="70" t="str">
        <f>_xlfn.XLOOKUP(Table1[[#This Row],[Pass(%)]],O:O,P:P,,-1)</f>
        <v>C-</v>
      </c>
    </row>
    <row r="423" spans="1:13" ht="20.5" x14ac:dyDescent="0.8">
      <c r="A423" s="3" t="s">
        <v>17</v>
      </c>
      <c r="B423" s="3" t="s">
        <v>13</v>
      </c>
      <c r="C423" s="7" t="s">
        <v>19</v>
      </c>
      <c r="D423" s="7" t="s">
        <v>11</v>
      </c>
      <c r="E423" s="7" t="s">
        <v>12</v>
      </c>
      <c r="F423" s="7">
        <v>74</v>
      </c>
      <c r="G423" s="7">
        <v>73</v>
      </c>
      <c r="H423" s="7">
        <v>67</v>
      </c>
      <c r="I423" s="3">
        <f t="shared" si="13"/>
        <v>214</v>
      </c>
      <c r="J423" s="14">
        <f>AVERAGE(Table1[[#This Row],[math score]:[writing score]])</f>
        <v>71.333333333333329</v>
      </c>
      <c r="K423" s="3">
        <f t="shared" si="12"/>
        <v>300</v>
      </c>
      <c r="L423" s="5">
        <f>Table1[[#This Row],[Total Score]]/Table1[[#This Row],[Minimum Mark]]</f>
        <v>0.71333333333333337</v>
      </c>
      <c r="M423" s="71" t="str">
        <f>_xlfn.XLOOKUP(Table1[[#This Row],[Pass(%)]],O:O,P:P,,-1)</f>
        <v>C-</v>
      </c>
    </row>
    <row r="424" spans="1:13" x14ac:dyDescent="0.35">
      <c r="A424" s="2" t="s">
        <v>17</v>
      </c>
      <c r="B424" s="2" t="s">
        <v>21</v>
      </c>
      <c r="C424" s="6" t="s">
        <v>14</v>
      </c>
      <c r="D424" s="6" t="s">
        <v>11</v>
      </c>
      <c r="E424" s="6" t="s">
        <v>12</v>
      </c>
      <c r="F424" s="6">
        <v>68</v>
      </c>
      <c r="G424" s="6">
        <v>59</v>
      </c>
      <c r="H424" s="6">
        <v>62</v>
      </c>
      <c r="I424" s="2">
        <f t="shared" si="13"/>
        <v>189</v>
      </c>
      <c r="J424" s="8">
        <f>AVERAGE(Table1[[#This Row],[math score]:[writing score]])</f>
        <v>63</v>
      </c>
      <c r="K424" s="2">
        <f t="shared" si="12"/>
        <v>300</v>
      </c>
      <c r="L424" s="4">
        <f>Table1[[#This Row],[Total Score]]/Table1[[#This Row],[Minimum Mark]]</f>
        <v>0.63</v>
      </c>
      <c r="M424" s="70" t="str">
        <f>_xlfn.XLOOKUP(Table1[[#This Row],[Pass(%)]],O:O,P:P,,-1)</f>
        <v>D+</v>
      </c>
    </row>
    <row r="425" spans="1:13" x14ac:dyDescent="0.35">
      <c r="A425" s="2" t="s">
        <v>17</v>
      </c>
      <c r="B425" s="2" t="s">
        <v>24</v>
      </c>
      <c r="C425" s="6" t="s">
        <v>22</v>
      </c>
      <c r="D425" s="6" t="s">
        <v>20</v>
      </c>
      <c r="E425" s="6" t="s">
        <v>15</v>
      </c>
      <c r="F425" s="6">
        <v>57</v>
      </c>
      <c r="G425" s="6">
        <v>56</v>
      </c>
      <c r="H425" s="6">
        <v>54</v>
      </c>
      <c r="I425" s="2">
        <f t="shared" si="13"/>
        <v>167</v>
      </c>
      <c r="J425" s="8">
        <f>AVERAGE(Table1[[#This Row],[math score]:[writing score]])</f>
        <v>55.666666666666664</v>
      </c>
      <c r="K425" s="2">
        <f t="shared" si="12"/>
        <v>300</v>
      </c>
      <c r="L425" s="4">
        <f>Table1[[#This Row],[Total Score]]/Table1[[#This Row],[Minimum Mark]]</f>
        <v>0.55666666666666664</v>
      </c>
      <c r="M425" s="70" t="str">
        <f>_xlfn.XLOOKUP(Table1[[#This Row],[Pass(%)]],O:O,P:P,,-1)</f>
        <v>D+</v>
      </c>
    </row>
    <row r="426" spans="1:13" ht="20.5" x14ac:dyDescent="0.8">
      <c r="A426" s="3" t="s">
        <v>8</v>
      </c>
      <c r="B426" s="3" t="s">
        <v>13</v>
      </c>
      <c r="C426" s="7" t="s">
        <v>19</v>
      </c>
      <c r="D426" s="7" t="s">
        <v>20</v>
      </c>
      <c r="E426" s="7" t="s">
        <v>15</v>
      </c>
      <c r="F426" s="7">
        <v>82</v>
      </c>
      <c r="G426" s="7">
        <v>93</v>
      </c>
      <c r="H426" s="7">
        <v>93</v>
      </c>
      <c r="I426" s="3">
        <f t="shared" si="13"/>
        <v>268</v>
      </c>
      <c r="J426" s="14">
        <f>AVERAGE(Table1[[#This Row],[math score]:[writing score]])</f>
        <v>89.333333333333329</v>
      </c>
      <c r="K426" s="3">
        <f t="shared" si="12"/>
        <v>300</v>
      </c>
      <c r="L426" s="5">
        <f>Table1[[#This Row],[Total Score]]/Table1[[#This Row],[Minimum Mark]]</f>
        <v>0.89333333333333331</v>
      </c>
      <c r="M426" s="71" t="str">
        <f>_xlfn.XLOOKUP(Table1[[#This Row],[Pass(%)]],O:O,P:P,,-1)</f>
        <v>B+</v>
      </c>
    </row>
    <row r="427" spans="1:13" x14ac:dyDescent="0.35">
      <c r="A427" s="2" t="s">
        <v>8</v>
      </c>
      <c r="B427" s="2" t="s">
        <v>21</v>
      </c>
      <c r="C427" s="6" t="s">
        <v>22</v>
      </c>
      <c r="D427" s="6" t="s">
        <v>11</v>
      </c>
      <c r="E427" s="6" t="s">
        <v>15</v>
      </c>
      <c r="F427" s="6">
        <v>57</v>
      </c>
      <c r="G427" s="6">
        <v>58</v>
      </c>
      <c r="H427" s="6">
        <v>64</v>
      </c>
      <c r="I427" s="2">
        <f t="shared" si="13"/>
        <v>179</v>
      </c>
      <c r="J427" s="8">
        <f>AVERAGE(Table1[[#This Row],[math score]:[writing score]])</f>
        <v>59.666666666666664</v>
      </c>
      <c r="K427" s="2">
        <f t="shared" si="12"/>
        <v>300</v>
      </c>
      <c r="L427" s="4">
        <f>Table1[[#This Row],[Total Score]]/Table1[[#This Row],[Minimum Mark]]</f>
        <v>0.59666666666666668</v>
      </c>
      <c r="M427" s="70" t="str">
        <f>_xlfn.XLOOKUP(Table1[[#This Row],[Pass(%)]],O:O,P:P,,-1)</f>
        <v>D+</v>
      </c>
    </row>
    <row r="428" spans="1:13" x14ac:dyDescent="0.35">
      <c r="A428" s="2" t="s">
        <v>8</v>
      </c>
      <c r="B428" s="2" t="s">
        <v>21</v>
      </c>
      <c r="C428" s="6" t="s">
        <v>16</v>
      </c>
      <c r="D428" s="6" t="s">
        <v>20</v>
      </c>
      <c r="E428" s="6" t="s">
        <v>15</v>
      </c>
      <c r="F428" s="6">
        <v>47</v>
      </c>
      <c r="G428" s="6">
        <v>58</v>
      </c>
      <c r="H428" s="6">
        <v>67</v>
      </c>
      <c r="I428" s="2">
        <f t="shared" si="13"/>
        <v>172</v>
      </c>
      <c r="J428" s="8">
        <f>AVERAGE(Table1[[#This Row],[math score]:[writing score]])</f>
        <v>57.333333333333336</v>
      </c>
      <c r="K428" s="2">
        <f t="shared" si="12"/>
        <v>300</v>
      </c>
      <c r="L428" s="4">
        <f>Table1[[#This Row],[Total Score]]/Table1[[#This Row],[Minimum Mark]]</f>
        <v>0.57333333333333336</v>
      </c>
      <c r="M428" s="70" t="str">
        <f>_xlfn.XLOOKUP(Table1[[#This Row],[Pass(%)]],O:O,P:P,,-1)</f>
        <v>D+</v>
      </c>
    </row>
    <row r="429" spans="1:13" x14ac:dyDescent="0.35">
      <c r="A429" s="2" t="s">
        <v>8</v>
      </c>
      <c r="B429" s="2" t="s">
        <v>18</v>
      </c>
      <c r="C429" s="6" t="s">
        <v>23</v>
      </c>
      <c r="D429" s="6" t="s">
        <v>11</v>
      </c>
      <c r="E429" s="6" t="s">
        <v>15</v>
      </c>
      <c r="F429" s="6">
        <v>59</v>
      </c>
      <c r="G429" s="6">
        <v>85</v>
      </c>
      <c r="H429" s="6">
        <v>80</v>
      </c>
      <c r="I429" s="2">
        <f t="shared" si="13"/>
        <v>224</v>
      </c>
      <c r="J429" s="8">
        <f>AVERAGE(Table1[[#This Row],[math score]:[writing score]])</f>
        <v>74.666666666666671</v>
      </c>
      <c r="K429" s="2">
        <f t="shared" si="12"/>
        <v>300</v>
      </c>
      <c r="L429" s="4">
        <f>Table1[[#This Row],[Total Score]]/Table1[[#This Row],[Minimum Mark]]</f>
        <v>0.7466666666666667</v>
      </c>
      <c r="M429" s="70" t="str">
        <f>_xlfn.XLOOKUP(Table1[[#This Row],[Pass(%)]],O:O,P:P,,-1)</f>
        <v>C</v>
      </c>
    </row>
    <row r="430" spans="1:13" x14ac:dyDescent="0.35">
      <c r="A430" s="2" t="s">
        <v>17</v>
      </c>
      <c r="B430" s="2" t="s">
        <v>9</v>
      </c>
      <c r="C430" s="6" t="s">
        <v>14</v>
      </c>
      <c r="D430" s="6" t="s">
        <v>20</v>
      </c>
      <c r="E430" s="6" t="s">
        <v>12</v>
      </c>
      <c r="F430" s="6">
        <v>41</v>
      </c>
      <c r="G430" s="6">
        <v>39</v>
      </c>
      <c r="H430" s="6">
        <v>34</v>
      </c>
      <c r="I430" s="2">
        <f t="shared" si="13"/>
        <v>114</v>
      </c>
      <c r="J430" s="8">
        <f>AVERAGE(Table1[[#This Row],[math score]:[writing score]])</f>
        <v>38</v>
      </c>
      <c r="K430" s="2">
        <f t="shared" si="12"/>
        <v>300</v>
      </c>
      <c r="L430" s="4">
        <f>Table1[[#This Row],[Total Score]]/Table1[[#This Row],[Minimum Mark]]</f>
        <v>0.38</v>
      </c>
      <c r="M430" s="70" t="str">
        <f>_xlfn.XLOOKUP(Table1[[#This Row],[Pass(%)]],O:O,P:P,,-1)</f>
        <v>D-</v>
      </c>
    </row>
    <row r="431" spans="1:13" x14ac:dyDescent="0.35">
      <c r="A431" s="2" t="s">
        <v>8</v>
      </c>
      <c r="B431" s="2" t="s">
        <v>13</v>
      </c>
      <c r="C431" s="6" t="s">
        <v>14</v>
      </c>
      <c r="D431" s="6" t="s">
        <v>20</v>
      </c>
      <c r="E431" s="6" t="s">
        <v>12</v>
      </c>
      <c r="F431" s="6">
        <v>62</v>
      </c>
      <c r="G431" s="6">
        <v>67</v>
      </c>
      <c r="H431" s="6">
        <v>62</v>
      </c>
      <c r="I431" s="2">
        <f t="shared" si="13"/>
        <v>191</v>
      </c>
      <c r="J431" s="8">
        <f>AVERAGE(Table1[[#This Row],[math score]:[writing score]])</f>
        <v>63.666666666666664</v>
      </c>
      <c r="K431" s="2">
        <f t="shared" si="12"/>
        <v>300</v>
      </c>
      <c r="L431" s="4">
        <f>Table1[[#This Row],[Total Score]]/Table1[[#This Row],[Minimum Mark]]</f>
        <v>0.63666666666666671</v>
      </c>
      <c r="M431" s="70" t="str">
        <f>_xlfn.XLOOKUP(Table1[[#This Row],[Pass(%)]],O:O,P:P,,-1)</f>
        <v>D+</v>
      </c>
    </row>
    <row r="432" spans="1:13" x14ac:dyDescent="0.35">
      <c r="A432" s="2" t="s">
        <v>17</v>
      </c>
      <c r="B432" s="2" t="s">
        <v>13</v>
      </c>
      <c r="C432" s="6" t="s">
        <v>10</v>
      </c>
      <c r="D432" s="6" t="s">
        <v>11</v>
      </c>
      <c r="E432" s="6" t="s">
        <v>12</v>
      </c>
      <c r="F432" s="6">
        <v>86</v>
      </c>
      <c r="G432" s="6">
        <v>83</v>
      </c>
      <c r="H432" s="6">
        <v>86</v>
      </c>
      <c r="I432" s="2">
        <f t="shared" si="13"/>
        <v>255</v>
      </c>
      <c r="J432" s="8">
        <f>AVERAGE(Table1[[#This Row],[math score]:[writing score]])</f>
        <v>85</v>
      </c>
      <c r="K432" s="2">
        <f t="shared" si="12"/>
        <v>300</v>
      </c>
      <c r="L432" s="4">
        <f>Table1[[#This Row],[Total Score]]/Table1[[#This Row],[Minimum Mark]]</f>
        <v>0.85</v>
      </c>
      <c r="M432" s="70" t="str">
        <f>_xlfn.XLOOKUP(Table1[[#This Row],[Pass(%)]],O:O,P:P,,-1)</f>
        <v>B</v>
      </c>
    </row>
    <row r="433" spans="1:13" x14ac:dyDescent="0.35">
      <c r="A433" s="2" t="s">
        <v>17</v>
      </c>
      <c r="B433" s="2" t="s">
        <v>13</v>
      </c>
      <c r="C433" s="6" t="s">
        <v>23</v>
      </c>
      <c r="D433" s="6" t="s">
        <v>20</v>
      </c>
      <c r="E433" s="6" t="s">
        <v>12</v>
      </c>
      <c r="F433" s="6">
        <v>69</v>
      </c>
      <c r="G433" s="6">
        <v>71</v>
      </c>
      <c r="H433" s="6">
        <v>65</v>
      </c>
      <c r="I433" s="2">
        <f t="shared" si="13"/>
        <v>205</v>
      </c>
      <c r="J433" s="8">
        <f>AVERAGE(Table1[[#This Row],[math score]:[writing score]])</f>
        <v>68.333333333333329</v>
      </c>
      <c r="K433" s="2">
        <f t="shared" si="12"/>
        <v>300</v>
      </c>
      <c r="L433" s="4">
        <f>Table1[[#This Row],[Total Score]]/Table1[[#This Row],[Minimum Mark]]</f>
        <v>0.68333333333333335</v>
      </c>
      <c r="M433" s="70" t="str">
        <f>_xlfn.XLOOKUP(Table1[[#This Row],[Pass(%)]],O:O,P:P,,-1)</f>
        <v>D+</v>
      </c>
    </row>
    <row r="434" spans="1:13" x14ac:dyDescent="0.35">
      <c r="A434" s="2" t="s">
        <v>17</v>
      </c>
      <c r="B434" s="2" t="s">
        <v>18</v>
      </c>
      <c r="C434" s="6" t="s">
        <v>23</v>
      </c>
      <c r="D434" s="6" t="s">
        <v>20</v>
      </c>
      <c r="E434" s="6" t="s">
        <v>12</v>
      </c>
      <c r="F434" s="6">
        <v>65</v>
      </c>
      <c r="G434" s="6">
        <v>59</v>
      </c>
      <c r="H434" s="6">
        <v>53</v>
      </c>
      <c r="I434" s="2">
        <f t="shared" si="13"/>
        <v>177</v>
      </c>
      <c r="J434" s="8">
        <f>AVERAGE(Table1[[#This Row],[math score]:[writing score]])</f>
        <v>59</v>
      </c>
      <c r="K434" s="2">
        <f t="shared" si="12"/>
        <v>300</v>
      </c>
      <c r="L434" s="4">
        <f>Table1[[#This Row],[Total Score]]/Table1[[#This Row],[Minimum Mark]]</f>
        <v>0.59</v>
      </c>
      <c r="M434" s="70" t="str">
        <f>_xlfn.XLOOKUP(Table1[[#This Row],[Pass(%)]],O:O,P:P,,-1)</f>
        <v>D+</v>
      </c>
    </row>
    <row r="435" spans="1:13" x14ac:dyDescent="0.35">
      <c r="A435" s="2" t="s">
        <v>17</v>
      </c>
      <c r="B435" s="2" t="s">
        <v>13</v>
      </c>
      <c r="C435" s="6" t="s">
        <v>23</v>
      </c>
      <c r="D435" s="6" t="s">
        <v>20</v>
      </c>
      <c r="E435" s="6" t="s">
        <v>12</v>
      </c>
      <c r="F435" s="6">
        <v>68</v>
      </c>
      <c r="G435" s="6">
        <v>63</v>
      </c>
      <c r="H435" s="6">
        <v>54</v>
      </c>
      <c r="I435" s="2">
        <f t="shared" si="13"/>
        <v>185</v>
      </c>
      <c r="J435" s="8">
        <f>AVERAGE(Table1[[#This Row],[math score]:[writing score]])</f>
        <v>61.666666666666664</v>
      </c>
      <c r="K435" s="2">
        <f t="shared" si="12"/>
        <v>300</v>
      </c>
      <c r="L435" s="4">
        <f>Table1[[#This Row],[Total Score]]/Table1[[#This Row],[Minimum Mark]]</f>
        <v>0.6166666666666667</v>
      </c>
      <c r="M435" s="70" t="str">
        <f>_xlfn.XLOOKUP(Table1[[#This Row],[Pass(%)]],O:O,P:P,,-1)</f>
        <v>D+</v>
      </c>
    </row>
    <row r="436" spans="1:13" ht="20.5" x14ac:dyDescent="0.8">
      <c r="A436" s="3" t="s">
        <v>17</v>
      </c>
      <c r="B436" s="3" t="s">
        <v>13</v>
      </c>
      <c r="C436" s="7" t="s">
        <v>19</v>
      </c>
      <c r="D436" s="7" t="s">
        <v>20</v>
      </c>
      <c r="E436" s="7" t="s">
        <v>12</v>
      </c>
      <c r="F436" s="7">
        <v>64</v>
      </c>
      <c r="G436" s="7">
        <v>66</v>
      </c>
      <c r="H436" s="7">
        <v>59</v>
      </c>
      <c r="I436" s="3">
        <f t="shared" si="13"/>
        <v>189</v>
      </c>
      <c r="J436" s="14">
        <f>AVERAGE(Table1[[#This Row],[math score]:[writing score]])</f>
        <v>63</v>
      </c>
      <c r="K436" s="3">
        <f t="shared" si="12"/>
        <v>300</v>
      </c>
      <c r="L436" s="5">
        <f>Table1[[#This Row],[Total Score]]/Table1[[#This Row],[Minimum Mark]]</f>
        <v>0.63</v>
      </c>
      <c r="M436" s="71" t="str">
        <f>_xlfn.XLOOKUP(Table1[[#This Row],[Pass(%)]],O:O,P:P,,-1)</f>
        <v>D+</v>
      </c>
    </row>
    <row r="437" spans="1:13" x14ac:dyDescent="0.35">
      <c r="A437" s="2" t="s">
        <v>8</v>
      </c>
      <c r="B437" s="2" t="s">
        <v>13</v>
      </c>
      <c r="C437" s="6" t="s">
        <v>22</v>
      </c>
      <c r="D437" s="6" t="s">
        <v>11</v>
      </c>
      <c r="E437" s="6" t="s">
        <v>12</v>
      </c>
      <c r="F437" s="6">
        <v>61</v>
      </c>
      <c r="G437" s="6">
        <v>72</v>
      </c>
      <c r="H437" s="6">
        <v>70</v>
      </c>
      <c r="I437" s="2">
        <f t="shared" si="13"/>
        <v>203</v>
      </c>
      <c r="J437" s="8">
        <f>AVERAGE(Table1[[#This Row],[math score]:[writing score]])</f>
        <v>67.666666666666671</v>
      </c>
      <c r="K437" s="2">
        <f t="shared" si="12"/>
        <v>300</v>
      </c>
      <c r="L437" s="4">
        <f>Table1[[#This Row],[Total Score]]/Table1[[#This Row],[Minimum Mark]]</f>
        <v>0.67666666666666664</v>
      </c>
      <c r="M437" s="70" t="str">
        <f>_xlfn.XLOOKUP(Table1[[#This Row],[Pass(%)]],O:O,P:P,,-1)</f>
        <v>D+</v>
      </c>
    </row>
    <row r="438" spans="1:13" x14ac:dyDescent="0.35">
      <c r="A438" s="2" t="s">
        <v>17</v>
      </c>
      <c r="B438" s="2" t="s">
        <v>13</v>
      </c>
      <c r="C438" s="6" t="s">
        <v>22</v>
      </c>
      <c r="D438" s="6" t="s">
        <v>11</v>
      </c>
      <c r="E438" s="6" t="s">
        <v>12</v>
      </c>
      <c r="F438" s="6">
        <v>61</v>
      </c>
      <c r="G438" s="6">
        <v>56</v>
      </c>
      <c r="H438" s="6">
        <v>55</v>
      </c>
      <c r="I438" s="2">
        <f t="shared" si="13"/>
        <v>172</v>
      </c>
      <c r="J438" s="8">
        <f>AVERAGE(Table1[[#This Row],[math score]:[writing score]])</f>
        <v>57.333333333333336</v>
      </c>
      <c r="K438" s="2">
        <f t="shared" si="12"/>
        <v>300</v>
      </c>
      <c r="L438" s="4">
        <f>Table1[[#This Row],[Total Score]]/Table1[[#This Row],[Minimum Mark]]</f>
        <v>0.57333333333333336</v>
      </c>
      <c r="M438" s="70" t="str">
        <f>_xlfn.XLOOKUP(Table1[[#This Row],[Pass(%)]],O:O,P:P,,-1)</f>
        <v>D+</v>
      </c>
    </row>
    <row r="439" spans="1:13" x14ac:dyDescent="0.35">
      <c r="A439" s="2" t="s">
        <v>8</v>
      </c>
      <c r="B439" s="2" t="s">
        <v>18</v>
      </c>
      <c r="C439" s="6" t="s">
        <v>23</v>
      </c>
      <c r="D439" s="6" t="s">
        <v>20</v>
      </c>
      <c r="E439" s="6" t="s">
        <v>12</v>
      </c>
      <c r="F439" s="6">
        <v>47</v>
      </c>
      <c r="G439" s="6">
        <v>59</v>
      </c>
      <c r="H439" s="6">
        <v>50</v>
      </c>
      <c r="I439" s="2">
        <f t="shared" si="13"/>
        <v>156</v>
      </c>
      <c r="J439" s="8">
        <f>AVERAGE(Table1[[#This Row],[math score]:[writing score]])</f>
        <v>52</v>
      </c>
      <c r="K439" s="2">
        <f t="shared" si="12"/>
        <v>300</v>
      </c>
      <c r="L439" s="4">
        <f>Table1[[#This Row],[Total Score]]/Table1[[#This Row],[Minimum Mark]]</f>
        <v>0.52</v>
      </c>
      <c r="M439" s="70" t="str">
        <f>_xlfn.XLOOKUP(Table1[[#This Row],[Pass(%)]],O:O,P:P,,-1)</f>
        <v>D</v>
      </c>
    </row>
    <row r="440" spans="1:13" x14ac:dyDescent="0.35">
      <c r="A440" s="2" t="s">
        <v>17</v>
      </c>
      <c r="B440" s="2" t="s">
        <v>13</v>
      </c>
      <c r="C440" s="6" t="s">
        <v>23</v>
      </c>
      <c r="D440" s="6" t="s">
        <v>11</v>
      </c>
      <c r="E440" s="6" t="s">
        <v>12</v>
      </c>
      <c r="F440" s="6">
        <v>73</v>
      </c>
      <c r="G440" s="6">
        <v>66</v>
      </c>
      <c r="H440" s="6">
        <v>66</v>
      </c>
      <c r="I440" s="2">
        <f t="shared" si="13"/>
        <v>205</v>
      </c>
      <c r="J440" s="8">
        <f>AVERAGE(Table1[[#This Row],[math score]:[writing score]])</f>
        <v>68.333333333333329</v>
      </c>
      <c r="K440" s="2">
        <f t="shared" si="12"/>
        <v>300</v>
      </c>
      <c r="L440" s="4">
        <f>Table1[[#This Row],[Total Score]]/Table1[[#This Row],[Minimum Mark]]</f>
        <v>0.68333333333333335</v>
      </c>
      <c r="M440" s="70" t="str">
        <f>_xlfn.XLOOKUP(Table1[[#This Row],[Pass(%)]],O:O,P:P,,-1)</f>
        <v>D+</v>
      </c>
    </row>
    <row r="441" spans="1:13" x14ac:dyDescent="0.35">
      <c r="A441" s="2" t="s">
        <v>17</v>
      </c>
      <c r="B441" s="2" t="s">
        <v>13</v>
      </c>
      <c r="C441" s="6" t="s">
        <v>14</v>
      </c>
      <c r="D441" s="6" t="s">
        <v>20</v>
      </c>
      <c r="E441" s="6" t="s">
        <v>15</v>
      </c>
      <c r="F441" s="6">
        <v>50</v>
      </c>
      <c r="G441" s="6">
        <v>48</v>
      </c>
      <c r="H441" s="6">
        <v>53</v>
      </c>
      <c r="I441" s="2">
        <f t="shared" si="13"/>
        <v>151</v>
      </c>
      <c r="J441" s="8">
        <f>AVERAGE(Table1[[#This Row],[math score]:[writing score]])</f>
        <v>50.333333333333336</v>
      </c>
      <c r="K441" s="2">
        <f t="shared" si="12"/>
        <v>300</v>
      </c>
      <c r="L441" s="4">
        <f>Table1[[#This Row],[Total Score]]/Table1[[#This Row],[Minimum Mark]]</f>
        <v>0.5033333333333333</v>
      </c>
      <c r="M441" s="70" t="str">
        <f>_xlfn.XLOOKUP(Table1[[#This Row],[Pass(%)]],O:O,P:P,,-1)</f>
        <v>D</v>
      </c>
    </row>
    <row r="442" spans="1:13" ht="20.5" x14ac:dyDescent="0.8">
      <c r="A442" s="3" t="s">
        <v>17</v>
      </c>
      <c r="B442" s="3" t="s">
        <v>21</v>
      </c>
      <c r="C442" s="7" t="s">
        <v>19</v>
      </c>
      <c r="D442" s="7" t="s">
        <v>11</v>
      </c>
      <c r="E442" s="7" t="s">
        <v>12</v>
      </c>
      <c r="F442" s="7">
        <v>75</v>
      </c>
      <c r="G442" s="7">
        <v>68</v>
      </c>
      <c r="H442" s="7">
        <v>64</v>
      </c>
      <c r="I442" s="3">
        <f t="shared" si="13"/>
        <v>207</v>
      </c>
      <c r="J442" s="14">
        <f>AVERAGE(Table1[[#This Row],[math score]:[writing score]])</f>
        <v>69</v>
      </c>
      <c r="K442" s="3">
        <f t="shared" si="12"/>
        <v>300</v>
      </c>
      <c r="L442" s="5">
        <f>Table1[[#This Row],[Total Score]]/Table1[[#This Row],[Minimum Mark]]</f>
        <v>0.69</v>
      </c>
      <c r="M442" s="71" t="str">
        <f>_xlfn.XLOOKUP(Table1[[#This Row],[Pass(%)]],O:O,P:P,,-1)</f>
        <v>D+</v>
      </c>
    </row>
    <row r="443" spans="1:13" ht="20.5" x14ac:dyDescent="0.8">
      <c r="A443" s="3" t="s">
        <v>17</v>
      </c>
      <c r="B443" s="3" t="s">
        <v>21</v>
      </c>
      <c r="C443" s="7" t="s">
        <v>19</v>
      </c>
      <c r="D443" s="7" t="s">
        <v>20</v>
      </c>
      <c r="E443" s="7" t="s">
        <v>12</v>
      </c>
      <c r="F443" s="7">
        <v>75</v>
      </c>
      <c r="G443" s="7">
        <v>66</v>
      </c>
      <c r="H443" s="7">
        <v>73</v>
      </c>
      <c r="I443" s="3">
        <f t="shared" si="13"/>
        <v>214</v>
      </c>
      <c r="J443" s="14">
        <f>AVERAGE(Table1[[#This Row],[math score]:[writing score]])</f>
        <v>71.333333333333329</v>
      </c>
      <c r="K443" s="3">
        <f t="shared" si="12"/>
        <v>300</v>
      </c>
      <c r="L443" s="5">
        <f>Table1[[#This Row],[Total Score]]/Table1[[#This Row],[Minimum Mark]]</f>
        <v>0.71333333333333337</v>
      </c>
      <c r="M443" s="71" t="str">
        <f>_xlfn.XLOOKUP(Table1[[#This Row],[Pass(%)]],O:O,P:P,,-1)</f>
        <v>C-</v>
      </c>
    </row>
    <row r="444" spans="1:13" x14ac:dyDescent="0.35">
      <c r="A444" s="2" t="s">
        <v>17</v>
      </c>
      <c r="B444" s="2" t="s">
        <v>13</v>
      </c>
      <c r="C444" s="6" t="s">
        <v>22</v>
      </c>
      <c r="D444" s="6" t="s">
        <v>11</v>
      </c>
      <c r="E444" s="6" t="s">
        <v>12</v>
      </c>
      <c r="F444" s="6">
        <v>70</v>
      </c>
      <c r="G444" s="6">
        <v>56</v>
      </c>
      <c r="H444" s="6">
        <v>51</v>
      </c>
      <c r="I444" s="2">
        <f t="shared" si="13"/>
        <v>177</v>
      </c>
      <c r="J444" s="8">
        <f>AVERAGE(Table1[[#This Row],[math score]:[writing score]])</f>
        <v>59</v>
      </c>
      <c r="K444" s="2">
        <f t="shared" si="12"/>
        <v>300</v>
      </c>
      <c r="L444" s="4">
        <f>Table1[[#This Row],[Total Score]]/Table1[[#This Row],[Minimum Mark]]</f>
        <v>0.59</v>
      </c>
      <c r="M444" s="70" t="str">
        <f>_xlfn.XLOOKUP(Table1[[#This Row],[Pass(%)]],O:O,P:P,,-1)</f>
        <v>D+</v>
      </c>
    </row>
    <row r="445" spans="1:13" x14ac:dyDescent="0.35">
      <c r="A445" s="2" t="s">
        <v>17</v>
      </c>
      <c r="B445" s="2" t="s">
        <v>21</v>
      </c>
      <c r="C445" s="6" t="s">
        <v>23</v>
      </c>
      <c r="D445" s="6" t="s">
        <v>11</v>
      </c>
      <c r="E445" s="6" t="s">
        <v>15</v>
      </c>
      <c r="F445" s="6">
        <v>89</v>
      </c>
      <c r="G445" s="6">
        <v>88</v>
      </c>
      <c r="H445" s="6">
        <v>82</v>
      </c>
      <c r="I445" s="2">
        <f t="shared" si="13"/>
        <v>259</v>
      </c>
      <c r="J445" s="8">
        <f>AVERAGE(Table1[[#This Row],[math score]:[writing score]])</f>
        <v>86.333333333333329</v>
      </c>
      <c r="K445" s="2">
        <f t="shared" si="12"/>
        <v>300</v>
      </c>
      <c r="L445" s="4">
        <f>Table1[[#This Row],[Total Score]]/Table1[[#This Row],[Minimum Mark]]</f>
        <v>0.86333333333333329</v>
      </c>
      <c r="M445" s="70" t="str">
        <f>_xlfn.XLOOKUP(Table1[[#This Row],[Pass(%)]],O:O,P:P,,-1)</f>
        <v>B</v>
      </c>
    </row>
    <row r="446" spans="1:13" x14ac:dyDescent="0.35">
      <c r="A446" s="2" t="s">
        <v>8</v>
      </c>
      <c r="B446" s="2" t="s">
        <v>13</v>
      </c>
      <c r="C446" s="6" t="s">
        <v>14</v>
      </c>
      <c r="D446" s="6" t="s">
        <v>11</v>
      </c>
      <c r="E446" s="6" t="s">
        <v>15</v>
      </c>
      <c r="F446" s="6">
        <v>67</v>
      </c>
      <c r="G446" s="6">
        <v>81</v>
      </c>
      <c r="H446" s="6">
        <v>79</v>
      </c>
      <c r="I446" s="2">
        <f t="shared" si="13"/>
        <v>227</v>
      </c>
      <c r="J446" s="8">
        <f>AVERAGE(Table1[[#This Row],[math score]:[writing score]])</f>
        <v>75.666666666666671</v>
      </c>
      <c r="K446" s="2">
        <f t="shared" si="12"/>
        <v>300</v>
      </c>
      <c r="L446" s="4">
        <f>Table1[[#This Row],[Total Score]]/Table1[[#This Row],[Minimum Mark]]</f>
        <v>0.75666666666666671</v>
      </c>
      <c r="M446" s="70" t="str">
        <f>_xlfn.XLOOKUP(Table1[[#This Row],[Pass(%)]],O:O,P:P,,-1)</f>
        <v>C</v>
      </c>
    </row>
    <row r="447" spans="1:13" x14ac:dyDescent="0.35">
      <c r="A447" s="2" t="s">
        <v>8</v>
      </c>
      <c r="B447" s="2" t="s">
        <v>21</v>
      </c>
      <c r="C447" s="6" t="s">
        <v>22</v>
      </c>
      <c r="D447" s="6" t="s">
        <v>11</v>
      </c>
      <c r="E447" s="6" t="s">
        <v>12</v>
      </c>
      <c r="F447" s="6">
        <v>78</v>
      </c>
      <c r="G447" s="6">
        <v>81</v>
      </c>
      <c r="H447" s="6">
        <v>80</v>
      </c>
      <c r="I447" s="2">
        <f t="shared" si="13"/>
        <v>239</v>
      </c>
      <c r="J447" s="8">
        <f>AVERAGE(Table1[[#This Row],[math score]:[writing score]])</f>
        <v>79.666666666666671</v>
      </c>
      <c r="K447" s="2">
        <f t="shared" si="12"/>
        <v>300</v>
      </c>
      <c r="L447" s="4">
        <f>Table1[[#This Row],[Total Score]]/Table1[[#This Row],[Minimum Mark]]</f>
        <v>0.79666666666666663</v>
      </c>
      <c r="M447" s="70" t="str">
        <f>_xlfn.XLOOKUP(Table1[[#This Row],[Pass(%)]],O:O,P:P,,-1)</f>
        <v>C+</v>
      </c>
    </row>
    <row r="448" spans="1:13" x14ac:dyDescent="0.35">
      <c r="A448" s="2" t="s">
        <v>8</v>
      </c>
      <c r="B448" s="2" t="s">
        <v>18</v>
      </c>
      <c r="C448" s="6" t="s">
        <v>23</v>
      </c>
      <c r="D448" s="6" t="s">
        <v>20</v>
      </c>
      <c r="E448" s="6" t="s">
        <v>12</v>
      </c>
      <c r="F448" s="6">
        <v>59</v>
      </c>
      <c r="G448" s="6">
        <v>73</v>
      </c>
      <c r="H448" s="6">
        <v>69</v>
      </c>
      <c r="I448" s="2">
        <f t="shared" si="13"/>
        <v>201</v>
      </c>
      <c r="J448" s="8">
        <f>AVERAGE(Table1[[#This Row],[math score]:[writing score]])</f>
        <v>67</v>
      </c>
      <c r="K448" s="2">
        <f t="shared" si="12"/>
        <v>300</v>
      </c>
      <c r="L448" s="4">
        <f>Table1[[#This Row],[Total Score]]/Table1[[#This Row],[Minimum Mark]]</f>
        <v>0.67</v>
      </c>
      <c r="M448" s="70" t="str">
        <f>_xlfn.XLOOKUP(Table1[[#This Row],[Pass(%)]],O:O,P:P,,-1)</f>
        <v>D+</v>
      </c>
    </row>
    <row r="449" spans="1:13" ht="20.5" x14ac:dyDescent="0.8">
      <c r="A449" s="3" t="s">
        <v>8</v>
      </c>
      <c r="B449" s="3" t="s">
        <v>9</v>
      </c>
      <c r="C449" s="7" t="s">
        <v>19</v>
      </c>
      <c r="D449" s="7" t="s">
        <v>11</v>
      </c>
      <c r="E449" s="7" t="s">
        <v>12</v>
      </c>
      <c r="F449" s="7">
        <v>73</v>
      </c>
      <c r="G449" s="7">
        <v>83</v>
      </c>
      <c r="H449" s="7">
        <v>76</v>
      </c>
      <c r="I449" s="3">
        <f t="shared" si="13"/>
        <v>232</v>
      </c>
      <c r="J449" s="14">
        <f>AVERAGE(Table1[[#This Row],[math score]:[writing score]])</f>
        <v>77.333333333333329</v>
      </c>
      <c r="K449" s="3">
        <f t="shared" si="12"/>
        <v>300</v>
      </c>
      <c r="L449" s="5">
        <f>Table1[[#This Row],[Total Score]]/Table1[[#This Row],[Minimum Mark]]</f>
        <v>0.77333333333333332</v>
      </c>
      <c r="M449" s="71" t="str">
        <f>_xlfn.XLOOKUP(Table1[[#This Row],[Pass(%)]],O:O,P:P,,-1)</f>
        <v>C+</v>
      </c>
    </row>
    <row r="450" spans="1:13" x14ac:dyDescent="0.35">
      <c r="A450" s="2" t="s">
        <v>17</v>
      </c>
      <c r="B450" s="2" t="s">
        <v>18</v>
      </c>
      <c r="C450" s="6" t="s">
        <v>23</v>
      </c>
      <c r="D450" s="6" t="s">
        <v>20</v>
      </c>
      <c r="E450" s="6" t="s">
        <v>12</v>
      </c>
      <c r="F450" s="6">
        <v>79</v>
      </c>
      <c r="G450" s="6">
        <v>82</v>
      </c>
      <c r="H450" s="6">
        <v>73</v>
      </c>
      <c r="I450" s="2">
        <f t="shared" si="13"/>
        <v>234</v>
      </c>
      <c r="J450" s="8">
        <f>AVERAGE(Table1[[#This Row],[math score]:[writing score]])</f>
        <v>78</v>
      </c>
      <c r="K450" s="2">
        <f t="shared" si="12"/>
        <v>300</v>
      </c>
      <c r="L450" s="4">
        <f>Table1[[#This Row],[Total Score]]/Table1[[#This Row],[Minimum Mark]]</f>
        <v>0.78</v>
      </c>
      <c r="M450" s="70" t="str">
        <f>_xlfn.XLOOKUP(Table1[[#This Row],[Pass(%)]],O:O,P:P,,-1)</f>
        <v>C+</v>
      </c>
    </row>
    <row r="451" spans="1:13" x14ac:dyDescent="0.35">
      <c r="A451" s="2" t="s">
        <v>8</v>
      </c>
      <c r="B451" s="2" t="s">
        <v>13</v>
      </c>
      <c r="C451" s="6" t="s">
        <v>23</v>
      </c>
      <c r="D451" s="6" t="s">
        <v>11</v>
      </c>
      <c r="E451" s="6" t="s">
        <v>15</v>
      </c>
      <c r="F451" s="6">
        <v>67</v>
      </c>
      <c r="G451" s="6">
        <v>74</v>
      </c>
      <c r="H451" s="6">
        <v>77</v>
      </c>
      <c r="I451" s="2">
        <f t="shared" si="13"/>
        <v>218</v>
      </c>
      <c r="J451" s="8">
        <f>AVERAGE(Table1[[#This Row],[math score]:[writing score]])</f>
        <v>72.666666666666671</v>
      </c>
      <c r="K451" s="2">
        <f t="shared" si="12"/>
        <v>300</v>
      </c>
      <c r="L451" s="4">
        <f>Table1[[#This Row],[Total Score]]/Table1[[#This Row],[Minimum Mark]]</f>
        <v>0.72666666666666668</v>
      </c>
      <c r="M451" s="70" t="str">
        <f>_xlfn.XLOOKUP(Table1[[#This Row],[Pass(%)]],O:O,P:P,,-1)</f>
        <v>C-</v>
      </c>
    </row>
    <row r="452" spans="1:13" x14ac:dyDescent="0.35">
      <c r="A452" s="2" t="s">
        <v>17</v>
      </c>
      <c r="B452" s="2" t="s">
        <v>21</v>
      </c>
      <c r="C452" s="6" t="s">
        <v>14</v>
      </c>
      <c r="D452" s="6" t="s">
        <v>20</v>
      </c>
      <c r="E452" s="6" t="s">
        <v>12</v>
      </c>
      <c r="F452" s="6">
        <v>69</v>
      </c>
      <c r="G452" s="6">
        <v>66</v>
      </c>
      <c r="H452" s="6">
        <v>60</v>
      </c>
      <c r="I452" s="2">
        <f t="shared" si="13"/>
        <v>195</v>
      </c>
      <c r="J452" s="8">
        <f>AVERAGE(Table1[[#This Row],[math score]:[writing score]])</f>
        <v>65</v>
      </c>
      <c r="K452" s="2">
        <f t="shared" si="12"/>
        <v>300</v>
      </c>
      <c r="L452" s="4">
        <f>Table1[[#This Row],[Total Score]]/Table1[[#This Row],[Minimum Mark]]</f>
        <v>0.65</v>
      </c>
      <c r="M452" s="70" t="str">
        <f>_xlfn.XLOOKUP(Table1[[#This Row],[Pass(%)]],O:O,P:P,,-1)</f>
        <v>D+</v>
      </c>
    </row>
    <row r="453" spans="1:13" x14ac:dyDescent="0.35">
      <c r="A453" s="2" t="s">
        <v>17</v>
      </c>
      <c r="B453" s="2" t="s">
        <v>13</v>
      </c>
      <c r="C453" s="6" t="s">
        <v>22</v>
      </c>
      <c r="D453" s="6" t="s">
        <v>11</v>
      </c>
      <c r="E453" s="6" t="s">
        <v>15</v>
      </c>
      <c r="F453" s="6">
        <v>86</v>
      </c>
      <c r="G453" s="6">
        <v>81</v>
      </c>
      <c r="H453" s="6">
        <v>80</v>
      </c>
      <c r="I453" s="2">
        <f t="shared" si="13"/>
        <v>247</v>
      </c>
      <c r="J453" s="8">
        <f>AVERAGE(Table1[[#This Row],[math score]:[writing score]])</f>
        <v>82.333333333333329</v>
      </c>
      <c r="K453" s="2">
        <f t="shared" si="12"/>
        <v>300</v>
      </c>
      <c r="L453" s="4">
        <f>Table1[[#This Row],[Total Score]]/Table1[[#This Row],[Minimum Mark]]</f>
        <v>0.82333333333333336</v>
      </c>
      <c r="M453" s="70" t="str">
        <f>_xlfn.XLOOKUP(Table1[[#This Row],[Pass(%)]],O:O,P:P,,-1)</f>
        <v>B-</v>
      </c>
    </row>
    <row r="454" spans="1:13" x14ac:dyDescent="0.35">
      <c r="A454" s="2" t="s">
        <v>17</v>
      </c>
      <c r="B454" s="2" t="s">
        <v>9</v>
      </c>
      <c r="C454" s="6" t="s">
        <v>22</v>
      </c>
      <c r="D454" s="6" t="s">
        <v>11</v>
      </c>
      <c r="E454" s="6" t="s">
        <v>12</v>
      </c>
      <c r="F454" s="6">
        <v>47</v>
      </c>
      <c r="G454" s="6">
        <v>46</v>
      </c>
      <c r="H454" s="6">
        <v>42</v>
      </c>
      <c r="I454" s="2">
        <f t="shared" si="13"/>
        <v>135</v>
      </c>
      <c r="J454" s="8">
        <f>AVERAGE(Table1[[#This Row],[math score]:[writing score]])</f>
        <v>45</v>
      </c>
      <c r="K454" s="2">
        <f t="shared" ref="K454:K517" si="14">3*100</f>
        <v>300</v>
      </c>
      <c r="L454" s="4">
        <f>Table1[[#This Row],[Total Score]]/Table1[[#This Row],[Minimum Mark]]</f>
        <v>0.45</v>
      </c>
      <c r="M454" s="70" t="str">
        <f>_xlfn.XLOOKUP(Table1[[#This Row],[Pass(%)]],O:O,P:P,,-1)</f>
        <v>D</v>
      </c>
    </row>
    <row r="455" spans="1:13" ht="20.5" x14ac:dyDescent="0.8">
      <c r="A455" s="3" t="s">
        <v>17</v>
      </c>
      <c r="B455" s="3" t="s">
        <v>9</v>
      </c>
      <c r="C455" s="7" t="s">
        <v>19</v>
      </c>
      <c r="D455" s="7" t="s">
        <v>11</v>
      </c>
      <c r="E455" s="7" t="s">
        <v>12</v>
      </c>
      <c r="F455" s="7">
        <v>81</v>
      </c>
      <c r="G455" s="7">
        <v>73</v>
      </c>
      <c r="H455" s="7">
        <v>72</v>
      </c>
      <c r="I455" s="3">
        <f t="shared" ref="I455:I518" si="15">SUM(F455:H455)</f>
        <v>226</v>
      </c>
      <c r="J455" s="14">
        <f>AVERAGE(Table1[[#This Row],[math score]:[writing score]])</f>
        <v>75.333333333333329</v>
      </c>
      <c r="K455" s="3">
        <f t="shared" si="14"/>
        <v>300</v>
      </c>
      <c r="L455" s="5">
        <f>Table1[[#This Row],[Total Score]]/Table1[[#This Row],[Minimum Mark]]</f>
        <v>0.7533333333333333</v>
      </c>
      <c r="M455" s="71" t="str">
        <f>_xlfn.XLOOKUP(Table1[[#This Row],[Pass(%)]],O:O,P:P,,-1)</f>
        <v>C</v>
      </c>
    </row>
    <row r="456" spans="1:13" x14ac:dyDescent="0.35">
      <c r="A456" s="2" t="s">
        <v>8</v>
      </c>
      <c r="B456" s="2" t="s">
        <v>13</v>
      </c>
      <c r="C456" s="6" t="s">
        <v>14</v>
      </c>
      <c r="D456" s="6" t="s">
        <v>20</v>
      </c>
      <c r="E456" s="6" t="s">
        <v>15</v>
      </c>
      <c r="F456" s="6">
        <v>64</v>
      </c>
      <c r="G456" s="6">
        <v>85</v>
      </c>
      <c r="H456" s="6">
        <v>85</v>
      </c>
      <c r="I456" s="2">
        <f t="shared" si="15"/>
        <v>234</v>
      </c>
      <c r="J456" s="8">
        <f>AVERAGE(Table1[[#This Row],[math score]:[writing score]])</f>
        <v>78</v>
      </c>
      <c r="K456" s="2">
        <f t="shared" si="14"/>
        <v>300</v>
      </c>
      <c r="L456" s="4">
        <f>Table1[[#This Row],[Total Score]]/Table1[[#This Row],[Minimum Mark]]</f>
        <v>0.78</v>
      </c>
      <c r="M456" s="70" t="str">
        <f>_xlfn.XLOOKUP(Table1[[#This Row],[Pass(%)]],O:O,P:P,,-1)</f>
        <v>C+</v>
      </c>
    </row>
    <row r="457" spans="1:13" x14ac:dyDescent="0.35">
      <c r="A457" s="2" t="s">
        <v>8</v>
      </c>
      <c r="B457" s="2" t="s">
        <v>24</v>
      </c>
      <c r="C457" s="6" t="s">
        <v>14</v>
      </c>
      <c r="D457" s="6" t="s">
        <v>11</v>
      </c>
      <c r="E457" s="6" t="s">
        <v>12</v>
      </c>
      <c r="F457" s="6">
        <v>100</v>
      </c>
      <c r="G457" s="6">
        <v>92</v>
      </c>
      <c r="H457" s="6">
        <v>97</v>
      </c>
      <c r="I457" s="2">
        <f t="shared" si="15"/>
        <v>289</v>
      </c>
      <c r="J457" s="8">
        <f>AVERAGE(Table1[[#This Row],[math score]:[writing score]])</f>
        <v>96.333333333333329</v>
      </c>
      <c r="K457" s="2">
        <f t="shared" si="14"/>
        <v>300</v>
      </c>
      <c r="L457" s="4">
        <f>Table1[[#This Row],[Total Score]]/Table1[[#This Row],[Minimum Mark]]</f>
        <v>0.96333333333333337</v>
      </c>
      <c r="M457" s="70" t="str">
        <f>_xlfn.XLOOKUP(Table1[[#This Row],[Pass(%)]],O:O,P:P,,-1)</f>
        <v>A</v>
      </c>
    </row>
    <row r="458" spans="1:13" ht="20.5" x14ac:dyDescent="0.8">
      <c r="A458" s="3" t="s">
        <v>8</v>
      </c>
      <c r="B458" s="3" t="s">
        <v>13</v>
      </c>
      <c r="C458" s="7" t="s">
        <v>19</v>
      </c>
      <c r="D458" s="7" t="s">
        <v>20</v>
      </c>
      <c r="E458" s="7" t="s">
        <v>12</v>
      </c>
      <c r="F458" s="7">
        <v>65</v>
      </c>
      <c r="G458" s="7">
        <v>77</v>
      </c>
      <c r="H458" s="7">
        <v>74</v>
      </c>
      <c r="I458" s="3">
        <f t="shared" si="15"/>
        <v>216</v>
      </c>
      <c r="J458" s="14">
        <f>AVERAGE(Table1[[#This Row],[math score]:[writing score]])</f>
        <v>72</v>
      </c>
      <c r="K458" s="3">
        <f t="shared" si="14"/>
        <v>300</v>
      </c>
      <c r="L458" s="5">
        <f>Table1[[#This Row],[Total Score]]/Table1[[#This Row],[Minimum Mark]]</f>
        <v>0.72</v>
      </c>
      <c r="M458" s="71" t="str">
        <f>_xlfn.XLOOKUP(Table1[[#This Row],[Pass(%)]],O:O,P:P,,-1)</f>
        <v>C-</v>
      </c>
    </row>
    <row r="459" spans="1:13" x14ac:dyDescent="0.35">
      <c r="A459" s="2" t="s">
        <v>17</v>
      </c>
      <c r="B459" s="2" t="s">
        <v>13</v>
      </c>
      <c r="C459" s="6" t="s">
        <v>14</v>
      </c>
      <c r="D459" s="6" t="s">
        <v>20</v>
      </c>
      <c r="E459" s="6" t="s">
        <v>12</v>
      </c>
      <c r="F459" s="6">
        <v>65</v>
      </c>
      <c r="G459" s="6">
        <v>58</v>
      </c>
      <c r="H459" s="6">
        <v>49</v>
      </c>
      <c r="I459" s="2">
        <f t="shared" si="15"/>
        <v>172</v>
      </c>
      <c r="J459" s="8">
        <f>AVERAGE(Table1[[#This Row],[math score]:[writing score]])</f>
        <v>57.333333333333336</v>
      </c>
      <c r="K459" s="2">
        <f t="shared" si="14"/>
        <v>300</v>
      </c>
      <c r="L459" s="4">
        <f>Table1[[#This Row],[Total Score]]/Table1[[#This Row],[Minimum Mark]]</f>
        <v>0.57333333333333336</v>
      </c>
      <c r="M459" s="70" t="str">
        <f>_xlfn.XLOOKUP(Table1[[#This Row],[Pass(%)]],O:O,P:P,,-1)</f>
        <v>D+</v>
      </c>
    </row>
    <row r="460" spans="1:13" ht="20.5" x14ac:dyDescent="0.8">
      <c r="A460" s="3" t="s">
        <v>8</v>
      </c>
      <c r="B460" s="3" t="s">
        <v>13</v>
      </c>
      <c r="C460" s="7" t="s">
        <v>19</v>
      </c>
      <c r="D460" s="7" t="s">
        <v>20</v>
      </c>
      <c r="E460" s="7" t="s">
        <v>12</v>
      </c>
      <c r="F460" s="7">
        <v>53</v>
      </c>
      <c r="G460" s="7">
        <v>61</v>
      </c>
      <c r="H460" s="7">
        <v>62</v>
      </c>
      <c r="I460" s="3">
        <f t="shared" si="15"/>
        <v>176</v>
      </c>
      <c r="J460" s="14">
        <f>AVERAGE(Table1[[#This Row],[math score]:[writing score]])</f>
        <v>58.666666666666664</v>
      </c>
      <c r="K460" s="3">
        <f t="shared" si="14"/>
        <v>300</v>
      </c>
      <c r="L460" s="5">
        <f>Table1[[#This Row],[Total Score]]/Table1[[#This Row],[Minimum Mark]]</f>
        <v>0.58666666666666667</v>
      </c>
      <c r="M460" s="71" t="str">
        <f>_xlfn.XLOOKUP(Table1[[#This Row],[Pass(%)]],O:O,P:P,,-1)</f>
        <v>D+</v>
      </c>
    </row>
    <row r="461" spans="1:13" x14ac:dyDescent="0.35">
      <c r="A461" s="2" t="s">
        <v>17</v>
      </c>
      <c r="B461" s="2" t="s">
        <v>13</v>
      </c>
      <c r="C461" s="6" t="s">
        <v>10</v>
      </c>
      <c r="D461" s="6" t="s">
        <v>20</v>
      </c>
      <c r="E461" s="6" t="s">
        <v>12</v>
      </c>
      <c r="F461" s="6">
        <v>37</v>
      </c>
      <c r="G461" s="6">
        <v>56</v>
      </c>
      <c r="H461" s="6">
        <v>47</v>
      </c>
      <c r="I461" s="2">
        <f t="shared" si="15"/>
        <v>140</v>
      </c>
      <c r="J461" s="8">
        <f>AVERAGE(Table1[[#This Row],[math score]:[writing score]])</f>
        <v>46.666666666666664</v>
      </c>
      <c r="K461" s="2">
        <f t="shared" si="14"/>
        <v>300</v>
      </c>
      <c r="L461" s="4">
        <f>Table1[[#This Row],[Total Score]]/Table1[[#This Row],[Minimum Mark]]</f>
        <v>0.46666666666666667</v>
      </c>
      <c r="M461" s="70" t="str">
        <f>_xlfn.XLOOKUP(Table1[[#This Row],[Pass(%)]],O:O,P:P,,-1)</f>
        <v>D</v>
      </c>
    </row>
    <row r="462" spans="1:13" x14ac:dyDescent="0.35">
      <c r="A462" s="2" t="s">
        <v>8</v>
      </c>
      <c r="B462" s="2" t="s">
        <v>21</v>
      </c>
      <c r="C462" s="6" t="s">
        <v>10</v>
      </c>
      <c r="D462" s="6" t="s">
        <v>11</v>
      </c>
      <c r="E462" s="6" t="s">
        <v>12</v>
      </c>
      <c r="F462" s="6">
        <v>79</v>
      </c>
      <c r="G462" s="6">
        <v>89</v>
      </c>
      <c r="H462" s="6">
        <v>89</v>
      </c>
      <c r="I462" s="2">
        <f t="shared" si="15"/>
        <v>257</v>
      </c>
      <c r="J462" s="8">
        <f>AVERAGE(Table1[[#This Row],[math score]:[writing score]])</f>
        <v>85.666666666666671</v>
      </c>
      <c r="K462" s="2">
        <f t="shared" si="14"/>
        <v>300</v>
      </c>
      <c r="L462" s="4">
        <f>Table1[[#This Row],[Total Score]]/Table1[[#This Row],[Minimum Mark]]</f>
        <v>0.85666666666666669</v>
      </c>
      <c r="M462" s="70" t="str">
        <f>_xlfn.XLOOKUP(Table1[[#This Row],[Pass(%)]],O:O,P:P,,-1)</f>
        <v>B</v>
      </c>
    </row>
    <row r="463" spans="1:13" ht="20.5" x14ac:dyDescent="0.8">
      <c r="A463" s="3" t="s">
        <v>17</v>
      </c>
      <c r="B463" s="3" t="s">
        <v>21</v>
      </c>
      <c r="C463" s="7" t="s">
        <v>19</v>
      </c>
      <c r="D463" s="7" t="s">
        <v>20</v>
      </c>
      <c r="E463" s="7" t="s">
        <v>12</v>
      </c>
      <c r="F463" s="7">
        <v>53</v>
      </c>
      <c r="G463" s="7">
        <v>54</v>
      </c>
      <c r="H463" s="7">
        <v>48</v>
      </c>
      <c r="I463" s="3">
        <f t="shared" si="15"/>
        <v>155</v>
      </c>
      <c r="J463" s="14">
        <f>AVERAGE(Table1[[#This Row],[math score]:[writing score]])</f>
        <v>51.666666666666664</v>
      </c>
      <c r="K463" s="3">
        <f t="shared" si="14"/>
        <v>300</v>
      </c>
      <c r="L463" s="5">
        <f>Table1[[#This Row],[Total Score]]/Table1[[#This Row],[Minimum Mark]]</f>
        <v>0.51666666666666672</v>
      </c>
      <c r="M463" s="71" t="str">
        <f>_xlfn.XLOOKUP(Table1[[#This Row],[Pass(%)]],O:O,P:P,,-1)</f>
        <v>D</v>
      </c>
    </row>
    <row r="464" spans="1:13" x14ac:dyDescent="0.35">
      <c r="A464" s="2" t="s">
        <v>8</v>
      </c>
      <c r="B464" s="2" t="s">
        <v>24</v>
      </c>
      <c r="C464" s="6" t="s">
        <v>10</v>
      </c>
      <c r="D464" s="6" t="s">
        <v>11</v>
      </c>
      <c r="E464" s="6" t="s">
        <v>12</v>
      </c>
      <c r="F464" s="6">
        <v>100</v>
      </c>
      <c r="G464" s="6">
        <v>100</v>
      </c>
      <c r="H464" s="6">
        <v>100</v>
      </c>
      <c r="I464" s="2">
        <f t="shared" si="15"/>
        <v>300</v>
      </c>
      <c r="J464" s="8">
        <f>AVERAGE(Table1[[#This Row],[math score]:[writing score]])</f>
        <v>100</v>
      </c>
      <c r="K464" s="2">
        <f t="shared" si="14"/>
        <v>300</v>
      </c>
      <c r="L464" s="4">
        <f>Table1[[#This Row],[Total Score]]/Table1[[#This Row],[Minimum Mark]]</f>
        <v>1</v>
      </c>
      <c r="M464" s="70" t="str">
        <f>_xlfn.XLOOKUP(Table1[[#This Row],[Pass(%)]],O:O,P:P,,-1)</f>
        <v>A+</v>
      </c>
    </row>
    <row r="465" spans="1:13" x14ac:dyDescent="0.35">
      <c r="A465" s="2" t="s">
        <v>17</v>
      </c>
      <c r="B465" s="2" t="s">
        <v>9</v>
      </c>
      <c r="C465" s="6" t="s">
        <v>22</v>
      </c>
      <c r="D465" s="6" t="s">
        <v>11</v>
      </c>
      <c r="E465" s="6" t="s">
        <v>15</v>
      </c>
      <c r="F465" s="6">
        <v>72</v>
      </c>
      <c r="G465" s="6">
        <v>65</v>
      </c>
      <c r="H465" s="6">
        <v>68</v>
      </c>
      <c r="I465" s="2">
        <f t="shared" si="15"/>
        <v>205</v>
      </c>
      <c r="J465" s="8">
        <f>AVERAGE(Table1[[#This Row],[math score]:[writing score]])</f>
        <v>68.333333333333329</v>
      </c>
      <c r="K465" s="2">
        <f t="shared" si="14"/>
        <v>300</v>
      </c>
      <c r="L465" s="4">
        <f>Table1[[#This Row],[Total Score]]/Table1[[#This Row],[Minimum Mark]]</f>
        <v>0.68333333333333335</v>
      </c>
      <c r="M465" s="70" t="str">
        <f>_xlfn.XLOOKUP(Table1[[#This Row],[Pass(%)]],O:O,P:P,,-1)</f>
        <v>D+</v>
      </c>
    </row>
    <row r="466" spans="1:13" x14ac:dyDescent="0.35">
      <c r="A466" s="2" t="s">
        <v>17</v>
      </c>
      <c r="B466" s="2" t="s">
        <v>13</v>
      </c>
      <c r="C466" s="6" t="s">
        <v>10</v>
      </c>
      <c r="D466" s="6" t="s">
        <v>20</v>
      </c>
      <c r="E466" s="6" t="s">
        <v>12</v>
      </c>
      <c r="F466" s="6">
        <v>53</v>
      </c>
      <c r="G466" s="6">
        <v>58</v>
      </c>
      <c r="H466" s="6">
        <v>55</v>
      </c>
      <c r="I466" s="2">
        <f t="shared" si="15"/>
        <v>166</v>
      </c>
      <c r="J466" s="8">
        <f>AVERAGE(Table1[[#This Row],[math score]:[writing score]])</f>
        <v>55.333333333333336</v>
      </c>
      <c r="K466" s="2">
        <f t="shared" si="14"/>
        <v>300</v>
      </c>
      <c r="L466" s="4">
        <f>Table1[[#This Row],[Total Score]]/Table1[[#This Row],[Minimum Mark]]</f>
        <v>0.55333333333333334</v>
      </c>
      <c r="M466" s="70" t="str">
        <f>_xlfn.XLOOKUP(Table1[[#This Row],[Pass(%)]],O:O,P:P,,-1)</f>
        <v>D+</v>
      </c>
    </row>
    <row r="467" spans="1:13" x14ac:dyDescent="0.35">
      <c r="A467" s="2" t="s">
        <v>17</v>
      </c>
      <c r="B467" s="2" t="s">
        <v>9</v>
      </c>
      <c r="C467" s="6" t="s">
        <v>14</v>
      </c>
      <c r="D467" s="6" t="s">
        <v>20</v>
      </c>
      <c r="E467" s="6" t="s">
        <v>12</v>
      </c>
      <c r="F467" s="6">
        <v>54</v>
      </c>
      <c r="G467" s="6">
        <v>54</v>
      </c>
      <c r="H467" s="6">
        <v>45</v>
      </c>
      <c r="I467" s="2">
        <f t="shared" si="15"/>
        <v>153</v>
      </c>
      <c r="J467" s="8">
        <f>AVERAGE(Table1[[#This Row],[math score]:[writing score]])</f>
        <v>51</v>
      </c>
      <c r="K467" s="2">
        <f t="shared" si="14"/>
        <v>300</v>
      </c>
      <c r="L467" s="4">
        <f>Table1[[#This Row],[Total Score]]/Table1[[#This Row],[Minimum Mark]]</f>
        <v>0.51</v>
      </c>
      <c r="M467" s="70" t="str">
        <f>_xlfn.XLOOKUP(Table1[[#This Row],[Pass(%)]],O:O,P:P,,-1)</f>
        <v>D</v>
      </c>
    </row>
    <row r="468" spans="1:13" x14ac:dyDescent="0.35">
      <c r="A468" s="2" t="s">
        <v>8</v>
      </c>
      <c r="B468" s="2" t="s">
        <v>24</v>
      </c>
      <c r="C468" s="6" t="s">
        <v>14</v>
      </c>
      <c r="D468" s="6" t="s">
        <v>11</v>
      </c>
      <c r="E468" s="6" t="s">
        <v>12</v>
      </c>
      <c r="F468" s="6">
        <v>71</v>
      </c>
      <c r="G468" s="6">
        <v>70</v>
      </c>
      <c r="H468" s="6">
        <v>76</v>
      </c>
      <c r="I468" s="2">
        <f t="shared" si="15"/>
        <v>217</v>
      </c>
      <c r="J468" s="8">
        <f>AVERAGE(Table1[[#This Row],[math score]:[writing score]])</f>
        <v>72.333333333333329</v>
      </c>
      <c r="K468" s="2">
        <f t="shared" si="14"/>
        <v>300</v>
      </c>
      <c r="L468" s="4">
        <f>Table1[[#This Row],[Total Score]]/Table1[[#This Row],[Minimum Mark]]</f>
        <v>0.72333333333333338</v>
      </c>
      <c r="M468" s="70" t="str">
        <f>_xlfn.XLOOKUP(Table1[[#This Row],[Pass(%)]],O:O,P:P,,-1)</f>
        <v>C-</v>
      </c>
    </row>
    <row r="469" spans="1:13" x14ac:dyDescent="0.35">
      <c r="A469" s="2" t="s">
        <v>8</v>
      </c>
      <c r="B469" s="2" t="s">
        <v>13</v>
      </c>
      <c r="C469" s="6" t="s">
        <v>14</v>
      </c>
      <c r="D469" s="6" t="s">
        <v>20</v>
      </c>
      <c r="E469" s="6" t="s">
        <v>12</v>
      </c>
      <c r="F469" s="6">
        <v>77</v>
      </c>
      <c r="G469" s="6">
        <v>90</v>
      </c>
      <c r="H469" s="6">
        <v>91</v>
      </c>
      <c r="I469" s="2">
        <f t="shared" si="15"/>
        <v>258</v>
      </c>
      <c r="J469" s="8">
        <f>AVERAGE(Table1[[#This Row],[math score]:[writing score]])</f>
        <v>86</v>
      </c>
      <c r="K469" s="2">
        <f t="shared" si="14"/>
        <v>300</v>
      </c>
      <c r="L469" s="4">
        <f>Table1[[#This Row],[Total Score]]/Table1[[#This Row],[Minimum Mark]]</f>
        <v>0.86</v>
      </c>
      <c r="M469" s="70" t="str">
        <f>_xlfn.XLOOKUP(Table1[[#This Row],[Pass(%)]],O:O,P:P,,-1)</f>
        <v>B</v>
      </c>
    </row>
    <row r="470" spans="1:13" x14ac:dyDescent="0.35">
      <c r="A470" s="2" t="s">
        <v>17</v>
      </c>
      <c r="B470" s="2" t="s">
        <v>18</v>
      </c>
      <c r="C470" s="6" t="s">
        <v>10</v>
      </c>
      <c r="D470" s="6" t="s">
        <v>11</v>
      </c>
      <c r="E470" s="6" t="s">
        <v>15</v>
      </c>
      <c r="F470" s="6">
        <v>75</v>
      </c>
      <c r="G470" s="6">
        <v>58</v>
      </c>
      <c r="H470" s="6">
        <v>62</v>
      </c>
      <c r="I470" s="2">
        <f t="shared" si="15"/>
        <v>195</v>
      </c>
      <c r="J470" s="8">
        <f>AVERAGE(Table1[[#This Row],[math score]:[writing score]])</f>
        <v>65</v>
      </c>
      <c r="K470" s="2">
        <f t="shared" si="14"/>
        <v>300</v>
      </c>
      <c r="L470" s="4">
        <f>Table1[[#This Row],[Total Score]]/Table1[[#This Row],[Minimum Mark]]</f>
        <v>0.65</v>
      </c>
      <c r="M470" s="70" t="str">
        <f>_xlfn.XLOOKUP(Table1[[#This Row],[Pass(%)]],O:O,P:P,,-1)</f>
        <v>D+</v>
      </c>
    </row>
    <row r="471" spans="1:13" x14ac:dyDescent="0.35">
      <c r="A471" s="2" t="s">
        <v>8</v>
      </c>
      <c r="B471" s="2" t="s">
        <v>13</v>
      </c>
      <c r="C471" s="6" t="s">
        <v>14</v>
      </c>
      <c r="D471" s="6" t="s">
        <v>11</v>
      </c>
      <c r="E471" s="6" t="s">
        <v>12</v>
      </c>
      <c r="F471" s="6">
        <v>84</v>
      </c>
      <c r="G471" s="6">
        <v>87</v>
      </c>
      <c r="H471" s="6">
        <v>91</v>
      </c>
      <c r="I471" s="2">
        <f t="shared" si="15"/>
        <v>262</v>
      </c>
      <c r="J471" s="8">
        <f>AVERAGE(Table1[[#This Row],[math score]:[writing score]])</f>
        <v>87.333333333333329</v>
      </c>
      <c r="K471" s="2">
        <f t="shared" si="14"/>
        <v>300</v>
      </c>
      <c r="L471" s="4">
        <f>Table1[[#This Row],[Total Score]]/Table1[[#This Row],[Minimum Mark]]</f>
        <v>0.87333333333333329</v>
      </c>
      <c r="M471" s="70" t="str">
        <f>_xlfn.XLOOKUP(Table1[[#This Row],[Pass(%)]],O:O,P:P,,-1)</f>
        <v>B+</v>
      </c>
    </row>
    <row r="472" spans="1:13" ht="20.5" x14ac:dyDescent="0.8">
      <c r="A472" s="3" t="s">
        <v>8</v>
      </c>
      <c r="B472" s="3" t="s">
        <v>21</v>
      </c>
      <c r="C472" s="7" t="s">
        <v>19</v>
      </c>
      <c r="D472" s="7" t="s">
        <v>20</v>
      </c>
      <c r="E472" s="7" t="s">
        <v>12</v>
      </c>
      <c r="F472" s="7">
        <v>26</v>
      </c>
      <c r="G472" s="7">
        <v>31</v>
      </c>
      <c r="H472" s="7">
        <v>38</v>
      </c>
      <c r="I472" s="3">
        <f t="shared" si="15"/>
        <v>95</v>
      </c>
      <c r="J472" s="14">
        <f>AVERAGE(Table1[[#This Row],[math score]:[writing score]])</f>
        <v>31.666666666666668</v>
      </c>
      <c r="K472" s="3">
        <f t="shared" si="14"/>
        <v>300</v>
      </c>
      <c r="L472" s="5">
        <f>Table1[[#This Row],[Total Score]]/Table1[[#This Row],[Minimum Mark]]</f>
        <v>0.31666666666666665</v>
      </c>
      <c r="M472" s="71" t="str">
        <f>_xlfn.XLOOKUP(Table1[[#This Row],[Pass(%)]],O:O,P:P,,-1)</f>
        <v>D-</v>
      </c>
    </row>
    <row r="473" spans="1:13" x14ac:dyDescent="0.35">
      <c r="A473" s="2" t="s">
        <v>17</v>
      </c>
      <c r="B473" s="2" t="s">
        <v>18</v>
      </c>
      <c r="C473" s="6" t="s">
        <v>22</v>
      </c>
      <c r="D473" s="6" t="s">
        <v>20</v>
      </c>
      <c r="E473" s="6" t="s">
        <v>15</v>
      </c>
      <c r="F473" s="6">
        <v>72</v>
      </c>
      <c r="G473" s="6">
        <v>67</v>
      </c>
      <c r="H473" s="6">
        <v>65</v>
      </c>
      <c r="I473" s="2">
        <f t="shared" si="15"/>
        <v>204</v>
      </c>
      <c r="J473" s="8">
        <f>AVERAGE(Table1[[#This Row],[math score]:[writing score]])</f>
        <v>68</v>
      </c>
      <c r="K473" s="2">
        <f t="shared" si="14"/>
        <v>300</v>
      </c>
      <c r="L473" s="4">
        <f>Table1[[#This Row],[Total Score]]/Table1[[#This Row],[Minimum Mark]]</f>
        <v>0.68</v>
      </c>
      <c r="M473" s="70" t="str">
        <f>_xlfn.XLOOKUP(Table1[[#This Row],[Pass(%)]],O:O,P:P,,-1)</f>
        <v>D+</v>
      </c>
    </row>
    <row r="474" spans="1:13" x14ac:dyDescent="0.35">
      <c r="A474" s="2" t="s">
        <v>8</v>
      </c>
      <c r="B474" s="2" t="s">
        <v>18</v>
      </c>
      <c r="C474" s="6" t="s">
        <v>22</v>
      </c>
      <c r="D474" s="6" t="s">
        <v>20</v>
      </c>
      <c r="E474" s="6" t="s">
        <v>15</v>
      </c>
      <c r="F474" s="6">
        <v>77</v>
      </c>
      <c r="G474" s="6">
        <v>88</v>
      </c>
      <c r="H474" s="6">
        <v>85</v>
      </c>
      <c r="I474" s="2">
        <f t="shared" si="15"/>
        <v>250</v>
      </c>
      <c r="J474" s="8">
        <f>AVERAGE(Table1[[#This Row],[math score]:[writing score]])</f>
        <v>83.333333333333329</v>
      </c>
      <c r="K474" s="2">
        <f t="shared" si="14"/>
        <v>300</v>
      </c>
      <c r="L474" s="4">
        <f>Table1[[#This Row],[Total Score]]/Table1[[#This Row],[Minimum Mark]]</f>
        <v>0.83333333333333337</v>
      </c>
      <c r="M474" s="70" t="str">
        <f>_xlfn.XLOOKUP(Table1[[#This Row],[Pass(%)]],O:O,P:P,,-1)</f>
        <v>B</v>
      </c>
    </row>
    <row r="475" spans="1:13" x14ac:dyDescent="0.35">
      <c r="A475" s="2" t="s">
        <v>17</v>
      </c>
      <c r="B475" s="2" t="s">
        <v>13</v>
      </c>
      <c r="C475" s="6" t="s">
        <v>14</v>
      </c>
      <c r="D475" s="6" t="s">
        <v>11</v>
      </c>
      <c r="E475" s="6" t="s">
        <v>12</v>
      </c>
      <c r="F475" s="6">
        <v>91</v>
      </c>
      <c r="G475" s="6">
        <v>74</v>
      </c>
      <c r="H475" s="6">
        <v>76</v>
      </c>
      <c r="I475" s="2">
        <f t="shared" si="15"/>
        <v>241</v>
      </c>
      <c r="J475" s="8">
        <f>AVERAGE(Table1[[#This Row],[math score]:[writing score]])</f>
        <v>80.333333333333329</v>
      </c>
      <c r="K475" s="2">
        <f t="shared" si="14"/>
        <v>300</v>
      </c>
      <c r="L475" s="4">
        <f>Table1[[#This Row],[Total Score]]/Table1[[#This Row],[Minimum Mark]]</f>
        <v>0.80333333333333334</v>
      </c>
      <c r="M475" s="70" t="str">
        <f>_xlfn.XLOOKUP(Table1[[#This Row],[Pass(%)]],O:O,P:P,,-1)</f>
        <v>B-</v>
      </c>
    </row>
    <row r="476" spans="1:13" ht="20.5" x14ac:dyDescent="0.8">
      <c r="A476" s="3" t="s">
        <v>8</v>
      </c>
      <c r="B476" s="3" t="s">
        <v>13</v>
      </c>
      <c r="C476" s="7" t="s">
        <v>19</v>
      </c>
      <c r="D476" s="7" t="s">
        <v>11</v>
      </c>
      <c r="E476" s="7" t="s">
        <v>15</v>
      </c>
      <c r="F476" s="7">
        <v>83</v>
      </c>
      <c r="G476" s="7">
        <v>85</v>
      </c>
      <c r="H476" s="7">
        <v>90</v>
      </c>
      <c r="I476" s="3">
        <f t="shared" si="15"/>
        <v>258</v>
      </c>
      <c r="J476" s="14">
        <f>AVERAGE(Table1[[#This Row],[math score]:[writing score]])</f>
        <v>86</v>
      </c>
      <c r="K476" s="3">
        <f t="shared" si="14"/>
        <v>300</v>
      </c>
      <c r="L476" s="5">
        <f>Table1[[#This Row],[Total Score]]/Table1[[#This Row],[Minimum Mark]]</f>
        <v>0.86</v>
      </c>
      <c r="M476" s="71" t="str">
        <f>_xlfn.XLOOKUP(Table1[[#This Row],[Pass(%)]],O:O,P:P,,-1)</f>
        <v>B</v>
      </c>
    </row>
    <row r="477" spans="1:13" x14ac:dyDescent="0.35">
      <c r="A477" s="2" t="s">
        <v>8</v>
      </c>
      <c r="B477" s="2" t="s">
        <v>13</v>
      </c>
      <c r="C477" s="6" t="s">
        <v>22</v>
      </c>
      <c r="D477" s="6" t="s">
        <v>11</v>
      </c>
      <c r="E477" s="6" t="s">
        <v>12</v>
      </c>
      <c r="F477" s="6">
        <v>63</v>
      </c>
      <c r="G477" s="6">
        <v>69</v>
      </c>
      <c r="H477" s="6">
        <v>74</v>
      </c>
      <c r="I477" s="2">
        <f t="shared" si="15"/>
        <v>206</v>
      </c>
      <c r="J477" s="8">
        <f>AVERAGE(Table1[[#This Row],[math score]:[writing score]])</f>
        <v>68.666666666666671</v>
      </c>
      <c r="K477" s="2">
        <f t="shared" si="14"/>
        <v>300</v>
      </c>
      <c r="L477" s="4">
        <f>Table1[[#This Row],[Total Score]]/Table1[[#This Row],[Minimum Mark]]</f>
        <v>0.68666666666666665</v>
      </c>
      <c r="M477" s="70" t="str">
        <f>_xlfn.XLOOKUP(Table1[[#This Row],[Pass(%)]],O:O,P:P,,-1)</f>
        <v>D+</v>
      </c>
    </row>
    <row r="478" spans="1:13" ht="20.5" x14ac:dyDescent="0.8">
      <c r="A478" s="3" t="s">
        <v>8</v>
      </c>
      <c r="B478" s="3" t="s">
        <v>13</v>
      </c>
      <c r="C478" s="7" t="s">
        <v>19</v>
      </c>
      <c r="D478" s="7" t="s">
        <v>11</v>
      </c>
      <c r="E478" s="7" t="s">
        <v>15</v>
      </c>
      <c r="F478" s="7">
        <v>68</v>
      </c>
      <c r="G478" s="7">
        <v>86</v>
      </c>
      <c r="H478" s="7">
        <v>84</v>
      </c>
      <c r="I478" s="3">
        <f t="shared" si="15"/>
        <v>238</v>
      </c>
      <c r="J478" s="14">
        <f>AVERAGE(Table1[[#This Row],[math score]:[writing score]])</f>
        <v>79.333333333333329</v>
      </c>
      <c r="K478" s="3">
        <f t="shared" si="14"/>
        <v>300</v>
      </c>
      <c r="L478" s="5">
        <f>Table1[[#This Row],[Total Score]]/Table1[[#This Row],[Minimum Mark]]</f>
        <v>0.79333333333333333</v>
      </c>
      <c r="M478" s="71" t="str">
        <f>_xlfn.XLOOKUP(Table1[[#This Row],[Pass(%)]],O:O,P:P,,-1)</f>
        <v>C+</v>
      </c>
    </row>
    <row r="479" spans="1:13" x14ac:dyDescent="0.35">
      <c r="A479" s="2" t="s">
        <v>8</v>
      </c>
      <c r="B479" s="2" t="s">
        <v>21</v>
      </c>
      <c r="C479" s="6" t="s">
        <v>23</v>
      </c>
      <c r="D479" s="6" t="s">
        <v>11</v>
      </c>
      <c r="E479" s="6" t="s">
        <v>12</v>
      </c>
      <c r="F479" s="6">
        <v>59</v>
      </c>
      <c r="G479" s="6">
        <v>67</v>
      </c>
      <c r="H479" s="6">
        <v>61</v>
      </c>
      <c r="I479" s="2">
        <f t="shared" si="15"/>
        <v>187</v>
      </c>
      <c r="J479" s="8">
        <f>AVERAGE(Table1[[#This Row],[math score]:[writing score]])</f>
        <v>62.333333333333336</v>
      </c>
      <c r="K479" s="2">
        <f t="shared" si="14"/>
        <v>300</v>
      </c>
      <c r="L479" s="4">
        <f>Table1[[#This Row],[Total Score]]/Table1[[#This Row],[Minimum Mark]]</f>
        <v>0.62333333333333329</v>
      </c>
      <c r="M479" s="70" t="str">
        <f>_xlfn.XLOOKUP(Table1[[#This Row],[Pass(%)]],O:O,P:P,,-1)</f>
        <v>D+</v>
      </c>
    </row>
    <row r="480" spans="1:13" ht="20.5" x14ac:dyDescent="0.8">
      <c r="A480" s="3" t="s">
        <v>8</v>
      </c>
      <c r="B480" s="3" t="s">
        <v>9</v>
      </c>
      <c r="C480" s="7" t="s">
        <v>19</v>
      </c>
      <c r="D480" s="7" t="s">
        <v>11</v>
      </c>
      <c r="E480" s="7" t="s">
        <v>15</v>
      </c>
      <c r="F480" s="7">
        <v>90</v>
      </c>
      <c r="G480" s="7">
        <v>90</v>
      </c>
      <c r="H480" s="7">
        <v>91</v>
      </c>
      <c r="I480" s="3">
        <f t="shared" si="15"/>
        <v>271</v>
      </c>
      <c r="J480" s="14">
        <f>AVERAGE(Table1[[#This Row],[math score]:[writing score]])</f>
        <v>90.333333333333329</v>
      </c>
      <c r="K480" s="3">
        <f t="shared" si="14"/>
        <v>300</v>
      </c>
      <c r="L480" s="5">
        <f>Table1[[#This Row],[Total Score]]/Table1[[#This Row],[Minimum Mark]]</f>
        <v>0.90333333333333332</v>
      </c>
      <c r="M480" s="71" t="str">
        <f>_xlfn.XLOOKUP(Table1[[#This Row],[Pass(%)]],O:O,P:P,,-1)</f>
        <v>A-</v>
      </c>
    </row>
    <row r="481" spans="1:13" x14ac:dyDescent="0.35">
      <c r="A481" s="2" t="s">
        <v>8</v>
      </c>
      <c r="B481" s="2" t="s">
        <v>21</v>
      </c>
      <c r="C481" s="6" t="s">
        <v>10</v>
      </c>
      <c r="D481" s="6" t="s">
        <v>11</v>
      </c>
      <c r="E481" s="6" t="s">
        <v>15</v>
      </c>
      <c r="F481" s="6">
        <v>71</v>
      </c>
      <c r="G481" s="6">
        <v>76</v>
      </c>
      <c r="H481" s="6">
        <v>83</v>
      </c>
      <c r="I481" s="2">
        <f t="shared" si="15"/>
        <v>230</v>
      </c>
      <c r="J481" s="8">
        <f>AVERAGE(Table1[[#This Row],[math score]:[writing score]])</f>
        <v>76.666666666666671</v>
      </c>
      <c r="K481" s="2">
        <f t="shared" si="14"/>
        <v>300</v>
      </c>
      <c r="L481" s="4">
        <f>Table1[[#This Row],[Total Score]]/Table1[[#This Row],[Minimum Mark]]</f>
        <v>0.76666666666666672</v>
      </c>
      <c r="M481" s="70" t="str">
        <f>_xlfn.XLOOKUP(Table1[[#This Row],[Pass(%)]],O:O,P:P,,-1)</f>
        <v>C</v>
      </c>
    </row>
    <row r="482" spans="1:13" x14ac:dyDescent="0.35">
      <c r="A482" s="2" t="s">
        <v>17</v>
      </c>
      <c r="B482" s="2" t="s">
        <v>24</v>
      </c>
      <c r="C482" s="6" t="s">
        <v>10</v>
      </c>
      <c r="D482" s="6" t="s">
        <v>11</v>
      </c>
      <c r="E482" s="6" t="s">
        <v>15</v>
      </c>
      <c r="F482" s="6">
        <v>76</v>
      </c>
      <c r="G482" s="6">
        <v>62</v>
      </c>
      <c r="H482" s="6">
        <v>66</v>
      </c>
      <c r="I482" s="2">
        <f t="shared" si="15"/>
        <v>204</v>
      </c>
      <c r="J482" s="8">
        <f>AVERAGE(Table1[[#This Row],[math score]:[writing score]])</f>
        <v>68</v>
      </c>
      <c r="K482" s="2">
        <f t="shared" si="14"/>
        <v>300</v>
      </c>
      <c r="L482" s="4">
        <f>Table1[[#This Row],[Total Score]]/Table1[[#This Row],[Minimum Mark]]</f>
        <v>0.68</v>
      </c>
      <c r="M482" s="70" t="str">
        <f>_xlfn.XLOOKUP(Table1[[#This Row],[Pass(%)]],O:O,P:P,,-1)</f>
        <v>D+</v>
      </c>
    </row>
    <row r="483" spans="1:13" ht="20.5" x14ac:dyDescent="0.8">
      <c r="A483" s="3" t="s">
        <v>17</v>
      </c>
      <c r="B483" s="3" t="s">
        <v>21</v>
      </c>
      <c r="C483" s="7" t="s">
        <v>19</v>
      </c>
      <c r="D483" s="7" t="s">
        <v>11</v>
      </c>
      <c r="E483" s="7" t="s">
        <v>12</v>
      </c>
      <c r="F483" s="7">
        <v>80</v>
      </c>
      <c r="G483" s="7">
        <v>68</v>
      </c>
      <c r="H483" s="7">
        <v>72</v>
      </c>
      <c r="I483" s="3">
        <f t="shared" si="15"/>
        <v>220</v>
      </c>
      <c r="J483" s="14">
        <f>AVERAGE(Table1[[#This Row],[math score]:[writing score]])</f>
        <v>73.333333333333329</v>
      </c>
      <c r="K483" s="3">
        <f t="shared" si="14"/>
        <v>300</v>
      </c>
      <c r="L483" s="5">
        <f>Table1[[#This Row],[Total Score]]/Table1[[#This Row],[Minimum Mark]]</f>
        <v>0.73333333333333328</v>
      </c>
      <c r="M483" s="71" t="str">
        <f>_xlfn.XLOOKUP(Table1[[#This Row],[Pass(%)]],O:O,P:P,,-1)</f>
        <v>C</v>
      </c>
    </row>
    <row r="484" spans="1:13" x14ac:dyDescent="0.35">
      <c r="A484" s="2" t="s">
        <v>8</v>
      </c>
      <c r="B484" s="2" t="s">
        <v>21</v>
      </c>
      <c r="C484" s="6" t="s">
        <v>16</v>
      </c>
      <c r="D484" s="6" t="s">
        <v>11</v>
      </c>
      <c r="E484" s="6" t="s">
        <v>12</v>
      </c>
      <c r="F484" s="6">
        <v>55</v>
      </c>
      <c r="G484" s="6">
        <v>64</v>
      </c>
      <c r="H484" s="6">
        <v>70</v>
      </c>
      <c r="I484" s="2">
        <f t="shared" si="15"/>
        <v>189</v>
      </c>
      <c r="J484" s="8">
        <f>AVERAGE(Table1[[#This Row],[math score]:[writing score]])</f>
        <v>63</v>
      </c>
      <c r="K484" s="2">
        <f t="shared" si="14"/>
        <v>300</v>
      </c>
      <c r="L484" s="4">
        <f>Table1[[#This Row],[Total Score]]/Table1[[#This Row],[Minimum Mark]]</f>
        <v>0.63</v>
      </c>
      <c r="M484" s="70" t="str">
        <f>_xlfn.XLOOKUP(Table1[[#This Row],[Pass(%)]],O:O,P:P,,-1)</f>
        <v>D+</v>
      </c>
    </row>
    <row r="485" spans="1:13" ht="20.5" x14ac:dyDescent="0.8">
      <c r="A485" s="3" t="s">
        <v>17</v>
      </c>
      <c r="B485" s="3" t="s">
        <v>24</v>
      </c>
      <c r="C485" s="7" t="s">
        <v>19</v>
      </c>
      <c r="D485" s="7" t="s">
        <v>11</v>
      </c>
      <c r="E485" s="7" t="s">
        <v>12</v>
      </c>
      <c r="F485" s="7">
        <v>76</v>
      </c>
      <c r="G485" s="7">
        <v>71</v>
      </c>
      <c r="H485" s="7">
        <v>67</v>
      </c>
      <c r="I485" s="3">
        <f t="shared" si="15"/>
        <v>214</v>
      </c>
      <c r="J485" s="14">
        <f>AVERAGE(Table1[[#This Row],[math score]:[writing score]])</f>
        <v>71.333333333333329</v>
      </c>
      <c r="K485" s="3">
        <f t="shared" si="14"/>
        <v>300</v>
      </c>
      <c r="L485" s="5">
        <f>Table1[[#This Row],[Total Score]]/Table1[[#This Row],[Minimum Mark]]</f>
        <v>0.71333333333333337</v>
      </c>
      <c r="M485" s="71" t="str">
        <f>_xlfn.XLOOKUP(Table1[[#This Row],[Pass(%)]],O:O,P:P,,-1)</f>
        <v>C-</v>
      </c>
    </row>
    <row r="486" spans="1:13" x14ac:dyDescent="0.35">
      <c r="A486" s="2" t="s">
        <v>17</v>
      </c>
      <c r="B486" s="2" t="s">
        <v>9</v>
      </c>
      <c r="C486" s="6" t="s">
        <v>22</v>
      </c>
      <c r="D486" s="6" t="s">
        <v>11</v>
      </c>
      <c r="E486" s="6" t="s">
        <v>15</v>
      </c>
      <c r="F486" s="6">
        <v>73</v>
      </c>
      <c r="G486" s="6">
        <v>71</v>
      </c>
      <c r="H486" s="6">
        <v>68</v>
      </c>
      <c r="I486" s="2">
        <f t="shared" si="15"/>
        <v>212</v>
      </c>
      <c r="J486" s="8">
        <f>AVERAGE(Table1[[#This Row],[math score]:[writing score]])</f>
        <v>70.666666666666671</v>
      </c>
      <c r="K486" s="2">
        <f t="shared" si="14"/>
        <v>300</v>
      </c>
      <c r="L486" s="4">
        <f>Table1[[#This Row],[Total Score]]/Table1[[#This Row],[Minimum Mark]]</f>
        <v>0.70666666666666667</v>
      </c>
      <c r="M486" s="70" t="str">
        <f>_xlfn.XLOOKUP(Table1[[#This Row],[Pass(%)]],O:O,P:P,,-1)</f>
        <v>C-</v>
      </c>
    </row>
    <row r="487" spans="1:13" ht="20.5" x14ac:dyDescent="0.8">
      <c r="A487" s="3" t="s">
        <v>8</v>
      </c>
      <c r="B487" s="3" t="s">
        <v>21</v>
      </c>
      <c r="C487" s="7" t="s">
        <v>19</v>
      </c>
      <c r="D487" s="7" t="s">
        <v>20</v>
      </c>
      <c r="E487" s="7" t="s">
        <v>12</v>
      </c>
      <c r="F487" s="7">
        <v>52</v>
      </c>
      <c r="G487" s="7">
        <v>59</v>
      </c>
      <c r="H487" s="7">
        <v>56</v>
      </c>
      <c r="I487" s="3">
        <f t="shared" si="15"/>
        <v>167</v>
      </c>
      <c r="J487" s="14">
        <f>AVERAGE(Table1[[#This Row],[math score]:[writing score]])</f>
        <v>55.666666666666664</v>
      </c>
      <c r="K487" s="3">
        <f t="shared" si="14"/>
        <v>300</v>
      </c>
      <c r="L487" s="5">
        <f>Table1[[#This Row],[Total Score]]/Table1[[#This Row],[Minimum Mark]]</f>
        <v>0.55666666666666664</v>
      </c>
      <c r="M487" s="71" t="str">
        <f>_xlfn.XLOOKUP(Table1[[#This Row],[Pass(%)]],O:O,P:P,,-1)</f>
        <v>D+</v>
      </c>
    </row>
    <row r="488" spans="1:13" x14ac:dyDescent="0.35">
      <c r="A488" s="2" t="s">
        <v>17</v>
      </c>
      <c r="B488" s="2" t="s">
        <v>13</v>
      </c>
      <c r="C488" s="6" t="s">
        <v>14</v>
      </c>
      <c r="D488" s="6" t="s">
        <v>20</v>
      </c>
      <c r="E488" s="6" t="s">
        <v>12</v>
      </c>
      <c r="F488" s="6">
        <v>68</v>
      </c>
      <c r="G488" s="6">
        <v>68</v>
      </c>
      <c r="H488" s="6">
        <v>61</v>
      </c>
      <c r="I488" s="2">
        <f t="shared" si="15"/>
        <v>197</v>
      </c>
      <c r="J488" s="8">
        <f>AVERAGE(Table1[[#This Row],[math score]:[writing score]])</f>
        <v>65.666666666666671</v>
      </c>
      <c r="K488" s="2">
        <f t="shared" si="14"/>
        <v>300</v>
      </c>
      <c r="L488" s="4">
        <f>Table1[[#This Row],[Total Score]]/Table1[[#This Row],[Minimum Mark]]</f>
        <v>0.65666666666666662</v>
      </c>
      <c r="M488" s="70" t="str">
        <f>_xlfn.XLOOKUP(Table1[[#This Row],[Pass(%)]],O:O,P:P,,-1)</f>
        <v>D+</v>
      </c>
    </row>
    <row r="489" spans="1:13" x14ac:dyDescent="0.35">
      <c r="A489" s="2" t="s">
        <v>17</v>
      </c>
      <c r="B489" s="2" t="s">
        <v>18</v>
      </c>
      <c r="C489" s="6" t="s">
        <v>22</v>
      </c>
      <c r="D489" s="6" t="s">
        <v>11</v>
      </c>
      <c r="E489" s="6" t="s">
        <v>12</v>
      </c>
      <c r="F489" s="6">
        <v>59</v>
      </c>
      <c r="G489" s="6">
        <v>52</v>
      </c>
      <c r="H489" s="6">
        <v>46</v>
      </c>
      <c r="I489" s="2">
        <f t="shared" si="15"/>
        <v>157</v>
      </c>
      <c r="J489" s="8">
        <f>AVERAGE(Table1[[#This Row],[math score]:[writing score]])</f>
        <v>52.333333333333336</v>
      </c>
      <c r="K489" s="2">
        <f t="shared" si="14"/>
        <v>300</v>
      </c>
      <c r="L489" s="4">
        <f>Table1[[#This Row],[Total Score]]/Table1[[#This Row],[Minimum Mark]]</f>
        <v>0.52333333333333332</v>
      </c>
      <c r="M489" s="70" t="str">
        <f>_xlfn.XLOOKUP(Table1[[#This Row],[Pass(%)]],O:O,P:P,,-1)</f>
        <v>D</v>
      </c>
    </row>
    <row r="490" spans="1:13" ht="20.5" x14ac:dyDescent="0.8">
      <c r="A490" s="3" t="s">
        <v>8</v>
      </c>
      <c r="B490" s="3" t="s">
        <v>9</v>
      </c>
      <c r="C490" s="7" t="s">
        <v>19</v>
      </c>
      <c r="D490" s="7" t="s">
        <v>11</v>
      </c>
      <c r="E490" s="7" t="s">
        <v>12</v>
      </c>
      <c r="F490" s="7">
        <v>49</v>
      </c>
      <c r="G490" s="7">
        <v>52</v>
      </c>
      <c r="H490" s="7">
        <v>54</v>
      </c>
      <c r="I490" s="3">
        <f t="shared" si="15"/>
        <v>155</v>
      </c>
      <c r="J490" s="14">
        <f>AVERAGE(Table1[[#This Row],[math score]:[writing score]])</f>
        <v>51.666666666666664</v>
      </c>
      <c r="K490" s="3">
        <f t="shared" si="14"/>
        <v>300</v>
      </c>
      <c r="L490" s="5">
        <f>Table1[[#This Row],[Total Score]]/Table1[[#This Row],[Minimum Mark]]</f>
        <v>0.51666666666666672</v>
      </c>
      <c r="M490" s="71" t="str">
        <f>_xlfn.XLOOKUP(Table1[[#This Row],[Pass(%)]],O:O,P:P,,-1)</f>
        <v>D</v>
      </c>
    </row>
    <row r="491" spans="1:13" x14ac:dyDescent="0.35">
      <c r="A491" s="2" t="s">
        <v>17</v>
      </c>
      <c r="B491" s="2" t="s">
        <v>13</v>
      </c>
      <c r="C491" s="6" t="s">
        <v>22</v>
      </c>
      <c r="D491" s="6" t="s">
        <v>11</v>
      </c>
      <c r="E491" s="6" t="s">
        <v>12</v>
      </c>
      <c r="F491" s="6">
        <v>70</v>
      </c>
      <c r="G491" s="6">
        <v>74</v>
      </c>
      <c r="H491" s="6">
        <v>71</v>
      </c>
      <c r="I491" s="2">
        <f t="shared" si="15"/>
        <v>215</v>
      </c>
      <c r="J491" s="8">
        <f>AVERAGE(Table1[[#This Row],[math score]:[writing score]])</f>
        <v>71.666666666666671</v>
      </c>
      <c r="K491" s="2">
        <f t="shared" si="14"/>
        <v>300</v>
      </c>
      <c r="L491" s="4">
        <f>Table1[[#This Row],[Total Score]]/Table1[[#This Row],[Minimum Mark]]</f>
        <v>0.71666666666666667</v>
      </c>
      <c r="M491" s="70" t="str">
        <f>_xlfn.XLOOKUP(Table1[[#This Row],[Pass(%)]],O:O,P:P,,-1)</f>
        <v>C-</v>
      </c>
    </row>
    <row r="492" spans="1:13" x14ac:dyDescent="0.35">
      <c r="A492" s="2" t="s">
        <v>17</v>
      </c>
      <c r="B492" s="2" t="s">
        <v>21</v>
      </c>
      <c r="C492" s="6" t="s">
        <v>14</v>
      </c>
      <c r="D492" s="6" t="s">
        <v>20</v>
      </c>
      <c r="E492" s="6" t="s">
        <v>12</v>
      </c>
      <c r="F492" s="6">
        <v>61</v>
      </c>
      <c r="G492" s="6">
        <v>47</v>
      </c>
      <c r="H492" s="6">
        <v>56</v>
      </c>
      <c r="I492" s="2">
        <f t="shared" si="15"/>
        <v>164</v>
      </c>
      <c r="J492" s="8">
        <f>AVERAGE(Table1[[#This Row],[math score]:[writing score]])</f>
        <v>54.666666666666664</v>
      </c>
      <c r="K492" s="2">
        <f t="shared" si="14"/>
        <v>300</v>
      </c>
      <c r="L492" s="4">
        <f>Table1[[#This Row],[Total Score]]/Table1[[#This Row],[Minimum Mark]]</f>
        <v>0.54666666666666663</v>
      </c>
      <c r="M492" s="70" t="str">
        <f>_xlfn.XLOOKUP(Table1[[#This Row],[Pass(%)]],O:O,P:P,,-1)</f>
        <v>D+</v>
      </c>
    </row>
    <row r="493" spans="1:13" ht="20.5" x14ac:dyDescent="0.8">
      <c r="A493" s="3" t="s">
        <v>8</v>
      </c>
      <c r="B493" s="3" t="s">
        <v>13</v>
      </c>
      <c r="C493" s="7" t="s">
        <v>19</v>
      </c>
      <c r="D493" s="7" t="s">
        <v>20</v>
      </c>
      <c r="E493" s="7" t="s">
        <v>12</v>
      </c>
      <c r="F493" s="7">
        <v>60</v>
      </c>
      <c r="G493" s="7">
        <v>75</v>
      </c>
      <c r="H493" s="7">
        <v>74</v>
      </c>
      <c r="I493" s="3">
        <f t="shared" si="15"/>
        <v>209</v>
      </c>
      <c r="J493" s="14">
        <f>AVERAGE(Table1[[#This Row],[math score]:[writing score]])</f>
        <v>69.666666666666671</v>
      </c>
      <c r="K493" s="3">
        <f t="shared" si="14"/>
        <v>300</v>
      </c>
      <c r="L493" s="5">
        <f>Table1[[#This Row],[Total Score]]/Table1[[#This Row],[Minimum Mark]]</f>
        <v>0.69666666666666666</v>
      </c>
      <c r="M493" s="71" t="str">
        <f>_xlfn.XLOOKUP(Table1[[#This Row],[Pass(%)]],O:O,P:P,,-1)</f>
        <v>D+</v>
      </c>
    </row>
    <row r="494" spans="1:13" x14ac:dyDescent="0.35">
      <c r="A494" s="2" t="s">
        <v>17</v>
      </c>
      <c r="B494" s="2" t="s">
        <v>9</v>
      </c>
      <c r="C494" s="6" t="s">
        <v>23</v>
      </c>
      <c r="D494" s="6" t="s">
        <v>11</v>
      </c>
      <c r="E494" s="6" t="s">
        <v>15</v>
      </c>
      <c r="F494" s="6">
        <v>64</v>
      </c>
      <c r="G494" s="6">
        <v>53</v>
      </c>
      <c r="H494" s="6">
        <v>57</v>
      </c>
      <c r="I494" s="2">
        <f t="shared" si="15"/>
        <v>174</v>
      </c>
      <c r="J494" s="8">
        <f>AVERAGE(Table1[[#This Row],[math score]:[writing score]])</f>
        <v>58</v>
      </c>
      <c r="K494" s="2">
        <f t="shared" si="14"/>
        <v>300</v>
      </c>
      <c r="L494" s="4">
        <f>Table1[[#This Row],[Total Score]]/Table1[[#This Row],[Minimum Mark]]</f>
        <v>0.57999999999999996</v>
      </c>
      <c r="M494" s="70" t="str">
        <f>_xlfn.XLOOKUP(Table1[[#This Row],[Pass(%)]],O:O,P:P,,-1)</f>
        <v>D+</v>
      </c>
    </row>
    <row r="495" spans="1:13" ht="20.5" x14ac:dyDescent="0.8">
      <c r="A495" s="3" t="s">
        <v>17</v>
      </c>
      <c r="B495" s="3" t="s">
        <v>18</v>
      </c>
      <c r="C495" s="7" t="s">
        <v>19</v>
      </c>
      <c r="D495" s="7" t="s">
        <v>20</v>
      </c>
      <c r="E495" s="7" t="s">
        <v>15</v>
      </c>
      <c r="F495" s="7">
        <v>79</v>
      </c>
      <c r="G495" s="7">
        <v>82</v>
      </c>
      <c r="H495" s="7">
        <v>82</v>
      </c>
      <c r="I495" s="3">
        <f t="shared" si="15"/>
        <v>243</v>
      </c>
      <c r="J495" s="14">
        <f>AVERAGE(Table1[[#This Row],[math score]:[writing score]])</f>
        <v>81</v>
      </c>
      <c r="K495" s="3">
        <f t="shared" si="14"/>
        <v>300</v>
      </c>
      <c r="L495" s="5">
        <f>Table1[[#This Row],[Total Score]]/Table1[[#This Row],[Minimum Mark]]</f>
        <v>0.81</v>
      </c>
      <c r="M495" s="71" t="str">
        <f>_xlfn.XLOOKUP(Table1[[#This Row],[Pass(%)]],O:O,P:P,,-1)</f>
        <v>B-</v>
      </c>
    </row>
    <row r="496" spans="1:13" ht="20.5" x14ac:dyDescent="0.8">
      <c r="A496" s="3" t="s">
        <v>8</v>
      </c>
      <c r="B496" s="3" t="s">
        <v>18</v>
      </c>
      <c r="C496" s="7" t="s">
        <v>19</v>
      </c>
      <c r="D496" s="7" t="s">
        <v>20</v>
      </c>
      <c r="E496" s="7" t="s">
        <v>12</v>
      </c>
      <c r="F496" s="7">
        <v>65</v>
      </c>
      <c r="G496" s="7">
        <v>85</v>
      </c>
      <c r="H496" s="7">
        <v>76</v>
      </c>
      <c r="I496" s="3">
        <f t="shared" si="15"/>
        <v>226</v>
      </c>
      <c r="J496" s="14">
        <f>AVERAGE(Table1[[#This Row],[math score]:[writing score]])</f>
        <v>75.333333333333329</v>
      </c>
      <c r="K496" s="3">
        <f t="shared" si="14"/>
        <v>300</v>
      </c>
      <c r="L496" s="5">
        <f>Table1[[#This Row],[Total Score]]/Table1[[#This Row],[Minimum Mark]]</f>
        <v>0.7533333333333333</v>
      </c>
      <c r="M496" s="71" t="str">
        <f>_xlfn.XLOOKUP(Table1[[#This Row],[Pass(%)]],O:O,P:P,,-1)</f>
        <v>C</v>
      </c>
    </row>
    <row r="497" spans="1:13" ht="20.5" x14ac:dyDescent="0.8">
      <c r="A497" s="3" t="s">
        <v>8</v>
      </c>
      <c r="B497" s="3" t="s">
        <v>13</v>
      </c>
      <c r="C497" s="7" t="s">
        <v>19</v>
      </c>
      <c r="D497" s="7" t="s">
        <v>11</v>
      </c>
      <c r="E497" s="7" t="s">
        <v>12</v>
      </c>
      <c r="F497" s="7">
        <v>64</v>
      </c>
      <c r="G497" s="7">
        <v>64</v>
      </c>
      <c r="H497" s="7">
        <v>70</v>
      </c>
      <c r="I497" s="3">
        <f t="shared" si="15"/>
        <v>198</v>
      </c>
      <c r="J497" s="14">
        <f>AVERAGE(Table1[[#This Row],[math score]:[writing score]])</f>
        <v>66</v>
      </c>
      <c r="K497" s="3">
        <f t="shared" si="14"/>
        <v>300</v>
      </c>
      <c r="L497" s="5">
        <f>Table1[[#This Row],[Total Score]]/Table1[[#This Row],[Minimum Mark]]</f>
        <v>0.66</v>
      </c>
      <c r="M497" s="71" t="str">
        <f>_xlfn.XLOOKUP(Table1[[#This Row],[Pass(%)]],O:O,P:P,,-1)</f>
        <v>D+</v>
      </c>
    </row>
    <row r="498" spans="1:13" x14ac:dyDescent="0.35">
      <c r="A498" s="2" t="s">
        <v>8</v>
      </c>
      <c r="B498" s="2" t="s">
        <v>13</v>
      </c>
      <c r="C498" s="6" t="s">
        <v>14</v>
      </c>
      <c r="D498" s="6" t="s">
        <v>11</v>
      </c>
      <c r="E498" s="6" t="s">
        <v>12</v>
      </c>
      <c r="F498" s="6">
        <v>83</v>
      </c>
      <c r="G498" s="6">
        <v>83</v>
      </c>
      <c r="H498" s="6">
        <v>90</v>
      </c>
      <c r="I498" s="2">
        <f t="shared" si="15"/>
        <v>256</v>
      </c>
      <c r="J498" s="8">
        <f>AVERAGE(Table1[[#This Row],[math score]:[writing score]])</f>
        <v>85.333333333333329</v>
      </c>
      <c r="K498" s="2">
        <f t="shared" si="14"/>
        <v>300</v>
      </c>
      <c r="L498" s="4">
        <f>Table1[[#This Row],[Total Score]]/Table1[[#This Row],[Minimum Mark]]</f>
        <v>0.85333333333333339</v>
      </c>
      <c r="M498" s="70" t="str">
        <f>_xlfn.XLOOKUP(Table1[[#This Row],[Pass(%)]],O:O,P:P,,-1)</f>
        <v>B</v>
      </c>
    </row>
    <row r="499" spans="1:13" x14ac:dyDescent="0.35">
      <c r="A499" s="2" t="s">
        <v>8</v>
      </c>
      <c r="B499" s="2" t="s">
        <v>13</v>
      </c>
      <c r="C499" s="6" t="s">
        <v>10</v>
      </c>
      <c r="D499" s="6" t="s">
        <v>11</v>
      </c>
      <c r="E499" s="6" t="s">
        <v>12</v>
      </c>
      <c r="F499" s="6">
        <v>81</v>
      </c>
      <c r="G499" s="6">
        <v>88</v>
      </c>
      <c r="H499" s="6">
        <v>90</v>
      </c>
      <c r="I499" s="2">
        <f t="shared" si="15"/>
        <v>259</v>
      </c>
      <c r="J499" s="8">
        <f>AVERAGE(Table1[[#This Row],[math score]:[writing score]])</f>
        <v>86.333333333333329</v>
      </c>
      <c r="K499" s="2">
        <f t="shared" si="14"/>
        <v>300</v>
      </c>
      <c r="L499" s="4">
        <f>Table1[[#This Row],[Total Score]]/Table1[[#This Row],[Minimum Mark]]</f>
        <v>0.86333333333333329</v>
      </c>
      <c r="M499" s="70" t="str">
        <f>_xlfn.XLOOKUP(Table1[[#This Row],[Pass(%)]],O:O,P:P,,-1)</f>
        <v>B</v>
      </c>
    </row>
    <row r="500" spans="1:13" x14ac:dyDescent="0.35">
      <c r="A500" s="2" t="s">
        <v>8</v>
      </c>
      <c r="B500" s="2" t="s">
        <v>9</v>
      </c>
      <c r="C500" s="6" t="s">
        <v>22</v>
      </c>
      <c r="D500" s="6" t="s">
        <v>11</v>
      </c>
      <c r="E500" s="6" t="s">
        <v>12</v>
      </c>
      <c r="F500" s="6">
        <v>54</v>
      </c>
      <c r="G500" s="6">
        <v>64</v>
      </c>
      <c r="H500" s="6">
        <v>68</v>
      </c>
      <c r="I500" s="2">
        <f t="shared" si="15"/>
        <v>186</v>
      </c>
      <c r="J500" s="8">
        <f>AVERAGE(Table1[[#This Row],[math score]:[writing score]])</f>
        <v>62</v>
      </c>
      <c r="K500" s="2">
        <f t="shared" si="14"/>
        <v>300</v>
      </c>
      <c r="L500" s="4">
        <f>Table1[[#This Row],[Total Score]]/Table1[[#This Row],[Minimum Mark]]</f>
        <v>0.62</v>
      </c>
      <c r="M500" s="70" t="str">
        <f>_xlfn.XLOOKUP(Table1[[#This Row],[Pass(%)]],O:O,P:P,,-1)</f>
        <v>D+</v>
      </c>
    </row>
    <row r="501" spans="1:13" x14ac:dyDescent="0.35">
      <c r="A501" s="2" t="s">
        <v>17</v>
      </c>
      <c r="B501" s="2" t="s">
        <v>21</v>
      </c>
      <c r="C501" s="6" t="s">
        <v>22</v>
      </c>
      <c r="D501" s="6" t="s">
        <v>11</v>
      </c>
      <c r="E501" s="6" t="s">
        <v>15</v>
      </c>
      <c r="F501" s="6">
        <v>68</v>
      </c>
      <c r="G501" s="6">
        <v>64</v>
      </c>
      <c r="H501" s="6">
        <v>66</v>
      </c>
      <c r="I501" s="2">
        <f t="shared" si="15"/>
        <v>198</v>
      </c>
      <c r="J501" s="8">
        <f>AVERAGE(Table1[[#This Row],[math score]:[writing score]])</f>
        <v>66</v>
      </c>
      <c r="K501" s="2">
        <f t="shared" si="14"/>
        <v>300</v>
      </c>
      <c r="L501" s="4">
        <f>Table1[[#This Row],[Total Score]]/Table1[[#This Row],[Minimum Mark]]</f>
        <v>0.66</v>
      </c>
      <c r="M501" s="70" t="str">
        <f>_xlfn.XLOOKUP(Table1[[#This Row],[Pass(%)]],O:O,P:P,,-1)</f>
        <v>D+</v>
      </c>
    </row>
    <row r="502" spans="1:13" x14ac:dyDescent="0.35">
      <c r="A502" s="2" t="s">
        <v>8</v>
      </c>
      <c r="B502" s="2" t="s">
        <v>13</v>
      </c>
      <c r="C502" s="6" t="s">
        <v>14</v>
      </c>
      <c r="D502" s="6" t="s">
        <v>11</v>
      </c>
      <c r="E502" s="6" t="s">
        <v>12</v>
      </c>
      <c r="F502" s="6">
        <v>54</v>
      </c>
      <c r="G502" s="6">
        <v>48</v>
      </c>
      <c r="H502" s="6">
        <v>52</v>
      </c>
      <c r="I502" s="2">
        <f t="shared" si="15"/>
        <v>154</v>
      </c>
      <c r="J502" s="8">
        <f>AVERAGE(Table1[[#This Row],[math score]:[writing score]])</f>
        <v>51.333333333333336</v>
      </c>
      <c r="K502" s="2">
        <f t="shared" si="14"/>
        <v>300</v>
      </c>
      <c r="L502" s="4">
        <f>Table1[[#This Row],[Total Score]]/Table1[[#This Row],[Minimum Mark]]</f>
        <v>0.51333333333333331</v>
      </c>
      <c r="M502" s="70" t="str">
        <f>_xlfn.XLOOKUP(Table1[[#This Row],[Pass(%)]],O:O,P:P,,-1)</f>
        <v>D</v>
      </c>
    </row>
    <row r="503" spans="1:13" x14ac:dyDescent="0.35">
      <c r="A503" s="2" t="s">
        <v>8</v>
      </c>
      <c r="B503" s="2" t="s">
        <v>21</v>
      </c>
      <c r="C503" s="6" t="s">
        <v>14</v>
      </c>
      <c r="D503" s="6" t="s">
        <v>20</v>
      </c>
      <c r="E503" s="6" t="s">
        <v>15</v>
      </c>
      <c r="F503" s="6">
        <v>59</v>
      </c>
      <c r="G503" s="6">
        <v>78</v>
      </c>
      <c r="H503" s="6">
        <v>76</v>
      </c>
      <c r="I503" s="2">
        <f t="shared" si="15"/>
        <v>213</v>
      </c>
      <c r="J503" s="8">
        <f>AVERAGE(Table1[[#This Row],[math score]:[writing score]])</f>
        <v>71</v>
      </c>
      <c r="K503" s="2">
        <f t="shared" si="14"/>
        <v>300</v>
      </c>
      <c r="L503" s="4">
        <f>Table1[[#This Row],[Total Score]]/Table1[[#This Row],[Minimum Mark]]</f>
        <v>0.71</v>
      </c>
      <c r="M503" s="70" t="str">
        <f>_xlfn.XLOOKUP(Table1[[#This Row],[Pass(%)]],O:O,P:P,,-1)</f>
        <v>C-</v>
      </c>
    </row>
    <row r="504" spans="1:13" x14ac:dyDescent="0.35">
      <c r="A504" s="2" t="s">
        <v>8</v>
      </c>
      <c r="B504" s="2" t="s">
        <v>9</v>
      </c>
      <c r="C504" s="6" t="s">
        <v>23</v>
      </c>
      <c r="D504" s="6" t="s">
        <v>11</v>
      </c>
      <c r="E504" s="6" t="s">
        <v>12</v>
      </c>
      <c r="F504" s="6">
        <v>66</v>
      </c>
      <c r="G504" s="6">
        <v>69</v>
      </c>
      <c r="H504" s="6">
        <v>68</v>
      </c>
      <c r="I504" s="2">
        <f t="shared" si="15"/>
        <v>203</v>
      </c>
      <c r="J504" s="8">
        <f>AVERAGE(Table1[[#This Row],[math score]:[writing score]])</f>
        <v>67.666666666666671</v>
      </c>
      <c r="K504" s="2">
        <f t="shared" si="14"/>
        <v>300</v>
      </c>
      <c r="L504" s="4">
        <f>Table1[[#This Row],[Total Score]]/Table1[[#This Row],[Minimum Mark]]</f>
        <v>0.67666666666666664</v>
      </c>
      <c r="M504" s="70" t="str">
        <f>_xlfn.XLOOKUP(Table1[[#This Row],[Pass(%)]],O:O,P:P,,-1)</f>
        <v>D+</v>
      </c>
    </row>
    <row r="505" spans="1:13" x14ac:dyDescent="0.35">
      <c r="A505" s="2" t="s">
        <v>17</v>
      </c>
      <c r="B505" s="2" t="s">
        <v>24</v>
      </c>
      <c r="C505" s="6" t="s">
        <v>14</v>
      </c>
      <c r="D505" s="6" t="s">
        <v>11</v>
      </c>
      <c r="E505" s="6" t="s">
        <v>12</v>
      </c>
      <c r="F505" s="6">
        <v>76</v>
      </c>
      <c r="G505" s="6">
        <v>71</v>
      </c>
      <c r="H505" s="6">
        <v>72</v>
      </c>
      <c r="I505" s="2">
        <f t="shared" si="15"/>
        <v>219</v>
      </c>
      <c r="J505" s="8">
        <f>AVERAGE(Table1[[#This Row],[math score]:[writing score]])</f>
        <v>73</v>
      </c>
      <c r="K505" s="2">
        <f t="shared" si="14"/>
        <v>300</v>
      </c>
      <c r="L505" s="4">
        <f>Table1[[#This Row],[Total Score]]/Table1[[#This Row],[Minimum Mark]]</f>
        <v>0.73</v>
      </c>
      <c r="M505" s="70" t="str">
        <f>_xlfn.XLOOKUP(Table1[[#This Row],[Pass(%)]],O:O,P:P,,-1)</f>
        <v>C</v>
      </c>
    </row>
    <row r="506" spans="1:13" x14ac:dyDescent="0.35">
      <c r="A506" s="2" t="s">
        <v>8</v>
      </c>
      <c r="B506" s="2" t="s">
        <v>21</v>
      </c>
      <c r="C506" s="6" t="s">
        <v>16</v>
      </c>
      <c r="D506" s="6" t="s">
        <v>11</v>
      </c>
      <c r="E506" s="6" t="s">
        <v>12</v>
      </c>
      <c r="F506" s="6">
        <v>74</v>
      </c>
      <c r="G506" s="6">
        <v>79</v>
      </c>
      <c r="H506" s="6">
        <v>82</v>
      </c>
      <c r="I506" s="2">
        <f t="shared" si="15"/>
        <v>235</v>
      </c>
      <c r="J506" s="8">
        <f>AVERAGE(Table1[[#This Row],[math score]:[writing score]])</f>
        <v>78.333333333333329</v>
      </c>
      <c r="K506" s="2">
        <f t="shared" si="14"/>
        <v>300</v>
      </c>
      <c r="L506" s="4">
        <f>Table1[[#This Row],[Total Score]]/Table1[[#This Row],[Minimum Mark]]</f>
        <v>0.78333333333333333</v>
      </c>
      <c r="M506" s="70" t="str">
        <f>_xlfn.XLOOKUP(Table1[[#This Row],[Pass(%)]],O:O,P:P,,-1)</f>
        <v>C+</v>
      </c>
    </row>
    <row r="507" spans="1:13" ht="20.5" x14ac:dyDescent="0.8">
      <c r="A507" s="3" t="s">
        <v>8</v>
      </c>
      <c r="B507" s="3" t="s">
        <v>9</v>
      </c>
      <c r="C507" s="7" t="s">
        <v>19</v>
      </c>
      <c r="D507" s="7" t="s">
        <v>11</v>
      </c>
      <c r="E507" s="7" t="s">
        <v>15</v>
      </c>
      <c r="F507" s="7">
        <v>94</v>
      </c>
      <c r="G507" s="7">
        <v>87</v>
      </c>
      <c r="H507" s="7">
        <v>92</v>
      </c>
      <c r="I507" s="3">
        <f t="shared" si="15"/>
        <v>273</v>
      </c>
      <c r="J507" s="14">
        <f>AVERAGE(Table1[[#This Row],[math score]:[writing score]])</f>
        <v>91</v>
      </c>
      <c r="K507" s="3">
        <f t="shared" si="14"/>
        <v>300</v>
      </c>
      <c r="L507" s="5">
        <f>Table1[[#This Row],[Total Score]]/Table1[[#This Row],[Minimum Mark]]</f>
        <v>0.91</v>
      </c>
      <c r="M507" s="71" t="str">
        <f>_xlfn.XLOOKUP(Table1[[#This Row],[Pass(%)]],O:O,P:P,,-1)</f>
        <v>A-</v>
      </c>
    </row>
    <row r="508" spans="1:13" x14ac:dyDescent="0.35">
      <c r="A508" s="2" t="s">
        <v>17</v>
      </c>
      <c r="B508" s="2" t="s">
        <v>13</v>
      </c>
      <c r="C508" s="6" t="s">
        <v>14</v>
      </c>
      <c r="D508" s="6" t="s">
        <v>20</v>
      </c>
      <c r="E508" s="6" t="s">
        <v>12</v>
      </c>
      <c r="F508" s="6">
        <v>63</v>
      </c>
      <c r="G508" s="6">
        <v>61</v>
      </c>
      <c r="H508" s="6">
        <v>54</v>
      </c>
      <c r="I508" s="2">
        <f t="shared" si="15"/>
        <v>178</v>
      </c>
      <c r="J508" s="8">
        <f>AVERAGE(Table1[[#This Row],[math score]:[writing score]])</f>
        <v>59.333333333333336</v>
      </c>
      <c r="K508" s="2">
        <f t="shared" si="14"/>
        <v>300</v>
      </c>
      <c r="L508" s="4">
        <f>Table1[[#This Row],[Total Score]]/Table1[[#This Row],[Minimum Mark]]</f>
        <v>0.59333333333333338</v>
      </c>
      <c r="M508" s="70" t="str">
        <f>_xlfn.XLOOKUP(Table1[[#This Row],[Pass(%)]],O:O,P:P,,-1)</f>
        <v>D+</v>
      </c>
    </row>
    <row r="509" spans="1:13" ht="20.5" x14ac:dyDescent="0.8">
      <c r="A509" s="3" t="s">
        <v>8</v>
      </c>
      <c r="B509" s="3" t="s">
        <v>24</v>
      </c>
      <c r="C509" s="7" t="s">
        <v>19</v>
      </c>
      <c r="D509" s="7" t="s">
        <v>11</v>
      </c>
      <c r="E509" s="7" t="s">
        <v>15</v>
      </c>
      <c r="F509" s="7">
        <v>95</v>
      </c>
      <c r="G509" s="7">
        <v>89</v>
      </c>
      <c r="H509" s="7">
        <v>92</v>
      </c>
      <c r="I509" s="3">
        <f t="shared" si="15"/>
        <v>276</v>
      </c>
      <c r="J509" s="14">
        <f>AVERAGE(Table1[[#This Row],[math score]:[writing score]])</f>
        <v>92</v>
      </c>
      <c r="K509" s="3">
        <f t="shared" si="14"/>
        <v>300</v>
      </c>
      <c r="L509" s="5">
        <f>Table1[[#This Row],[Total Score]]/Table1[[#This Row],[Minimum Mark]]</f>
        <v>0.92</v>
      </c>
      <c r="M509" s="71" t="str">
        <f>_xlfn.XLOOKUP(Table1[[#This Row],[Pass(%)]],O:O,P:P,,-1)</f>
        <v>A-</v>
      </c>
    </row>
    <row r="510" spans="1:13" x14ac:dyDescent="0.35">
      <c r="A510" s="2" t="s">
        <v>8</v>
      </c>
      <c r="B510" s="2" t="s">
        <v>21</v>
      </c>
      <c r="C510" s="6" t="s">
        <v>16</v>
      </c>
      <c r="D510" s="6" t="s">
        <v>20</v>
      </c>
      <c r="E510" s="6" t="s">
        <v>12</v>
      </c>
      <c r="F510" s="6">
        <v>40</v>
      </c>
      <c r="G510" s="6">
        <v>59</v>
      </c>
      <c r="H510" s="6">
        <v>54</v>
      </c>
      <c r="I510" s="2">
        <f t="shared" si="15"/>
        <v>153</v>
      </c>
      <c r="J510" s="8">
        <f>AVERAGE(Table1[[#This Row],[math score]:[writing score]])</f>
        <v>51</v>
      </c>
      <c r="K510" s="2">
        <f t="shared" si="14"/>
        <v>300</v>
      </c>
      <c r="L510" s="4">
        <f>Table1[[#This Row],[Total Score]]/Table1[[#This Row],[Minimum Mark]]</f>
        <v>0.51</v>
      </c>
      <c r="M510" s="70" t="str">
        <f>_xlfn.XLOOKUP(Table1[[#This Row],[Pass(%)]],O:O,P:P,,-1)</f>
        <v>D</v>
      </c>
    </row>
    <row r="511" spans="1:13" x14ac:dyDescent="0.35">
      <c r="A511" s="2" t="s">
        <v>8</v>
      </c>
      <c r="B511" s="2" t="s">
        <v>9</v>
      </c>
      <c r="C511" s="6" t="s">
        <v>23</v>
      </c>
      <c r="D511" s="6" t="s">
        <v>11</v>
      </c>
      <c r="E511" s="6" t="s">
        <v>12</v>
      </c>
      <c r="F511" s="6">
        <v>82</v>
      </c>
      <c r="G511" s="6">
        <v>82</v>
      </c>
      <c r="H511" s="6">
        <v>80</v>
      </c>
      <c r="I511" s="2">
        <f t="shared" si="15"/>
        <v>244</v>
      </c>
      <c r="J511" s="8">
        <f>AVERAGE(Table1[[#This Row],[math score]:[writing score]])</f>
        <v>81.333333333333329</v>
      </c>
      <c r="K511" s="2">
        <f t="shared" si="14"/>
        <v>300</v>
      </c>
      <c r="L511" s="4">
        <f>Table1[[#This Row],[Total Score]]/Table1[[#This Row],[Minimum Mark]]</f>
        <v>0.81333333333333335</v>
      </c>
      <c r="M511" s="70" t="str">
        <f>_xlfn.XLOOKUP(Table1[[#This Row],[Pass(%)]],O:O,P:P,,-1)</f>
        <v>B-</v>
      </c>
    </row>
    <row r="512" spans="1:13" x14ac:dyDescent="0.35">
      <c r="A512" s="2" t="s">
        <v>17</v>
      </c>
      <c r="B512" s="2" t="s">
        <v>18</v>
      </c>
      <c r="C512" s="6" t="s">
        <v>22</v>
      </c>
      <c r="D512" s="6" t="s">
        <v>11</v>
      </c>
      <c r="E512" s="6" t="s">
        <v>12</v>
      </c>
      <c r="F512" s="6">
        <v>68</v>
      </c>
      <c r="G512" s="6">
        <v>70</v>
      </c>
      <c r="H512" s="6">
        <v>66</v>
      </c>
      <c r="I512" s="2">
        <f t="shared" si="15"/>
        <v>204</v>
      </c>
      <c r="J512" s="8">
        <f>AVERAGE(Table1[[#This Row],[math score]:[writing score]])</f>
        <v>68</v>
      </c>
      <c r="K512" s="2">
        <f t="shared" si="14"/>
        <v>300</v>
      </c>
      <c r="L512" s="4">
        <f>Table1[[#This Row],[Total Score]]/Table1[[#This Row],[Minimum Mark]]</f>
        <v>0.68</v>
      </c>
      <c r="M512" s="70" t="str">
        <f>_xlfn.XLOOKUP(Table1[[#This Row],[Pass(%)]],O:O,P:P,,-1)</f>
        <v>D+</v>
      </c>
    </row>
    <row r="513" spans="1:13" x14ac:dyDescent="0.35">
      <c r="A513" s="2" t="s">
        <v>17</v>
      </c>
      <c r="B513" s="2" t="s">
        <v>9</v>
      </c>
      <c r="C513" s="6" t="s">
        <v>10</v>
      </c>
      <c r="D513" s="6" t="s">
        <v>20</v>
      </c>
      <c r="E513" s="6" t="s">
        <v>12</v>
      </c>
      <c r="F513" s="6">
        <v>55</v>
      </c>
      <c r="G513" s="6">
        <v>59</v>
      </c>
      <c r="H513" s="6">
        <v>54</v>
      </c>
      <c r="I513" s="2">
        <f t="shared" si="15"/>
        <v>168</v>
      </c>
      <c r="J513" s="8">
        <f>AVERAGE(Table1[[#This Row],[math score]:[writing score]])</f>
        <v>56</v>
      </c>
      <c r="K513" s="2">
        <f t="shared" si="14"/>
        <v>300</v>
      </c>
      <c r="L513" s="4">
        <f>Table1[[#This Row],[Total Score]]/Table1[[#This Row],[Minimum Mark]]</f>
        <v>0.56000000000000005</v>
      </c>
      <c r="M513" s="70" t="str">
        <f>_xlfn.XLOOKUP(Table1[[#This Row],[Pass(%)]],O:O,P:P,,-1)</f>
        <v>D+</v>
      </c>
    </row>
    <row r="514" spans="1:13" x14ac:dyDescent="0.35">
      <c r="A514" s="2" t="s">
        <v>17</v>
      </c>
      <c r="B514" s="2" t="s">
        <v>13</v>
      </c>
      <c r="C514" s="6" t="s">
        <v>16</v>
      </c>
      <c r="D514" s="6" t="s">
        <v>11</v>
      </c>
      <c r="E514" s="6" t="s">
        <v>12</v>
      </c>
      <c r="F514" s="6">
        <v>79</v>
      </c>
      <c r="G514" s="6">
        <v>78</v>
      </c>
      <c r="H514" s="6">
        <v>77</v>
      </c>
      <c r="I514" s="2">
        <f t="shared" si="15"/>
        <v>234</v>
      </c>
      <c r="J514" s="8">
        <f>AVERAGE(Table1[[#This Row],[math score]:[writing score]])</f>
        <v>78</v>
      </c>
      <c r="K514" s="2">
        <f t="shared" si="14"/>
        <v>300</v>
      </c>
      <c r="L514" s="4">
        <f>Table1[[#This Row],[Total Score]]/Table1[[#This Row],[Minimum Mark]]</f>
        <v>0.78</v>
      </c>
      <c r="M514" s="70" t="str">
        <f>_xlfn.XLOOKUP(Table1[[#This Row],[Pass(%)]],O:O,P:P,,-1)</f>
        <v>C+</v>
      </c>
    </row>
    <row r="515" spans="1:13" x14ac:dyDescent="0.35">
      <c r="A515" s="2" t="s">
        <v>8</v>
      </c>
      <c r="B515" s="2" t="s">
        <v>13</v>
      </c>
      <c r="C515" s="6" t="s">
        <v>10</v>
      </c>
      <c r="D515" s="6" t="s">
        <v>11</v>
      </c>
      <c r="E515" s="6" t="s">
        <v>12</v>
      </c>
      <c r="F515" s="6">
        <v>86</v>
      </c>
      <c r="G515" s="6">
        <v>92</v>
      </c>
      <c r="H515" s="6">
        <v>87</v>
      </c>
      <c r="I515" s="2">
        <f t="shared" si="15"/>
        <v>265</v>
      </c>
      <c r="J515" s="8">
        <f>AVERAGE(Table1[[#This Row],[math score]:[writing score]])</f>
        <v>88.333333333333329</v>
      </c>
      <c r="K515" s="2">
        <f t="shared" si="14"/>
        <v>300</v>
      </c>
      <c r="L515" s="4">
        <f>Table1[[#This Row],[Total Score]]/Table1[[#This Row],[Minimum Mark]]</f>
        <v>0.8833333333333333</v>
      </c>
      <c r="M515" s="70" t="str">
        <f>_xlfn.XLOOKUP(Table1[[#This Row],[Pass(%)]],O:O,P:P,,-1)</f>
        <v>B+</v>
      </c>
    </row>
    <row r="516" spans="1:13" x14ac:dyDescent="0.35">
      <c r="A516" s="2" t="s">
        <v>17</v>
      </c>
      <c r="B516" s="2" t="s">
        <v>21</v>
      </c>
      <c r="C516" s="6" t="s">
        <v>14</v>
      </c>
      <c r="D516" s="6" t="s">
        <v>11</v>
      </c>
      <c r="E516" s="6" t="s">
        <v>12</v>
      </c>
      <c r="F516" s="6">
        <v>76</v>
      </c>
      <c r="G516" s="6">
        <v>71</v>
      </c>
      <c r="H516" s="6">
        <v>73</v>
      </c>
      <c r="I516" s="2">
        <f t="shared" si="15"/>
        <v>220</v>
      </c>
      <c r="J516" s="8">
        <f>AVERAGE(Table1[[#This Row],[math score]:[writing score]])</f>
        <v>73.333333333333329</v>
      </c>
      <c r="K516" s="2">
        <f t="shared" si="14"/>
        <v>300</v>
      </c>
      <c r="L516" s="4">
        <f>Table1[[#This Row],[Total Score]]/Table1[[#This Row],[Minimum Mark]]</f>
        <v>0.73333333333333328</v>
      </c>
      <c r="M516" s="70" t="str">
        <f>_xlfn.XLOOKUP(Table1[[#This Row],[Pass(%)]],O:O,P:P,,-1)</f>
        <v>C</v>
      </c>
    </row>
    <row r="517" spans="1:13" x14ac:dyDescent="0.35">
      <c r="A517" s="2" t="s">
        <v>17</v>
      </c>
      <c r="B517" s="2" t="s">
        <v>18</v>
      </c>
      <c r="C517" s="6" t="s">
        <v>23</v>
      </c>
      <c r="D517" s="6" t="s">
        <v>11</v>
      </c>
      <c r="E517" s="6" t="s">
        <v>12</v>
      </c>
      <c r="F517" s="6">
        <v>64</v>
      </c>
      <c r="G517" s="6">
        <v>50</v>
      </c>
      <c r="H517" s="6">
        <v>43</v>
      </c>
      <c r="I517" s="2">
        <f t="shared" si="15"/>
        <v>157</v>
      </c>
      <c r="J517" s="8">
        <f>AVERAGE(Table1[[#This Row],[math score]:[writing score]])</f>
        <v>52.333333333333336</v>
      </c>
      <c r="K517" s="2">
        <f t="shared" si="14"/>
        <v>300</v>
      </c>
      <c r="L517" s="4">
        <f>Table1[[#This Row],[Total Score]]/Table1[[#This Row],[Minimum Mark]]</f>
        <v>0.52333333333333332</v>
      </c>
      <c r="M517" s="70" t="str">
        <f>_xlfn.XLOOKUP(Table1[[#This Row],[Pass(%)]],O:O,P:P,,-1)</f>
        <v>D</v>
      </c>
    </row>
    <row r="518" spans="1:13" x14ac:dyDescent="0.35">
      <c r="A518" s="2" t="s">
        <v>17</v>
      </c>
      <c r="B518" s="2" t="s">
        <v>21</v>
      </c>
      <c r="C518" s="6" t="s">
        <v>23</v>
      </c>
      <c r="D518" s="6" t="s">
        <v>20</v>
      </c>
      <c r="E518" s="6" t="s">
        <v>12</v>
      </c>
      <c r="F518" s="6">
        <v>62</v>
      </c>
      <c r="G518" s="6">
        <v>49</v>
      </c>
      <c r="H518" s="6">
        <v>52</v>
      </c>
      <c r="I518" s="2">
        <f t="shared" si="15"/>
        <v>163</v>
      </c>
      <c r="J518" s="8">
        <f>AVERAGE(Table1[[#This Row],[math score]:[writing score]])</f>
        <v>54.333333333333336</v>
      </c>
      <c r="K518" s="2">
        <f t="shared" ref="K518:K581" si="16">3*100</f>
        <v>300</v>
      </c>
      <c r="L518" s="4">
        <f>Table1[[#This Row],[Total Score]]/Table1[[#This Row],[Minimum Mark]]</f>
        <v>0.54333333333333333</v>
      </c>
      <c r="M518" s="70" t="str">
        <f>_xlfn.XLOOKUP(Table1[[#This Row],[Pass(%)]],O:O,P:P,,-1)</f>
        <v>D+</v>
      </c>
    </row>
    <row r="519" spans="1:13" x14ac:dyDescent="0.35">
      <c r="A519" s="2" t="s">
        <v>8</v>
      </c>
      <c r="B519" s="2" t="s">
        <v>9</v>
      </c>
      <c r="C519" s="6" t="s">
        <v>23</v>
      </c>
      <c r="D519" s="6" t="s">
        <v>11</v>
      </c>
      <c r="E519" s="6" t="s">
        <v>15</v>
      </c>
      <c r="F519" s="6">
        <v>54</v>
      </c>
      <c r="G519" s="6">
        <v>61</v>
      </c>
      <c r="H519" s="6">
        <v>62</v>
      </c>
      <c r="I519" s="2">
        <f t="shared" ref="I519:I582" si="17">SUM(F519:H519)</f>
        <v>177</v>
      </c>
      <c r="J519" s="8">
        <f>AVERAGE(Table1[[#This Row],[math score]:[writing score]])</f>
        <v>59</v>
      </c>
      <c r="K519" s="2">
        <f t="shared" si="16"/>
        <v>300</v>
      </c>
      <c r="L519" s="4">
        <f>Table1[[#This Row],[Total Score]]/Table1[[#This Row],[Minimum Mark]]</f>
        <v>0.59</v>
      </c>
      <c r="M519" s="70" t="str">
        <f>_xlfn.XLOOKUP(Table1[[#This Row],[Pass(%)]],O:O,P:P,,-1)</f>
        <v>D+</v>
      </c>
    </row>
    <row r="520" spans="1:13" x14ac:dyDescent="0.35">
      <c r="A520" s="2" t="s">
        <v>8</v>
      </c>
      <c r="B520" s="2" t="s">
        <v>9</v>
      </c>
      <c r="C520" s="6" t="s">
        <v>16</v>
      </c>
      <c r="D520" s="6" t="s">
        <v>20</v>
      </c>
      <c r="E520" s="6" t="s">
        <v>15</v>
      </c>
      <c r="F520" s="6">
        <v>77</v>
      </c>
      <c r="G520" s="6">
        <v>97</v>
      </c>
      <c r="H520" s="6">
        <v>94</v>
      </c>
      <c r="I520" s="2">
        <f t="shared" si="17"/>
        <v>268</v>
      </c>
      <c r="J520" s="8">
        <f>AVERAGE(Table1[[#This Row],[math score]:[writing score]])</f>
        <v>89.333333333333329</v>
      </c>
      <c r="K520" s="2">
        <f t="shared" si="16"/>
        <v>300</v>
      </c>
      <c r="L520" s="4">
        <f>Table1[[#This Row],[Total Score]]/Table1[[#This Row],[Minimum Mark]]</f>
        <v>0.89333333333333331</v>
      </c>
      <c r="M520" s="70" t="str">
        <f>_xlfn.XLOOKUP(Table1[[#This Row],[Pass(%)]],O:O,P:P,,-1)</f>
        <v>B+</v>
      </c>
    </row>
    <row r="521" spans="1:13" x14ac:dyDescent="0.35">
      <c r="A521" s="2" t="s">
        <v>8</v>
      </c>
      <c r="B521" s="2" t="s">
        <v>13</v>
      </c>
      <c r="C521" s="6" t="s">
        <v>23</v>
      </c>
      <c r="D521" s="6" t="s">
        <v>11</v>
      </c>
      <c r="E521" s="6" t="s">
        <v>15</v>
      </c>
      <c r="F521" s="6">
        <v>76</v>
      </c>
      <c r="G521" s="6">
        <v>87</v>
      </c>
      <c r="H521" s="6">
        <v>85</v>
      </c>
      <c r="I521" s="2">
        <f t="shared" si="17"/>
        <v>248</v>
      </c>
      <c r="J521" s="8">
        <f>AVERAGE(Table1[[#This Row],[math score]:[writing score]])</f>
        <v>82.666666666666671</v>
      </c>
      <c r="K521" s="2">
        <f t="shared" si="16"/>
        <v>300</v>
      </c>
      <c r="L521" s="4">
        <f>Table1[[#This Row],[Total Score]]/Table1[[#This Row],[Minimum Mark]]</f>
        <v>0.82666666666666666</v>
      </c>
      <c r="M521" s="70" t="str">
        <f>_xlfn.XLOOKUP(Table1[[#This Row],[Pass(%)]],O:O,P:P,,-1)</f>
        <v>B-</v>
      </c>
    </row>
    <row r="522" spans="1:13" x14ac:dyDescent="0.35">
      <c r="A522" s="2" t="s">
        <v>8</v>
      </c>
      <c r="B522" s="2" t="s">
        <v>21</v>
      </c>
      <c r="C522" s="6" t="s">
        <v>14</v>
      </c>
      <c r="D522" s="6" t="s">
        <v>11</v>
      </c>
      <c r="E522" s="6" t="s">
        <v>12</v>
      </c>
      <c r="F522" s="6">
        <v>74</v>
      </c>
      <c r="G522" s="6">
        <v>89</v>
      </c>
      <c r="H522" s="6">
        <v>84</v>
      </c>
      <c r="I522" s="2">
        <f t="shared" si="17"/>
        <v>247</v>
      </c>
      <c r="J522" s="8">
        <f>AVERAGE(Table1[[#This Row],[math score]:[writing score]])</f>
        <v>82.333333333333329</v>
      </c>
      <c r="K522" s="2">
        <f t="shared" si="16"/>
        <v>300</v>
      </c>
      <c r="L522" s="4">
        <f>Table1[[#This Row],[Total Score]]/Table1[[#This Row],[Minimum Mark]]</f>
        <v>0.82333333333333336</v>
      </c>
      <c r="M522" s="70" t="str">
        <f>_xlfn.XLOOKUP(Table1[[#This Row],[Pass(%)]],O:O,P:P,,-1)</f>
        <v>B-</v>
      </c>
    </row>
    <row r="523" spans="1:13" x14ac:dyDescent="0.35">
      <c r="A523" s="2" t="s">
        <v>8</v>
      </c>
      <c r="B523" s="2" t="s">
        <v>24</v>
      </c>
      <c r="C523" s="6" t="s">
        <v>14</v>
      </c>
      <c r="D523" s="6" t="s">
        <v>11</v>
      </c>
      <c r="E523" s="6" t="s">
        <v>15</v>
      </c>
      <c r="F523" s="6">
        <v>66</v>
      </c>
      <c r="G523" s="6">
        <v>74</v>
      </c>
      <c r="H523" s="6">
        <v>73</v>
      </c>
      <c r="I523" s="2">
        <f t="shared" si="17"/>
        <v>213</v>
      </c>
      <c r="J523" s="8">
        <f>AVERAGE(Table1[[#This Row],[math score]:[writing score]])</f>
        <v>71</v>
      </c>
      <c r="K523" s="2">
        <f t="shared" si="16"/>
        <v>300</v>
      </c>
      <c r="L523" s="4">
        <f>Table1[[#This Row],[Total Score]]/Table1[[#This Row],[Minimum Mark]]</f>
        <v>0.71</v>
      </c>
      <c r="M523" s="70" t="str">
        <f>_xlfn.XLOOKUP(Table1[[#This Row],[Pass(%)]],O:O,P:P,,-1)</f>
        <v>C-</v>
      </c>
    </row>
    <row r="524" spans="1:13" x14ac:dyDescent="0.35">
      <c r="A524" s="2" t="s">
        <v>8</v>
      </c>
      <c r="B524" s="2" t="s">
        <v>21</v>
      </c>
      <c r="C524" s="6" t="s">
        <v>23</v>
      </c>
      <c r="D524" s="6" t="s">
        <v>11</v>
      </c>
      <c r="E524" s="6" t="s">
        <v>15</v>
      </c>
      <c r="F524" s="6">
        <v>66</v>
      </c>
      <c r="G524" s="6">
        <v>78</v>
      </c>
      <c r="H524" s="6">
        <v>78</v>
      </c>
      <c r="I524" s="2">
        <f t="shared" si="17"/>
        <v>222</v>
      </c>
      <c r="J524" s="8">
        <f>AVERAGE(Table1[[#This Row],[math score]:[writing score]])</f>
        <v>74</v>
      </c>
      <c r="K524" s="2">
        <f t="shared" si="16"/>
        <v>300</v>
      </c>
      <c r="L524" s="4">
        <f>Table1[[#This Row],[Total Score]]/Table1[[#This Row],[Minimum Mark]]</f>
        <v>0.74</v>
      </c>
      <c r="M524" s="70" t="str">
        <f>_xlfn.XLOOKUP(Table1[[#This Row],[Pass(%)]],O:O,P:P,,-1)</f>
        <v>C</v>
      </c>
    </row>
    <row r="525" spans="1:13" x14ac:dyDescent="0.35">
      <c r="A525" s="2" t="s">
        <v>8</v>
      </c>
      <c r="B525" s="2" t="s">
        <v>9</v>
      </c>
      <c r="C525" s="6" t="s">
        <v>22</v>
      </c>
      <c r="D525" s="6" t="s">
        <v>20</v>
      </c>
      <c r="E525" s="6" t="s">
        <v>15</v>
      </c>
      <c r="F525" s="6">
        <v>67</v>
      </c>
      <c r="G525" s="6">
        <v>78</v>
      </c>
      <c r="H525" s="6">
        <v>79</v>
      </c>
      <c r="I525" s="2">
        <f t="shared" si="17"/>
        <v>224</v>
      </c>
      <c r="J525" s="8">
        <f>AVERAGE(Table1[[#This Row],[math score]:[writing score]])</f>
        <v>74.666666666666671</v>
      </c>
      <c r="K525" s="2">
        <f t="shared" si="16"/>
        <v>300</v>
      </c>
      <c r="L525" s="4">
        <f>Table1[[#This Row],[Total Score]]/Table1[[#This Row],[Minimum Mark]]</f>
        <v>0.7466666666666667</v>
      </c>
      <c r="M525" s="70" t="str">
        <f>_xlfn.XLOOKUP(Table1[[#This Row],[Pass(%)]],O:O,P:P,,-1)</f>
        <v>C</v>
      </c>
    </row>
    <row r="526" spans="1:13" x14ac:dyDescent="0.35">
      <c r="A526" s="2" t="s">
        <v>17</v>
      </c>
      <c r="B526" s="2" t="s">
        <v>21</v>
      </c>
      <c r="C526" s="6" t="s">
        <v>14</v>
      </c>
      <c r="D526" s="6" t="s">
        <v>11</v>
      </c>
      <c r="E526" s="6" t="s">
        <v>12</v>
      </c>
      <c r="F526" s="6">
        <v>71</v>
      </c>
      <c r="G526" s="6">
        <v>49</v>
      </c>
      <c r="H526" s="6">
        <v>52</v>
      </c>
      <c r="I526" s="2">
        <f t="shared" si="17"/>
        <v>172</v>
      </c>
      <c r="J526" s="8">
        <f>AVERAGE(Table1[[#This Row],[math score]:[writing score]])</f>
        <v>57.333333333333336</v>
      </c>
      <c r="K526" s="2">
        <f t="shared" si="16"/>
        <v>300</v>
      </c>
      <c r="L526" s="4">
        <f>Table1[[#This Row],[Total Score]]/Table1[[#This Row],[Minimum Mark]]</f>
        <v>0.57333333333333336</v>
      </c>
      <c r="M526" s="70" t="str">
        <f>_xlfn.XLOOKUP(Table1[[#This Row],[Pass(%)]],O:O,P:P,,-1)</f>
        <v>D+</v>
      </c>
    </row>
    <row r="527" spans="1:13" ht="20.5" x14ac:dyDescent="0.8">
      <c r="A527" s="3" t="s">
        <v>8</v>
      </c>
      <c r="B527" s="3" t="s">
        <v>13</v>
      </c>
      <c r="C527" s="7" t="s">
        <v>19</v>
      </c>
      <c r="D527" s="7" t="s">
        <v>11</v>
      </c>
      <c r="E527" s="7" t="s">
        <v>12</v>
      </c>
      <c r="F527" s="7">
        <v>91</v>
      </c>
      <c r="G527" s="7">
        <v>86</v>
      </c>
      <c r="H527" s="7">
        <v>84</v>
      </c>
      <c r="I527" s="3">
        <f t="shared" si="17"/>
        <v>261</v>
      </c>
      <c r="J527" s="14">
        <f>AVERAGE(Table1[[#This Row],[math score]:[writing score]])</f>
        <v>87</v>
      </c>
      <c r="K527" s="3">
        <f t="shared" si="16"/>
        <v>300</v>
      </c>
      <c r="L527" s="5">
        <f>Table1[[#This Row],[Total Score]]/Table1[[#This Row],[Minimum Mark]]</f>
        <v>0.87</v>
      </c>
      <c r="M527" s="71" t="str">
        <f>_xlfn.XLOOKUP(Table1[[#This Row],[Pass(%)]],O:O,P:P,,-1)</f>
        <v>B+</v>
      </c>
    </row>
    <row r="528" spans="1:13" x14ac:dyDescent="0.35">
      <c r="A528" s="2" t="s">
        <v>17</v>
      </c>
      <c r="B528" s="2" t="s">
        <v>21</v>
      </c>
      <c r="C528" s="6" t="s">
        <v>10</v>
      </c>
      <c r="D528" s="6" t="s">
        <v>11</v>
      </c>
      <c r="E528" s="6" t="s">
        <v>12</v>
      </c>
      <c r="F528" s="6">
        <v>69</v>
      </c>
      <c r="G528" s="6">
        <v>58</v>
      </c>
      <c r="H528" s="6">
        <v>57</v>
      </c>
      <c r="I528" s="2">
        <f t="shared" si="17"/>
        <v>184</v>
      </c>
      <c r="J528" s="8">
        <f>AVERAGE(Table1[[#This Row],[math score]:[writing score]])</f>
        <v>61.333333333333336</v>
      </c>
      <c r="K528" s="2">
        <f t="shared" si="16"/>
        <v>300</v>
      </c>
      <c r="L528" s="4">
        <f>Table1[[#This Row],[Total Score]]/Table1[[#This Row],[Minimum Mark]]</f>
        <v>0.61333333333333329</v>
      </c>
      <c r="M528" s="70" t="str">
        <f>_xlfn.XLOOKUP(Table1[[#This Row],[Pass(%)]],O:O,P:P,,-1)</f>
        <v>D+</v>
      </c>
    </row>
    <row r="529" spans="1:13" x14ac:dyDescent="0.35">
      <c r="A529" s="2" t="s">
        <v>17</v>
      </c>
      <c r="B529" s="2" t="s">
        <v>13</v>
      </c>
      <c r="C529" s="6" t="s">
        <v>16</v>
      </c>
      <c r="D529" s="6" t="s">
        <v>20</v>
      </c>
      <c r="E529" s="6" t="s">
        <v>12</v>
      </c>
      <c r="F529" s="6">
        <v>54</v>
      </c>
      <c r="G529" s="6">
        <v>59</v>
      </c>
      <c r="H529" s="6">
        <v>50</v>
      </c>
      <c r="I529" s="2">
        <f t="shared" si="17"/>
        <v>163</v>
      </c>
      <c r="J529" s="8">
        <f>AVERAGE(Table1[[#This Row],[math score]:[writing score]])</f>
        <v>54.333333333333336</v>
      </c>
      <c r="K529" s="2">
        <f t="shared" si="16"/>
        <v>300</v>
      </c>
      <c r="L529" s="4">
        <f>Table1[[#This Row],[Total Score]]/Table1[[#This Row],[Minimum Mark]]</f>
        <v>0.54333333333333333</v>
      </c>
      <c r="M529" s="70" t="str">
        <f>_xlfn.XLOOKUP(Table1[[#This Row],[Pass(%)]],O:O,P:P,,-1)</f>
        <v>D+</v>
      </c>
    </row>
    <row r="530" spans="1:13" x14ac:dyDescent="0.35">
      <c r="A530" s="2" t="s">
        <v>17</v>
      </c>
      <c r="B530" s="2" t="s">
        <v>13</v>
      </c>
      <c r="C530" s="6" t="s">
        <v>22</v>
      </c>
      <c r="D530" s="6" t="s">
        <v>11</v>
      </c>
      <c r="E530" s="6" t="s">
        <v>15</v>
      </c>
      <c r="F530" s="6">
        <v>53</v>
      </c>
      <c r="G530" s="6">
        <v>52</v>
      </c>
      <c r="H530" s="6">
        <v>49</v>
      </c>
      <c r="I530" s="2">
        <f t="shared" si="17"/>
        <v>154</v>
      </c>
      <c r="J530" s="8">
        <f>AVERAGE(Table1[[#This Row],[math score]:[writing score]])</f>
        <v>51.333333333333336</v>
      </c>
      <c r="K530" s="2">
        <f t="shared" si="16"/>
        <v>300</v>
      </c>
      <c r="L530" s="4">
        <f>Table1[[#This Row],[Total Score]]/Table1[[#This Row],[Minimum Mark]]</f>
        <v>0.51333333333333331</v>
      </c>
      <c r="M530" s="70" t="str">
        <f>_xlfn.XLOOKUP(Table1[[#This Row],[Pass(%)]],O:O,P:P,,-1)</f>
        <v>D</v>
      </c>
    </row>
    <row r="531" spans="1:13" x14ac:dyDescent="0.35">
      <c r="A531" s="2" t="s">
        <v>17</v>
      </c>
      <c r="B531" s="2" t="s">
        <v>24</v>
      </c>
      <c r="C531" s="6" t="s">
        <v>14</v>
      </c>
      <c r="D531" s="6" t="s">
        <v>11</v>
      </c>
      <c r="E531" s="6" t="s">
        <v>12</v>
      </c>
      <c r="F531" s="6">
        <v>68</v>
      </c>
      <c r="G531" s="6">
        <v>60</v>
      </c>
      <c r="H531" s="6">
        <v>59</v>
      </c>
      <c r="I531" s="2">
        <f t="shared" si="17"/>
        <v>187</v>
      </c>
      <c r="J531" s="8">
        <f>AVERAGE(Table1[[#This Row],[math score]:[writing score]])</f>
        <v>62.333333333333336</v>
      </c>
      <c r="K531" s="2">
        <f t="shared" si="16"/>
        <v>300</v>
      </c>
      <c r="L531" s="4">
        <f>Table1[[#This Row],[Total Score]]/Table1[[#This Row],[Minimum Mark]]</f>
        <v>0.62333333333333329</v>
      </c>
      <c r="M531" s="70" t="str">
        <f>_xlfn.XLOOKUP(Table1[[#This Row],[Pass(%)]],O:O,P:P,,-1)</f>
        <v>D+</v>
      </c>
    </row>
    <row r="532" spans="1:13" x14ac:dyDescent="0.35">
      <c r="A532" s="2" t="s">
        <v>17</v>
      </c>
      <c r="B532" s="2" t="s">
        <v>13</v>
      </c>
      <c r="C532" s="6" t="s">
        <v>23</v>
      </c>
      <c r="D532" s="6" t="s">
        <v>20</v>
      </c>
      <c r="E532" s="6" t="s">
        <v>15</v>
      </c>
      <c r="F532" s="6">
        <v>56</v>
      </c>
      <c r="G532" s="6">
        <v>61</v>
      </c>
      <c r="H532" s="6">
        <v>60</v>
      </c>
      <c r="I532" s="2">
        <f t="shared" si="17"/>
        <v>177</v>
      </c>
      <c r="J532" s="8">
        <f>AVERAGE(Table1[[#This Row],[math score]:[writing score]])</f>
        <v>59</v>
      </c>
      <c r="K532" s="2">
        <f t="shared" si="16"/>
        <v>300</v>
      </c>
      <c r="L532" s="4">
        <f>Table1[[#This Row],[Total Score]]/Table1[[#This Row],[Minimum Mark]]</f>
        <v>0.59</v>
      </c>
      <c r="M532" s="70" t="str">
        <f>_xlfn.XLOOKUP(Table1[[#This Row],[Pass(%)]],O:O,P:P,,-1)</f>
        <v>D+</v>
      </c>
    </row>
    <row r="533" spans="1:13" x14ac:dyDescent="0.35">
      <c r="A533" s="2" t="s">
        <v>8</v>
      </c>
      <c r="B533" s="2" t="s">
        <v>13</v>
      </c>
      <c r="C533" s="6" t="s">
        <v>22</v>
      </c>
      <c r="D533" s="6" t="s">
        <v>20</v>
      </c>
      <c r="E533" s="6" t="s">
        <v>12</v>
      </c>
      <c r="F533" s="6">
        <v>36</v>
      </c>
      <c r="G533" s="6">
        <v>53</v>
      </c>
      <c r="H533" s="6">
        <v>43</v>
      </c>
      <c r="I533" s="2">
        <f t="shared" si="17"/>
        <v>132</v>
      </c>
      <c r="J533" s="8">
        <f>AVERAGE(Table1[[#This Row],[math score]:[writing score]])</f>
        <v>44</v>
      </c>
      <c r="K533" s="2">
        <f t="shared" si="16"/>
        <v>300</v>
      </c>
      <c r="L533" s="4">
        <f>Table1[[#This Row],[Total Score]]/Table1[[#This Row],[Minimum Mark]]</f>
        <v>0.44</v>
      </c>
      <c r="M533" s="70" t="str">
        <f>_xlfn.XLOOKUP(Table1[[#This Row],[Pass(%)]],O:O,P:P,,-1)</f>
        <v>D</v>
      </c>
    </row>
    <row r="534" spans="1:13" x14ac:dyDescent="0.35">
      <c r="A534" s="2" t="s">
        <v>8</v>
      </c>
      <c r="B534" s="2" t="s">
        <v>21</v>
      </c>
      <c r="C534" s="6" t="s">
        <v>10</v>
      </c>
      <c r="D534" s="6" t="s">
        <v>20</v>
      </c>
      <c r="E534" s="6" t="s">
        <v>12</v>
      </c>
      <c r="F534" s="6">
        <v>29</v>
      </c>
      <c r="G534" s="6">
        <v>41</v>
      </c>
      <c r="H534" s="6">
        <v>47</v>
      </c>
      <c r="I534" s="2">
        <f t="shared" si="17"/>
        <v>117</v>
      </c>
      <c r="J534" s="8">
        <f>AVERAGE(Table1[[#This Row],[math score]:[writing score]])</f>
        <v>39</v>
      </c>
      <c r="K534" s="2">
        <f t="shared" si="16"/>
        <v>300</v>
      </c>
      <c r="L534" s="4">
        <f>Table1[[#This Row],[Total Score]]/Table1[[#This Row],[Minimum Mark]]</f>
        <v>0.39</v>
      </c>
      <c r="M534" s="70" t="str">
        <f>_xlfn.XLOOKUP(Table1[[#This Row],[Pass(%)]],O:O,P:P,,-1)</f>
        <v>D-</v>
      </c>
    </row>
    <row r="535" spans="1:13" ht="20.5" x14ac:dyDescent="0.8">
      <c r="A535" s="3" t="s">
        <v>8</v>
      </c>
      <c r="B535" s="3" t="s">
        <v>13</v>
      </c>
      <c r="C535" s="7" t="s">
        <v>19</v>
      </c>
      <c r="D535" s="7" t="s">
        <v>11</v>
      </c>
      <c r="E535" s="7" t="s">
        <v>12</v>
      </c>
      <c r="F535" s="7">
        <v>62</v>
      </c>
      <c r="G535" s="7">
        <v>74</v>
      </c>
      <c r="H535" s="7">
        <v>70</v>
      </c>
      <c r="I535" s="3">
        <f t="shared" si="17"/>
        <v>206</v>
      </c>
      <c r="J535" s="14">
        <f>AVERAGE(Table1[[#This Row],[math score]:[writing score]])</f>
        <v>68.666666666666671</v>
      </c>
      <c r="K535" s="3">
        <f t="shared" si="16"/>
        <v>300</v>
      </c>
      <c r="L535" s="5">
        <f>Table1[[#This Row],[Total Score]]/Table1[[#This Row],[Minimum Mark]]</f>
        <v>0.68666666666666665</v>
      </c>
      <c r="M535" s="71" t="str">
        <f>_xlfn.XLOOKUP(Table1[[#This Row],[Pass(%)]],O:O,P:P,,-1)</f>
        <v>D+</v>
      </c>
    </row>
    <row r="536" spans="1:13" ht="20.5" x14ac:dyDescent="0.8">
      <c r="A536" s="3" t="s">
        <v>8</v>
      </c>
      <c r="B536" s="3" t="s">
        <v>13</v>
      </c>
      <c r="C536" s="7" t="s">
        <v>19</v>
      </c>
      <c r="D536" s="7" t="s">
        <v>11</v>
      </c>
      <c r="E536" s="7" t="s">
        <v>15</v>
      </c>
      <c r="F536" s="7">
        <v>68</v>
      </c>
      <c r="G536" s="7">
        <v>67</v>
      </c>
      <c r="H536" s="7">
        <v>73</v>
      </c>
      <c r="I536" s="3">
        <f t="shared" si="17"/>
        <v>208</v>
      </c>
      <c r="J536" s="14">
        <f>AVERAGE(Table1[[#This Row],[math score]:[writing score]])</f>
        <v>69.333333333333329</v>
      </c>
      <c r="K536" s="3">
        <f t="shared" si="16"/>
        <v>300</v>
      </c>
      <c r="L536" s="5">
        <f>Table1[[#This Row],[Total Score]]/Table1[[#This Row],[Minimum Mark]]</f>
        <v>0.69333333333333336</v>
      </c>
      <c r="M536" s="71" t="str">
        <f>_xlfn.XLOOKUP(Table1[[#This Row],[Pass(%)]],O:O,P:P,,-1)</f>
        <v>D+</v>
      </c>
    </row>
    <row r="537" spans="1:13" x14ac:dyDescent="0.35">
      <c r="A537" s="2" t="s">
        <v>8</v>
      </c>
      <c r="B537" s="2" t="s">
        <v>13</v>
      </c>
      <c r="C537" s="6" t="s">
        <v>23</v>
      </c>
      <c r="D537" s="6" t="s">
        <v>11</v>
      </c>
      <c r="E537" s="6" t="s">
        <v>12</v>
      </c>
      <c r="F537" s="6">
        <v>47</v>
      </c>
      <c r="G537" s="6">
        <v>54</v>
      </c>
      <c r="H537" s="6">
        <v>53</v>
      </c>
      <c r="I537" s="2">
        <f t="shared" si="17"/>
        <v>154</v>
      </c>
      <c r="J537" s="8">
        <f>AVERAGE(Table1[[#This Row],[math score]:[writing score]])</f>
        <v>51.333333333333336</v>
      </c>
      <c r="K537" s="2">
        <f t="shared" si="16"/>
        <v>300</v>
      </c>
      <c r="L537" s="4">
        <f>Table1[[#This Row],[Total Score]]/Table1[[#This Row],[Minimum Mark]]</f>
        <v>0.51333333333333331</v>
      </c>
      <c r="M537" s="70" t="str">
        <f>_xlfn.XLOOKUP(Table1[[#This Row],[Pass(%)]],O:O,P:P,,-1)</f>
        <v>D</v>
      </c>
    </row>
    <row r="538" spans="1:13" ht="20.5" x14ac:dyDescent="0.8">
      <c r="A538" s="3" t="s">
        <v>17</v>
      </c>
      <c r="B538" s="3" t="s">
        <v>24</v>
      </c>
      <c r="C538" s="7" t="s">
        <v>19</v>
      </c>
      <c r="D538" s="7" t="s">
        <v>11</v>
      </c>
      <c r="E538" s="7" t="s">
        <v>15</v>
      </c>
      <c r="F538" s="7">
        <v>62</v>
      </c>
      <c r="G538" s="7">
        <v>61</v>
      </c>
      <c r="H538" s="7">
        <v>58</v>
      </c>
      <c r="I538" s="3">
        <f t="shared" si="17"/>
        <v>181</v>
      </c>
      <c r="J538" s="14">
        <f>AVERAGE(Table1[[#This Row],[math score]:[writing score]])</f>
        <v>60.333333333333336</v>
      </c>
      <c r="K538" s="3">
        <f t="shared" si="16"/>
        <v>300</v>
      </c>
      <c r="L538" s="5">
        <f>Table1[[#This Row],[Total Score]]/Table1[[#This Row],[Minimum Mark]]</f>
        <v>0.60333333333333339</v>
      </c>
      <c r="M538" s="71" t="str">
        <f>_xlfn.XLOOKUP(Table1[[#This Row],[Pass(%)]],O:O,P:P,,-1)</f>
        <v>D+</v>
      </c>
    </row>
    <row r="539" spans="1:13" ht="20.5" x14ac:dyDescent="0.8">
      <c r="A539" s="3" t="s">
        <v>8</v>
      </c>
      <c r="B539" s="3" t="s">
        <v>24</v>
      </c>
      <c r="C539" s="7" t="s">
        <v>19</v>
      </c>
      <c r="D539" s="7" t="s">
        <v>11</v>
      </c>
      <c r="E539" s="7" t="s">
        <v>15</v>
      </c>
      <c r="F539" s="7">
        <v>79</v>
      </c>
      <c r="G539" s="7">
        <v>88</v>
      </c>
      <c r="H539" s="7">
        <v>94</v>
      </c>
      <c r="I539" s="3">
        <f t="shared" si="17"/>
        <v>261</v>
      </c>
      <c r="J539" s="14">
        <f>AVERAGE(Table1[[#This Row],[math score]:[writing score]])</f>
        <v>87</v>
      </c>
      <c r="K539" s="3">
        <f t="shared" si="16"/>
        <v>300</v>
      </c>
      <c r="L539" s="5">
        <f>Table1[[#This Row],[Total Score]]/Table1[[#This Row],[Minimum Mark]]</f>
        <v>0.87</v>
      </c>
      <c r="M539" s="71" t="str">
        <f>_xlfn.XLOOKUP(Table1[[#This Row],[Pass(%)]],O:O,P:P,,-1)</f>
        <v>B+</v>
      </c>
    </row>
    <row r="540" spans="1:13" x14ac:dyDescent="0.35">
      <c r="A540" s="2" t="s">
        <v>17</v>
      </c>
      <c r="B540" s="2" t="s">
        <v>9</v>
      </c>
      <c r="C540" s="6" t="s">
        <v>22</v>
      </c>
      <c r="D540" s="6" t="s">
        <v>11</v>
      </c>
      <c r="E540" s="6" t="s">
        <v>15</v>
      </c>
      <c r="F540" s="6">
        <v>73</v>
      </c>
      <c r="G540" s="6">
        <v>69</v>
      </c>
      <c r="H540" s="6">
        <v>68</v>
      </c>
      <c r="I540" s="2">
        <f t="shared" si="17"/>
        <v>210</v>
      </c>
      <c r="J540" s="8">
        <f>AVERAGE(Table1[[#This Row],[math score]:[writing score]])</f>
        <v>70</v>
      </c>
      <c r="K540" s="2">
        <f t="shared" si="16"/>
        <v>300</v>
      </c>
      <c r="L540" s="4">
        <f>Table1[[#This Row],[Total Score]]/Table1[[#This Row],[Minimum Mark]]</f>
        <v>0.7</v>
      </c>
      <c r="M540" s="70" t="str">
        <f>_xlfn.XLOOKUP(Table1[[#This Row],[Pass(%)]],O:O,P:P,,-1)</f>
        <v>C-</v>
      </c>
    </row>
    <row r="541" spans="1:13" x14ac:dyDescent="0.35">
      <c r="A541" s="2" t="s">
        <v>8</v>
      </c>
      <c r="B541" s="2" t="s">
        <v>13</v>
      </c>
      <c r="C541" s="6" t="s">
        <v>10</v>
      </c>
      <c r="D541" s="6" t="s">
        <v>20</v>
      </c>
      <c r="E541" s="6" t="s">
        <v>15</v>
      </c>
      <c r="F541" s="6">
        <v>66</v>
      </c>
      <c r="G541" s="6">
        <v>83</v>
      </c>
      <c r="H541" s="6">
        <v>83</v>
      </c>
      <c r="I541" s="2">
        <f t="shared" si="17"/>
        <v>232</v>
      </c>
      <c r="J541" s="8">
        <f>AVERAGE(Table1[[#This Row],[math score]:[writing score]])</f>
        <v>77.333333333333329</v>
      </c>
      <c r="K541" s="2">
        <f t="shared" si="16"/>
        <v>300</v>
      </c>
      <c r="L541" s="4">
        <f>Table1[[#This Row],[Total Score]]/Table1[[#This Row],[Minimum Mark]]</f>
        <v>0.77333333333333332</v>
      </c>
      <c r="M541" s="70" t="str">
        <f>_xlfn.XLOOKUP(Table1[[#This Row],[Pass(%)]],O:O,P:P,,-1)</f>
        <v>C+</v>
      </c>
    </row>
    <row r="542" spans="1:13" ht="20.5" x14ac:dyDescent="0.8">
      <c r="A542" s="3" t="s">
        <v>17</v>
      </c>
      <c r="B542" s="3" t="s">
        <v>13</v>
      </c>
      <c r="C542" s="7" t="s">
        <v>19</v>
      </c>
      <c r="D542" s="7" t="s">
        <v>11</v>
      </c>
      <c r="E542" s="7" t="s">
        <v>15</v>
      </c>
      <c r="F542" s="7">
        <v>51</v>
      </c>
      <c r="G542" s="7">
        <v>60</v>
      </c>
      <c r="H542" s="7">
        <v>58</v>
      </c>
      <c r="I542" s="3">
        <f t="shared" si="17"/>
        <v>169</v>
      </c>
      <c r="J542" s="14">
        <f>AVERAGE(Table1[[#This Row],[math score]:[writing score]])</f>
        <v>56.333333333333336</v>
      </c>
      <c r="K542" s="3">
        <f t="shared" si="16"/>
        <v>300</v>
      </c>
      <c r="L542" s="5">
        <f>Table1[[#This Row],[Total Score]]/Table1[[#This Row],[Minimum Mark]]</f>
        <v>0.56333333333333335</v>
      </c>
      <c r="M542" s="71" t="str">
        <f>_xlfn.XLOOKUP(Table1[[#This Row],[Pass(%)]],O:O,P:P,,-1)</f>
        <v>D+</v>
      </c>
    </row>
    <row r="543" spans="1:13" x14ac:dyDescent="0.35">
      <c r="A543" s="2" t="s">
        <v>8</v>
      </c>
      <c r="B543" s="2" t="s">
        <v>21</v>
      </c>
      <c r="C543" s="6" t="s">
        <v>22</v>
      </c>
      <c r="D543" s="6" t="s">
        <v>11</v>
      </c>
      <c r="E543" s="6" t="s">
        <v>12</v>
      </c>
      <c r="F543" s="6">
        <v>51</v>
      </c>
      <c r="G543" s="6">
        <v>66</v>
      </c>
      <c r="H543" s="6">
        <v>62</v>
      </c>
      <c r="I543" s="2">
        <f t="shared" si="17"/>
        <v>179</v>
      </c>
      <c r="J543" s="8">
        <f>AVERAGE(Table1[[#This Row],[math score]:[writing score]])</f>
        <v>59.666666666666664</v>
      </c>
      <c r="K543" s="2">
        <f t="shared" si="16"/>
        <v>300</v>
      </c>
      <c r="L543" s="4">
        <f>Table1[[#This Row],[Total Score]]/Table1[[#This Row],[Minimum Mark]]</f>
        <v>0.59666666666666668</v>
      </c>
      <c r="M543" s="70" t="str">
        <f>_xlfn.XLOOKUP(Table1[[#This Row],[Pass(%)]],O:O,P:P,,-1)</f>
        <v>D+</v>
      </c>
    </row>
    <row r="544" spans="1:13" x14ac:dyDescent="0.35">
      <c r="A544" s="2" t="s">
        <v>17</v>
      </c>
      <c r="B544" s="2" t="s">
        <v>24</v>
      </c>
      <c r="C544" s="6" t="s">
        <v>10</v>
      </c>
      <c r="D544" s="6" t="s">
        <v>11</v>
      </c>
      <c r="E544" s="6" t="s">
        <v>15</v>
      </c>
      <c r="F544" s="6">
        <v>85</v>
      </c>
      <c r="G544" s="6">
        <v>66</v>
      </c>
      <c r="H544" s="6">
        <v>71</v>
      </c>
      <c r="I544" s="2">
        <f t="shared" si="17"/>
        <v>222</v>
      </c>
      <c r="J544" s="8">
        <f>AVERAGE(Table1[[#This Row],[math score]:[writing score]])</f>
        <v>74</v>
      </c>
      <c r="K544" s="2">
        <f t="shared" si="16"/>
        <v>300</v>
      </c>
      <c r="L544" s="4">
        <f>Table1[[#This Row],[Total Score]]/Table1[[#This Row],[Minimum Mark]]</f>
        <v>0.74</v>
      </c>
      <c r="M544" s="70" t="str">
        <f>_xlfn.XLOOKUP(Table1[[#This Row],[Pass(%)]],O:O,P:P,,-1)</f>
        <v>C</v>
      </c>
    </row>
    <row r="545" spans="1:13" ht="20.5" x14ac:dyDescent="0.8">
      <c r="A545" s="3" t="s">
        <v>17</v>
      </c>
      <c r="B545" s="3" t="s">
        <v>18</v>
      </c>
      <c r="C545" s="7" t="s">
        <v>19</v>
      </c>
      <c r="D545" s="7" t="s">
        <v>11</v>
      </c>
      <c r="E545" s="7" t="s">
        <v>15</v>
      </c>
      <c r="F545" s="7">
        <v>97</v>
      </c>
      <c r="G545" s="7">
        <v>92</v>
      </c>
      <c r="H545" s="7">
        <v>86</v>
      </c>
      <c r="I545" s="3">
        <f t="shared" si="17"/>
        <v>275</v>
      </c>
      <c r="J545" s="14">
        <f>AVERAGE(Table1[[#This Row],[math score]:[writing score]])</f>
        <v>91.666666666666671</v>
      </c>
      <c r="K545" s="3">
        <f t="shared" si="16"/>
        <v>300</v>
      </c>
      <c r="L545" s="5">
        <f>Table1[[#This Row],[Total Score]]/Table1[[#This Row],[Minimum Mark]]</f>
        <v>0.91666666666666663</v>
      </c>
      <c r="M545" s="71" t="str">
        <f>_xlfn.XLOOKUP(Table1[[#This Row],[Pass(%)]],O:O,P:P,,-1)</f>
        <v>A-</v>
      </c>
    </row>
    <row r="546" spans="1:13" x14ac:dyDescent="0.35">
      <c r="A546" s="2" t="s">
        <v>17</v>
      </c>
      <c r="B546" s="2" t="s">
        <v>13</v>
      </c>
      <c r="C546" s="6" t="s">
        <v>22</v>
      </c>
      <c r="D546" s="6" t="s">
        <v>11</v>
      </c>
      <c r="E546" s="6" t="s">
        <v>15</v>
      </c>
      <c r="F546" s="6">
        <v>75</v>
      </c>
      <c r="G546" s="6">
        <v>69</v>
      </c>
      <c r="H546" s="6">
        <v>68</v>
      </c>
      <c r="I546" s="2">
        <f t="shared" si="17"/>
        <v>212</v>
      </c>
      <c r="J546" s="8">
        <f>AVERAGE(Table1[[#This Row],[math score]:[writing score]])</f>
        <v>70.666666666666671</v>
      </c>
      <c r="K546" s="2">
        <f t="shared" si="16"/>
        <v>300</v>
      </c>
      <c r="L546" s="4">
        <f>Table1[[#This Row],[Total Score]]/Table1[[#This Row],[Minimum Mark]]</f>
        <v>0.70666666666666667</v>
      </c>
      <c r="M546" s="70" t="str">
        <f>_xlfn.XLOOKUP(Table1[[#This Row],[Pass(%)]],O:O,P:P,,-1)</f>
        <v>C-</v>
      </c>
    </row>
    <row r="547" spans="1:13" ht="20.5" x14ac:dyDescent="0.8">
      <c r="A547" s="3" t="s">
        <v>17</v>
      </c>
      <c r="B547" s="3" t="s">
        <v>21</v>
      </c>
      <c r="C547" s="7" t="s">
        <v>19</v>
      </c>
      <c r="D547" s="7" t="s">
        <v>20</v>
      </c>
      <c r="E547" s="7" t="s">
        <v>15</v>
      </c>
      <c r="F547" s="7">
        <v>79</v>
      </c>
      <c r="G547" s="7">
        <v>82</v>
      </c>
      <c r="H547" s="7">
        <v>80</v>
      </c>
      <c r="I547" s="3">
        <f t="shared" si="17"/>
        <v>241</v>
      </c>
      <c r="J547" s="14">
        <f>AVERAGE(Table1[[#This Row],[math score]:[writing score]])</f>
        <v>80.333333333333329</v>
      </c>
      <c r="K547" s="3">
        <f t="shared" si="16"/>
        <v>300</v>
      </c>
      <c r="L547" s="5">
        <f>Table1[[#This Row],[Total Score]]/Table1[[#This Row],[Minimum Mark]]</f>
        <v>0.80333333333333334</v>
      </c>
      <c r="M547" s="71" t="str">
        <f>_xlfn.XLOOKUP(Table1[[#This Row],[Pass(%)]],O:O,P:P,,-1)</f>
        <v>B-</v>
      </c>
    </row>
    <row r="548" spans="1:13" ht="20.5" x14ac:dyDescent="0.8">
      <c r="A548" s="3" t="s">
        <v>8</v>
      </c>
      <c r="B548" s="3" t="s">
        <v>13</v>
      </c>
      <c r="C548" s="7" t="s">
        <v>19</v>
      </c>
      <c r="D548" s="7" t="s">
        <v>11</v>
      </c>
      <c r="E548" s="7" t="s">
        <v>12</v>
      </c>
      <c r="F548" s="7">
        <v>81</v>
      </c>
      <c r="G548" s="7">
        <v>77</v>
      </c>
      <c r="H548" s="7">
        <v>79</v>
      </c>
      <c r="I548" s="3">
        <f t="shared" si="17"/>
        <v>237</v>
      </c>
      <c r="J548" s="14">
        <f>AVERAGE(Table1[[#This Row],[math score]:[writing score]])</f>
        <v>79</v>
      </c>
      <c r="K548" s="3">
        <f t="shared" si="16"/>
        <v>300</v>
      </c>
      <c r="L548" s="5">
        <f>Table1[[#This Row],[Total Score]]/Table1[[#This Row],[Minimum Mark]]</f>
        <v>0.79</v>
      </c>
      <c r="M548" s="71" t="str">
        <f>_xlfn.XLOOKUP(Table1[[#This Row],[Pass(%)]],O:O,P:P,,-1)</f>
        <v>C+</v>
      </c>
    </row>
    <row r="549" spans="1:13" ht="20.5" x14ac:dyDescent="0.8">
      <c r="A549" s="3" t="s">
        <v>8</v>
      </c>
      <c r="B549" s="3" t="s">
        <v>21</v>
      </c>
      <c r="C549" s="7" t="s">
        <v>19</v>
      </c>
      <c r="D549" s="7" t="s">
        <v>11</v>
      </c>
      <c r="E549" s="7" t="s">
        <v>12</v>
      </c>
      <c r="F549" s="7">
        <v>82</v>
      </c>
      <c r="G549" s="7">
        <v>95</v>
      </c>
      <c r="H549" s="7">
        <v>89</v>
      </c>
      <c r="I549" s="3">
        <f t="shared" si="17"/>
        <v>266</v>
      </c>
      <c r="J549" s="14">
        <f>AVERAGE(Table1[[#This Row],[math score]:[writing score]])</f>
        <v>88.666666666666671</v>
      </c>
      <c r="K549" s="3">
        <f t="shared" si="16"/>
        <v>300</v>
      </c>
      <c r="L549" s="5">
        <f>Table1[[#This Row],[Total Score]]/Table1[[#This Row],[Minimum Mark]]</f>
        <v>0.88666666666666671</v>
      </c>
      <c r="M549" s="71" t="str">
        <f>_xlfn.XLOOKUP(Table1[[#This Row],[Pass(%)]],O:O,P:P,,-1)</f>
        <v>B+</v>
      </c>
    </row>
    <row r="550" spans="1:13" x14ac:dyDescent="0.35">
      <c r="A550" s="2" t="s">
        <v>8</v>
      </c>
      <c r="B550" s="2" t="s">
        <v>21</v>
      </c>
      <c r="C550" s="6" t="s">
        <v>16</v>
      </c>
      <c r="D550" s="6" t="s">
        <v>11</v>
      </c>
      <c r="E550" s="6" t="s">
        <v>12</v>
      </c>
      <c r="F550" s="6">
        <v>64</v>
      </c>
      <c r="G550" s="6">
        <v>63</v>
      </c>
      <c r="H550" s="6">
        <v>66</v>
      </c>
      <c r="I550" s="2">
        <f t="shared" si="17"/>
        <v>193</v>
      </c>
      <c r="J550" s="8">
        <f>AVERAGE(Table1[[#This Row],[math score]:[writing score]])</f>
        <v>64.333333333333329</v>
      </c>
      <c r="K550" s="2">
        <f t="shared" si="16"/>
        <v>300</v>
      </c>
      <c r="L550" s="4">
        <f>Table1[[#This Row],[Total Score]]/Table1[[#This Row],[Minimum Mark]]</f>
        <v>0.64333333333333331</v>
      </c>
      <c r="M550" s="70" t="str">
        <f>_xlfn.XLOOKUP(Table1[[#This Row],[Pass(%)]],O:O,P:P,,-1)</f>
        <v>D+</v>
      </c>
    </row>
    <row r="551" spans="1:13" x14ac:dyDescent="0.35">
      <c r="A551" s="2" t="s">
        <v>17</v>
      </c>
      <c r="B551" s="2" t="s">
        <v>24</v>
      </c>
      <c r="C551" s="6" t="s">
        <v>23</v>
      </c>
      <c r="D551" s="6" t="s">
        <v>20</v>
      </c>
      <c r="E551" s="6" t="s">
        <v>15</v>
      </c>
      <c r="F551" s="6">
        <v>78</v>
      </c>
      <c r="G551" s="6">
        <v>83</v>
      </c>
      <c r="H551" s="6">
        <v>80</v>
      </c>
      <c r="I551" s="2">
        <f t="shared" si="17"/>
        <v>241</v>
      </c>
      <c r="J551" s="8">
        <f>AVERAGE(Table1[[#This Row],[math score]:[writing score]])</f>
        <v>80.333333333333329</v>
      </c>
      <c r="K551" s="2">
        <f t="shared" si="16"/>
        <v>300</v>
      </c>
      <c r="L551" s="4">
        <f>Table1[[#This Row],[Total Score]]/Table1[[#This Row],[Minimum Mark]]</f>
        <v>0.80333333333333334</v>
      </c>
      <c r="M551" s="70" t="str">
        <f>_xlfn.XLOOKUP(Table1[[#This Row],[Pass(%)]],O:O,P:P,,-1)</f>
        <v>B-</v>
      </c>
    </row>
    <row r="552" spans="1:13" x14ac:dyDescent="0.35">
      <c r="A552" s="2" t="s">
        <v>8</v>
      </c>
      <c r="B552" s="2" t="s">
        <v>18</v>
      </c>
      <c r="C552" s="6" t="s">
        <v>23</v>
      </c>
      <c r="D552" s="6" t="s">
        <v>11</v>
      </c>
      <c r="E552" s="6" t="s">
        <v>15</v>
      </c>
      <c r="F552" s="6">
        <v>92</v>
      </c>
      <c r="G552" s="6">
        <v>100</v>
      </c>
      <c r="H552" s="6">
        <v>97</v>
      </c>
      <c r="I552" s="2">
        <f t="shared" si="17"/>
        <v>289</v>
      </c>
      <c r="J552" s="8">
        <f>AVERAGE(Table1[[#This Row],[math score]:[writing score]])</f>
        <v>96.333333333333329</v>
      </c>
      <c r="K552" s="2">
        <f t="shared" si="16"/>
        <v>300</v>
      </c>
      <c r="L552" s="4">
        <f>Table1[[#This Row],[Total Score]]/Table1[[#This Row],[Minimum Mark]]</f>
        <v>0.96333333333333337</v>
      </c>
      <c r="M552" s="70" t="str">
        <f>_xlfn.XLOOKUP(Table1[[#This Row],[Pass(%)]],O:O,P:P,,-1)</f>
        <v>A</v>
      </c>
    </row>
    <row r="553" spans="1:13" x14ac:dyDescent="0.35">
      <c r="A553" s="2" t="s">
        <v>17</v>
      </c>
      <c r="B553" s="2" t="s">
        <v>13</v>
      </c>
      <c r="C553" s="6" t="s">
        <v>22</v>
      </c>
      <c r="D553" s="6" t="s">
        <v>11</v>
      </c>
      <c r="E553" s="6" t="s">
        <v>15</v>
      </c>
      <c r="F553" s="6">
        <v>72</v>
      </c>
      <c r="G553" s="6">
        <v>67</v>
      </c>
      <c r="H553" s="6">
        <v>64</v>
      </c>
      <c r="I553" s="2">
        <f t="shared" si="17"/>
        <v>203</v>
      </c>
      <c r="J553" s="8">
        <f>AVERAGE(Table1[[#This Row],[math score]:[writing score]])</f>
        <v>67.666666666666671</v>
      </c>
      <c r="K553" s="2">
        <f t="shared" si="16"/>
        <v>300</v>
      </c>
      <c r="L553" s="4">
        <f>Table1[[#This Row],[Total Score]]/Table1[[#This Row],[Minimum Mark]]</f>
        <v>0.67666666666666664</v>
      </c>
      <c r="M553" s="70" t="str">
        <f>_xlfn.XLOOKUP(Table1[[#This Row],[Pass(%)]],O:O,P:P,,-1)</f>
        <v>D+</v>
      </c>
    </row>
    <row r="554" spans="1:13" x14ac:dyDescent="0.35">
      <c r="A554" s="2" t="s">
        <v>8</v>
      </c>
      <c r="B554" s="2" t="s">
        <v>13</v>
      </c>
      <c r="C554" s="6" t="s">
        <v>22</v>
      </c>
      <c r="D554" s="6" t="s">
        <v>20</v>
      </c>
      <c r="E554" s="6" t="s">
        <v>12</v>
      </c>
      <c r="F554" s="6">
        <v>62</v>
      </c>
      <c r="G554" s="6">
        <v>67</v>
      </c>
      <c r="H554" s="6">
        <v>64</v>
      </c>
      <c r="I554" s="2">
        <f t="shared" si="17"/>
        <v>193</v>
      </c>
      <c r="J554" s="8">
        <f>AVERAGE(Table1[[#This Row],[math score]:[writing score]])</f>
        <v>64.333333333333329</v>
      </c>
      <c r="K554" s="2">
        <f t="shared" si="16"/>
        <v>300</v>
      </c>
      <c r="L554" s="4">
        <f>Table1[[#This Row],[Total Score]]/Table1[[#This Row],[Minimum Mark]]</f>
        <v>0.64333333333333331</v>
      </c>
      <c r="M554" s="70" t="str">
        <f>_xlfn.XLOOKUP(Table1[[#This Row],[Pass(%)]],O:O,P:P,,-1)</f>
        <v>D+</v>
      </c>
    </row>
    <row r="555" spans="1:13" x14ac:dyDescent="0.35">
      <c r="A555" s="2" t="s">
        <v>17</v>
      </c>
      <c r="B555" s="2" t="s">
        <v>13</v>
      </c>
      <c r="C555" s="6" t="s">
        <v>16</v>
      </c>
      <c r="D555" s="6" t="s">
        <v>11</v>
      </c>
      <c r="E555" s="6" t="s">
        <v>12</v>
      </c>
      <c r="F555" s="6">
        <v>79</v>
      </c>
      <c r="G555" s="6">
        <v>72</v>
      </c>
      <c r="H555" s="6">
        <v>69</v>
      </c>
      <c r="I555" s="2">
        <f t="shared" si="17"/>
        <v>220</v>
      </c>
      <c r="J555" s="8">
        <f>AVERAGE(Table1[[#This Row],[math score]:[writing score]])</f>
        <v>73.333333333333329</v>
      </c>
      <c r="K555" s="2">
        <f t="shared" si="16"/>
        <v>300</v>
      </c>
      <c r="L555" s="4">
        <f>Table1[[#This Row],[Total Score]]/Table1[[#This Row],[Minimum Mark]]</f>
        <v>0.73333333333333328</v>
      </c>
      <c r="M555" s="70" t="str">
        <f>_xlfn.XLOOKUP(Table1[[#This Row],[Pass(%)]],O:O,P:P,,-1)</f>
        <v>C</v>
      </c>
    </row>
    <row r="556" spans="1:13" x14ac:dyDescent="0.35">
      <c r="A556" s="2" t="s">
        <v>17</v>
      </c>
      <c r="B556" s="2" t="s">
        <v>13</v>
      </c>
      <c r="C556" s="6" t="s">
        <v>23</v>
      </c>
      <c r="D556" s="6" t="s">
        <v>20</v>
      </c>
      <c r="E556" s="6" t="s">
        <v>12</v>
      </c>
      <c r="F556" s="6">
        <v>79</v>
      </c>
      <c r="G556" s="6">
        <v>76</v>
      </c>
      <c r="H556" s="6">
        <v>65</v>
      </c>
      <c r="I556" s="2">
        <f t="shared" si="17"/>
        <v>220</v>
      </c>
      <c r="J556" s="8">
        <f>AVERAGE(Table1[[#This Row],[math score]:[writing score]])</f>
        <v>73.333333333333329</v>
      </c>
      <c r="K556" s="2">
        <f t="shared" si="16"/>
        <v>300</v>
      </c>
      <c r="L556" s="4">
        <f>Table1[[#This Row],[Total Score]]/Table1[[#This Row],[Minimum Mark]]</f>
        <v>0.73333333333333328</v>
      </c>
      <c r="M556" s="70" t="str">
        <f>_xlfn.XLOOKUP(Table1[[#This Row],[Pass(%)]],O:O,P:P,,-1)</f>
        <v>C</v>
      </c>
    </row>
    <row r="557" spans="1:13" x14ac:dyDescent="0.35">
      <c r="A557" s="2" t="s">
        <v>17</v>
      </c>
      <c r="B557" s="2" t="s">
        <v>9</v>
      </c>
      <c r="C557" s="6" t="s">
        <v>10</v>
      </c>
      <c r="D557" s="6" t="s">
        <v>20</v>
      </c>
      <c r="E557" s="6" t="s">
        <v>15</v>
      </c>
      <c r="F557" s="6">
        <v>87</v>
      </c>
      <c r="G557" s="6">
        <v>90</v>
      </c>
      <c r="H557" s="6">
        <v>88</v>
      </c>
      <c r="I557" s="2">
        <f t="shared" si="17"/>
        <v>265</v>
      </c>
      <c r="J557" s="8">
        <f>AVERAGE(Table1[[#This Row],[math score]:[writing score]])</f>
        <v>88.333333333333329</v>
      </c>
      <c r="K557" s="2">
        <f t="shared" si="16"/>
        <v>300</v>
      </c>
      <c r="L557" s="4">
        <f>Table1[[#This Row],[Total Score]]/Table1[[#This Row],[Minimum Mark]]</f>
        <v>0.8833333333333333</v>
      </c>
      <c r="M557" s="70" t="str">
        <f>_xlfn.XLOOKUP(Table1[[#This Row],[Pass(%)]],O:O,P:P,,-1)</f>
        <v>B+</v>
      </c>
    </row>
    <row r="558" spans="1:13" ht="20.5" x14ac:dyDescent="0.8">
      <c r="A558" s="3" t="s">
        <v>8</v>
      </c>
      <c r="B558" s="3" t="s">
        <v>9</v>
      </c>
      <c r="C558" s="7" t="s">
        <v>19</v>
      </c>
      <c r="D558" s="7" t="s">
        <v>11</v>
      </c>
      <c r="E558" s="7" t="s">
        <v>12</v>
      </c>
      <c r="F558" s="7">
        <v>40</v>
      </c>
      <c r="G558" s="7">
        <v>48</v>
      </c>
      <c r="H558" s="7">
        <v>50</v>
      </c>
      <c r="I558" s="3">
        <f t="shared" si="17"/>
        <v>138</v>
      </c>
      <c r="J558" s="14">
        <f>AVERAGE(Table1[[#This Row],[math score]:[writing score]])</f>
        <v>46</v>
      </c>
      <c r="K558" s="3">
        <f t="shared" si="16"/>
        <v>300</v>
      </c>
      <c r="L558" s="5">
        <f>Table1[[#This Row],[Total Score]]/Table1[[#This Row],[Minimum Mark]]</f>
        <v>0.46</v>
      </c>
      <c r="M558" s="71" t="str">
        <f>_xlfn.XLOOKUP(Table1[[#This Row],[Pass(%)]],O:O,P:P,,-1)</f>
        <v>D</v>
      </c>
    </row>
    <row r="559" spans="1:13" x14ac:dyDescent="0.35">
      <c r="A559" s="2" t="s">
        <v>17</v>
      </c>
      <c r="B559" s="2" t="s">
        <v>21</v>
      </c>
      <c r="C559" s="6" t="s">
        <v>14</v>
      </c>
      <c r="D559" s="6" t="s">
        <v>20</v>
      </c>
      <c r="E559" s="6" t="s">
        <v>12</v>
      </c>
      <c r="F559" s="6">
        <v>77</v>
      </c>
      <c r="G559" s="6">
        <v>62</v>
      </c>
      <c r="H559" s="6">
        <v>64</v>
      </c>
      <c r="I559" s="2">
        <f t="shared" si="17"/>
        <v>203</v>
      </c>
      <c r="J559" s="8">
        <f>AVERAGE(Table1[[#This Row],[math score]:[writing score]])</f>
        <v>67.666666666666671</v>
      </c>
      <c r="K559" s="2">
        <f t="shared" si="16"/>
        <v>300</v>
      </c>
      <c r="L559" s="4">
        <f>Table1[[#This Row],[Total Score]]/Table1[[#This Row],[Minimum Mark]]</f>
        <v>0.67666666666666664</v>
      </c>
      <c r="M559" s="70" t="str">
        <f>_xlfn.XLOOKUP(Table1[[#This Row],[Pass(%)]],O:O,P:P,,-1)</f>
        <v>D+</v>
      </c>
    </row>
    <row r="560" spans="1:13" ht="20.5" x14ac:dyDescent="0.8">
      <c r="A560" s="3" t="s">
        <v>17</v>
      </c>
      <c r="B560" s="3" t="s">
        <v>24</v>
      </c>
      <c r="C560" s="7" t="s">
        <v>19</v>
      </c>
      <c r="D560" s="7" t="s">
        <v>11</v>
      </c>
      <c r="E560" s="7" t="s">
        <v>12</v>
      </c>
      <c r="F560" s="7">
        <v>53</v>
      </c>
      <c r="G560" s="7">
        <v>45</v>
      </c>
      <c r="H560" s="7">
        <v>40</v>
      </c>
      <c r="I560" s="3">
        <f t="shared" si="17"/>
        <v>138</v>
      </c>
      <c r="J560" s="14">
        <f>AVERAGE(Table1[[#This Row],[math score]:[writing score]])</f>
        <v>46</v>
      </c>
      <c r="K560" s="3">
        <f t="shared" si="16"/>
        <v>300</v>
      </c>
      <c r="L560" s="5">
        <f>Table1[[#This Row],[Total Score]]/Table1[[#This Row],[Minimum Mark]]</f>
        <v>0.46</v>
      </c>
      <c r="M560" s="71" t="str">
        <f>_xlfn.XLOOKUP(Table1[[#This Row],[Pass(%)]],O:O,P:P,,-1)</f>
        <v>D</v>
      </c>
    </row>
    <row r="561" spans="1:13" x14ac:dyDescent="0.35">
      <c r="A561" s="2" t="s">
        <v>8</v>
      </c>
      <c r="B561" s="2" t="s">
        <v>13</v>
      </c>
      <c r="C561" s="6" t="s">
        <v>14</v>
      </c>
      <c r="D561" s="6" t="s">
        <v>20</v>
      </c>
      <c r="E561" s="6" t="s">
        <v>12</v>
      </c>
      <c r="F561" s="6">
        <v>32</v>
      </c>
      <c r="G561" s="6">
        <v>39</v>
      </c>
      <c r="H561" s="6">
        <v>33</v>
      </c>
      <c r="I561" s="2">
        <f t="shared" si="17"/>
        <v>104</v>
      </c>
      <c r="J561" s="8">
        <f>AVERAGE(Table1[[#This Row],[math score]:[writing score]])</f>
        <v>34.666666666666664</v>
      </c>
      <c r="K561" s="2">
        <f t="shared" si="16"/>
        <v>300</v>
      </c>
      <c r="L561" s="4">
        <f>Table1[[#This Row],[Total Score]]/Table1[[#This Row],[Minimum Mark]]</f>
        <v>0.34666666666666668</v>
      </c>
      <c r="M561" s="70" t="str">
        <f>_xlfn.XLOOKUP(Table1[[#This Row],[Pass(%)]],O:O,P:P,,-1)</f>
        <v>D-</v>
      </c>
    </row>
    <row r="562" spans="1:13" ht="20.5" x14ac:dyDescent="0.8">
      <c r="A562" s="3" t="s">
        <v>8</v>
      </c>
      <c r="B562" s="3" t="s">
        <v>13</v>
      </c>
      <c r="C562" s="7" t="s">
        <v>19</v>
      </c>
      <c r="D562" s="7" t="s">
        <v>11</v>
      </c>
      <c r="E562" s="7" t="s">
        <v>15</v>
      </c>
      <c r="F562" s="7">
        <v>55</v>
      </c>
      <c r="G562" s="7">
        <v>72</v>
      </c>
      <c r="H562" s="7">
        <v>79</v>
      </c>
      <c r="I562" s="3">
        <f t="shared" si="17"/>
        <v>206</v>
      </c>
      <c r="J562" s="14">
        <f>AVERAGE(Table1[[#This Row],[math score]:[writing score]])</f>
        <v>68.666666666666671</v>
      </c>
      <c r="K562" s="3">
        <f t="shared" si="16"/>
        <v>300</v>
      </c>
      <c r="L562" s="5">
        <f>Table1[[#This Row],[Total Score]]/Table1[[#This Row],[Minimum Mark]]</f>
        <v>0.68666666666666665</v>
      </c>
      <c r="M562" s="71" t="str">
        <f>_xlfn.XLOOKUP(Table1[[#This Row],[Pass(%)]],O:O,P:P,,-1)</f>
        <v>D+</v>
      </c>
    </row>
    <row r="563" spans="1:13" x14ac:dyDescent="0.35">
      <c r="A563" s="2" t="s">
        <v>17</v>
      </c>
      <c r="B563" s="2" t="s">
        <v>13</v>
      </c>
      <c r="C563" s="6" t="s">
        <v>16</v>
      </c>
      <c r="D563" s="6" t="s">
        <v>20</v>
      </c>
      <c r="E563" s="6" t="s">
        <v>12</v>
      </c>
      <c r="F563" s="6">
        <v>61</v>
      </c>
      <c r="G563" s="6">
        <v>67</v>
      </c>
      <c r="H563" s="6">
        <v>66</v>
      </c>
      <c r="I563" s="2">
        <f t="shared" si="17"/>
        <v>194</v>
      </c>
      <c r="J563" s="8">
        <f>AVERAGE(Table1[[#This Row],[math score]:[writing score]])</f>
        <v>64.666666666666671</v>
      </c>
      <c r="K563" s="2">
        <f t="shared" si="16"/>
        <v>300</v>
      </c>
      <c r="L563" s="4">
        <f>Table1[[#This Row],[Total Score]]/Table1[[#This Row],[Minimum Mark]]</f>
        <v>0.64666666666666661</v>
      </c>
      <c r="M563" s="70" t="str">
        <f>_xlfn.XLOOKUP(Table1[[#This Row],[Pass(%)]],O:O,P:P,,-1)</f>
        <v>D+</v>
      </c>
    </row>
    <row r="564" spans="1:13" ht="20.5" x14ac:dyDescent="0.8">
      <c r="A564" s="3" t="s">
        <v>8</v>
      </c>
      <c r="B564" s="3" t="s">
        <v>9</v>
      </c>
      <c r="C564" s="7" t="s">
        <v>19</v>
      </c>
      <c r="D564" s="7" t="s">
        <v>20</v>
      </c>
      <c r="E564" s="7" t="s">
        <v>12</v>
      </c>
      <c r="F564" s="7">
        <v>53</v>
      </c>
      <c r="G564" s="7">
        <v>70</v>
      </c>
      <c r="H564" s="7">
        <v>70</v>
      </c>
      <c r="I564" s="3">
        <f t="shared" si="17"/>
        <v>193</v>
      </c>
      <c r="J564" s="14">
        <f>AVERAGE(Table1[[#This Row],[math score]:[writing score]])</f>
        <v>64.333333333333329</v>
      </c>
      <c r="K564" s="3">
        <f t="shared" si="16"/>
        <v>300</v>
      </c>
      <c r="L564" s="5">
        <f>Table1[[#This Row],[Total Score]]/Table1[[#This Row],[Minimum Mark]]</f>
        <v>0.64333333333333331</v>
      </c>
      <c r="M564" s="71" t="str">
        <f>_xlfn.XLOOKUP(Table1[[#This Row],[Pass(%)]],O:O,P:P,,-1)</f>
        <v>D+</v>
      </c>
    </row>
    <row r="565" spans="1:13" x14ac:dyDescent="0.35">
      <c r="A565" s="2" t="s">
        <v>17</v>
      </c>
      <c r="B565" s="2" t="s">
        <v>21</v>
      </c>
      <c r="C565" s="6" t="s">
        <v>23</v>
      </c>
      <c r="D565" s="6" t="s">
        <v>11</v>
      </c>
      <c r="E565" s="6" t="s">
        <v>12</v>
      </c>
      <c r="F565" s="6">
        <v>73</v>
      </c>
      <c r="G565" s="6">
        <v>66</v>
      </c>
      <c r="H565" s="6">
        <v>62</v>
      </c>
      <c r="I565" s="2">
        <f t="shared" si="17"/>
        <v>201</v>
      </c>
      <c r="J565" s="8">
        <f>AVERAGE(Table1[[#This Row],[math score]:[writing score]])</f>
        <v>67</v>
      </c>
      <c r="K565" s="2">
        <f t="shared" si="16"/>
        <v>300</v>
      </c>
      <c r="L565" s="4">
        <f>Table1[[#This Row],[Total Score]]/Table1[[#This Row],[Minimum Mark]]</f>
        <v>0.67</v>
      </c>
      <c r="M565" s="70" t="str">
        <f>_xlfn.XLOOKUP(Table1[[#This Row],[Pass(%)]],O:O,P:P,,-1)</f>
        <v>D+</v>
      </c>
    </row>
    <row r="566" spans="1:13" x14ac:dyDescent="0.35">
      <c r="A566" s="2" t="s">
        <v>8</v>
      </c>
      <c r="B566" s="2" t="s">
        <v>21</v>
      </c>
      <c r="C566" s="6" t="s">
        <v>14</v>
      </c>
      <c r="D566" s="6" t="s">
        <v>11</v>
      </c>
      <c r="E566" s="6" t="s">
        <v>15</v>
      </c>
      <c r="F566" s="6">
        <v>74</v>
      </c>
      <c r="G566" s="6">
        <v>75</v>
      </c>
      <c r="H566" s="6">
        <v>79</v>
      </c>
      <c r="I566" s="2">
        <f t="shared" si="17"/>
        <v>228</v>
      </c>
      <c r="J566" s="8">
        <f>AVERAGE(Table1[[#This Row],[math score]:[writing score]])</f>
        <v>76</v>
      </c>
      <c r="K566" s="2">
        <f t="shared" si="16"/>
        <v>300</v>
      </c>
      <c r="L566" s="4">
        <f>Table1[[#This Row],[Total Score]]/Table1[[#This Row],[Minimum Mark]]</f>
        <v>0.76</v>
      </c>
      <c r="M566" s="70" t="str">
        <f>_xlfn.XLOOKUP(Table1[[#This Row],[Pass(%)]],O:O,P:P,,-1)</f>
        <v>C</v>
      </c>
    </row>
    <row r="567" spans="1:13" x14ac:dyDescent="0.35">
      <c r="A567" s="2" t="s">
        <v>8</v>
      </c>
      <c r="B567" s="2" t="s">
        <v>13</v>
      </c>
      <c r="C567" s="6" t="s">
        <v>14</v>
      </c>
      <c r="D567" s="6" t="s">
        <v>11</v>
      </c>
      <c r="E567" s="6" t="s">
        <v>12</v>
      </c>
      <c r="F567" s="6">
        <v>63</v>
      </c>
      <c r="G567" s="6">
        <v>74</v>
      </c>
      <c r="H567" s="6">
        <v>74</v>
      </c>
      <c r="I567" s="2">
        <f t="shared" si="17"/>
        <v>211</v>
      </c>
      <c r="J567" s="8">
        <f>AVERAGE(Table1[[#This Row],[math score]:[writing score]])</f>
        <v>70.333333333333329</v>
      </c>
      <c r="K567" s="2">
        <f t="shared" si="16"/>
        <v>300</v>
      </c>
      <c r="L567" s="4">
        <f>Table1[[#This Row],[Total Score]]/Table1[[#This Row],[Minimum Mark]]</f>
        <v>0.70333333333333337</v>
      </c>
      <c r="M567" s="70" t="str">
        <f>_xlfn.XLOOKUP(Table1[[#This Row],[Pass(%)]],O:O,P:P,,-1)</f>
        <v>C-</v>
      </c>
    </row>
    <row r="568" spans="1:13" x14ac:dyDescent="0.35">
      <c r="A568" s="2" t="s">
        <v>17</v>
      </c>
      <c r="B568" s="2" t="s">
        <v>13</v>
      </c>
      <c r="C568" s="6" t="s">
        <v>10</v>
      </c>
      <c r="D568" s="6" t="s">
        <v>11</v>
      </c>
      <c r="E568" s="6" t="s">
        <v>15</v>
      </c>
      <c r="F568" s="6">
        <v>96</v>
      </c>
      <c r="G568" s="6">
        <v>90</v>
      </c>
      <c r="H568" s="6">
        <v>92</v>
      </c>
      <c r="I568" s="2">
        <f t="shared" si="17"/>
        <v>278</v>
      </c>
      <c r="J568" s="8">
        <f>AVERAGE(Table1[[#This Row],[math score]:[writing score]])</f>
        <v>92.666666666666671</v>
      </c>
      <c r="K568" s="2">
        <f t="shared" si="16"/>
        <v>300</v>
      </c>
      <c r="L568" s="4">
        <f>Table1[[#This Row],[Total Score]]/Table1[[#This Row],[Minimum Mark]]</f>
        <v>0.92666666666666664</v>
      </c>
      <c r="M568" s="70" t="str">
        <f>_xlfn.XLOOKUP(Table1[[#This Row],[Pass(%)]],O:O,P:P,,-1)</f>
        <v>A-</v>
      </c>
    </row>
    <row r="569" spans="1:13" x14ac:dyDescent="0.35">
      <c r="A569" s="2" t="s">
        <v>8</v>
      </c>
      <c r="B569" s="2" t="s">
        <v>21</v>
      </c>
      <c r="C569" s="6" t="s">
        <v>14</v>
      </c>
      <c r="D569" s="6" t="s">
        <v>20</v>
      </c>
      <c r="E569" s="6" t="s">
        <v>15</v>
      </c>
      <c r="F569" s="6">
        <v>63</v>
      </c>
      <c r="G569" s="6">
        <v>80</v>
      </c>
      <c r="H569" s="6">
        <v>80</v>
      </c>
      <c r="I569" s="2">
        <f t="shared" si="17"/>
        <v>223</v>
      </c>
      <c r="J569" s="8">
        <f>AVERAGE(Table1[[#This Row],[math score]:[writing score]])</f>
        <v>74.333333333333329</v>
      </c>
      <c r="K569" s="2">
        <f t="shared" si="16"/>
        <v>300</v>
      </c>
      <c r="L569" s="4">
        <f>Table1[[#This Row],[Total Score]]/Table1[[#This Row],[Minimum Mark]]</f>
        <v>0.74333333333333329</v>
      </c>
      <c r="M569" s="70" t="str">
        <f>_xlfn.XLOOKUP(Table1[[#This Row],[Pass(%)]],O:O,P:P,,-1)</f>
        <v>C</v>
      </c>
    </row>
    <row r="570" spans="1:13" x14ac:dyDescent="0.35">
      <c r="A570" s="2" t="s">
        <v>17</v>
      </c>
      <c r="B570" s="2" t="s">
        <v>9</v>
      </c>
      <c r="C570" s="6" t="s">
        <v>10</v>
      </c>
      <c r="D570" s="6" t="s">
        <v>20</v>
      </c>
      <c r="E570" s="6" t="s">
        <v>12</v>
      </c>
      <c r="F570" s="6">
        <v>48</v>
      </c>
      <c r="G570" s="6">
        <v>51</v>
      </c>
      <c r="H570" s="6">
        <v>46</v>
      </c>
      <c r="I570" s="2">
        <f t="shared" si="17"/>
        <v>145</v>
      </c>
      <c r="J570" s="8">
        <f>AVERAGE(Table1[[#This Row],[math score]:[writing score]])</f>
        <v>48.333333333333336</v>
      </c>
      <c r="K570" s="2">
        <f t="shared" si="16"/>
        <v>300</v>
      </c>
      <c r="L570" s="4">
        <f>Table1[[#This Row],[Total Score]]/Table1[[#This Row],[Minimum Mark]]</f>
        <v>0.48333333333333334</v>
      </c>
      <c r="M570" s="70" t="str">
        <f>_xlfn.XLOOKUP(Table1[[#This Row],[Pass(%)]],O:O,P:P,,-1)</f>
        <v>D</v>
      </c>
    </row>
    <row r="571" spans="1:13" ht="20.5" x14ac:dyDescent="0.8">
      <c r="A571" s="3" t="s">
        <v>17</v>
      </c>
      <c r="B571" s="3" t="s">
        <v>9</v>
      </c>
      <c r="C571" s="7" t="s">
        <v>19</v>
      </c>
      <c r="D571" s="7" t="s">
        <v>11</v>
      </c>
      <c r="E571" s="7" t="s">
        <v>12</v>
      </c>
      <c r="F571" s="7">
        <v>48</v>
      </c>
      <c r="G571" s="7">
        <v>43</v>
      </c>
      <c r="H571" s="7">
        <v>45</v>
      </c>
      <c r="I571" s="3">
        <f t="shared" si="17"/>
        <v>136</v>
      </c>
      <c r="J571" s="14">
        <f>AVERAGE(Table1[[#This Row],[math score]:[writing score]])</f>
        <v>45.333333333333336</v>
      </c>
      <c r="K571" s="3">
        <f t="shared" si="16"/>
        <v>300</v>
      </c>
      <c r="L571" s="5">
        <f>Table1[[#This Row],[Total Score]]/Table1[[#This Row],[Minimum Mark]]</f>
        <v>0.45333333333333331</v>
      </c>
      <c r="M571" s="71" t="str">
        <f>_xlfn.XLOOKUP(Table1[[#This Row],[Pass(%)]],O:O,P:P,,-1)</f>
        <v>D</v>
      </c>
    </row>
    <row r="572" spans="1:13" x14ac:dyDescent="0.35">
      <c r="A572" s="2" t="s">
        <v>8</v>
      </c>
      <c r="B572" s="2" t="s">
        <v>24</v>
      </c>
      <c r="C572" s="6" t="s">
        <v>10</v>
      </c>
      <c r="D572" s="6" t="s">
        <v>20</v>
      </c>
      <c r="E572" s="6" t="s">
        <v>15</v>
      </c>
      <c r="F572" s="6">
        <v>92</v>
      </c>
      <c r="G572" s="6">
        <v>100</v>
      </c>
      <c r="H572" s="6">
        <v>100</v>
      </c>
      <c r="I572" s="2">
        <f t="shared" si="17"/>
        <v>292</v>
      </c>
      <c r="J572" s="8">
        <f>AVERAGE(Table1[[#This Row],[math score]:[writing score]])</f>
        <v>97.333333333333329</v>
      </c>
      <c r="K572" s="2">
        <f t="shared" si="16"/>
        <v>300</v>
      </c>
      <c r="L572" s="4">
        <f>Table1[[#This Row],[Total Score]]/Table1[[#This Row],[Minimum Mark]]</f>
        <v>0.97333333333333338</v>
      </c>
      <c r="M572" s="70" t="str">
        <f>_xlfn.XLOOKUP(Table1[[#This Row],[Pass(%)]],O:O,P:P,,-1)</f>
        <v>A+</v>
      </c>
    </row>
    <row r="573" spans="1:13" x14ac:dyDescent="0.35">
      <c r="A573" s="2" t="s">
        <v>8</v>
      </c>
      <c r="B573" s="2" t="s">
        <v>21</v>
      </c>
      <c r="C573" s="6" t="s">
        <v>16</v>
      </c>
      <c r="D573" s="6" t="s">
        <v>20</v>
      </c>
      <c r="E573" s="6" t="s">
        <v>15</v>
      </c>
      <c r="F573" s="6">
        <v>61</v>
      </c>
      <c r="G573" s="6">
        <v>71</v>
      </c>
      <c r="H573" s="6">
        <v>78</v>
      </c>
      <c r="I573" s="2">
        <f t="shared" si="17"/>
        <v>210</v>
      </c>
      <c r="J573" s="8">
        <f>AVERAGE(Table1[[#This Row],[math score]:[writing score]])</f>
        <v>70</v>
      </c>
      <c r="K573" s="2">
        <f t="shared" si="16"/>
        <v>300</v>
      </c>
      <c r="L573" s="4">
        <f>Table1[[#This Row],[Total Score]]/Table1[[#This Row],[Minimum Mark]]</f>
        <v>0.7</v>
      </c>
      <c r="M573" s="70" t="str">
        <f>_xlfn.XLOOKUP(Table1[[#This Row],[Pass(%)]],O:O,P:P,,-1)</f>
        <v>C-</v>
      </c>
    </row>
    <row r="574" spans="1:13" x14ac:dyDescent="0.35">
      <c r="A574" s="2" t="s">
        <v>17</v>
      </c>
      <c r="B574" s="2" t="s">
        <v>9</v>
      </c>
      <c r="C574" s="6" t="s">
        <v>22</v>
      </c>
      <c r="D574" s="6" t="s">
        <v>20</v>
      </c>
      <c r="E574" s="6" t="s">
        <v>12</v>
      </c>
      <c r="F574" s="6">
        <v>63</v>
      </c>
      <c r="G574" s="6">
        <v>48</v>
      </c>
      <c r="H574" s="6">
        <v>47</v>
      </c>
      <c r="I574" s="2">
        <f t="shared" si="17"/>
        <v>158</v>
      </c>
      <c r="J574" s="8">
        <f>AVERAGE(Table1[[#This Row],[math score]:[writing score]])</f>
        <v>52.666666666666664</v>
      </c>
      <c r="K574" s="2">
        <f t="shared" si="16"/>
        <v>300</v>
      </c>
      <c r="L574" s="4">
        <f>Table1[[#This Row],[Total Score]]/Table1[[#This Row],[Minimum Mark]]</f>
        <v>0.52666666666666662</v>
      </c>
      <c r="M574" s="70" t="str">
        <f>_xlfn.XLOOKUP(Table1[[#This Row],[Pass(%)]],O:O,P:P,,-1)</f>
        <v>D</v>
      </c>
    </row>
    <row r="575" spans="1:13" x14ac:dyDescent="0.35">
      <c r="A575" s="2" t="s">
        <v>17</v>
      </c>
      <c r="B575" s="2" t="s">
        <v>21</v>
      </c>
      <c r="C575" s="6" t="s">
        <v>10</v>
      </c>
      <c r="D575" s="6" t="s">
        <v>20</v>
      </c>
      <c r="E575" s="6" t="s">
        <v>12</v>
      </c>
      <c r="F575" s="6">
        <v>68</v>
      </c>
      <c r="G575" s="6">
        <v>68</v>
      </c>
      <c r="H575" s="6">
        <v>67</v>
      </c>
      <c r="I575" s="2">
        <f t="shared" si="17"/>
        <v>203</v>
      </c>
      <c r="J575" s="8">
        <f>AVERAGE(Table1[[#This Row],[math score]:[writing score]])</f>
        <v>67.666666666666671</v>
      </c>
      <c r="K575" s="2">
        <f t="shared" si="16"/>
        <v>300</v>
      </c>
      <c r="L575" s="4">
        <f>Table1[[#This Row],[Total Score]]/Table1[[#This Row],[Minimum Mark]]</f>
        <v>0.67666666666666664</v>
      </c>
      <c r="M575" s="70" t="str">
        <f>_xlfn.XLOOKUP(Table1[[#This Row],[Pass(%)]],O:O,P:P,,-1)</f>
        <v>D+</v>
      </c>
    </row>
    <row r="576" spans="1:13" x14ac:dyDescent="0.35">
      <c r="A576" s="2" t="s">
        <v>17</v>
      </c>
      <c r="B576" s="2" t="s">
        <v>9</v>
      </c>
      <c r="C576" s="6" t="s">
        <v>14</v>
      </c>
      <c r="D576" s="6" t="s">
        <v>11</v>
      </c>
      <c r="E576" s="6" t="s">
        <v>15</v>
      </c>
      <c r="F576" s="6">
        <v>71</v>
      </c>
      <c r="G576" s="6">
        <v>75</v>
      </c>
      <c r="H576" s="6">
        <v>70</v>
      </c>
      <c r="I576" s="2">
        <f t="shared" si="17"/>
        <v>216</v>
      </c>
      <c r="J576" s="8">
        <f>AVERAGE(Table1[[#This Row],[math score]:[writing score]])</f>
        <v>72</v>
      </c>
      <c r="K576" s="2">
        <f t="shared" si="16"/>
        <v>300</v>
      </c>
      <c r="L576" s="4">
        <f>Table1[[#This Row],[Total Score]]/Table1[[#This Row],[Minimum Mark]]</f>
        <v>0.72</v>
      </c>
      <c r="M576" s="70" t="str">
        <f>_xlfn.XLOOKUP(Table1[[#This Row],[Pass(%)]],O:O,P:P,,-1)</f>
        <v>C-</v>
      </c>
    </row>
    <row r="577" spans="1:13" x14ac:dyDescent="0.35">
      <c r="A577" s="2" t="s">
        <v>17</v>
      </c>
      <c r="B577" s="2" t="s">
        <v>18</v>
      </c>
      <c r="C577" s="6" t="s">
        <v>10</v>
      </c>
      <c r="D577" s="6" t="s">
        <v>11</v>
      </c>
      <c r="E577" s="6" t="s">
        <v>12</v>
      </c>
      <c r="F577" s="6">
        <v>91</v>
      </c>
      <c r="G577" s="6">
        <v>96</v>
      </c>
      <c r="H577" s="6">
        <v>92</v>
      </c>
      <c r="I577" s="2">
        <f t="shared" si="17"/>
        <v>279</v>
      </c>
      <c r="J577" s="8">
        <f>AVERAGE(Table1[[#This Row],[math score]:[writing score]])</f>
        <v>93</v>
      </c>
      <c r="K577" s="2">
        <f t="shared" si="16"/>
        <v>300</v>
      </c>
      <c r="L577" s="4">
        <f>Table1[[#This Row],[Total Score]]/Table1[[#This Row],[Minimum Mark]]</f>
        <v>0.93</v>
      </c>
      <c r="M577" s="70" t="str">
        <f>_xlfn.XLOOKUP(Table1[[#This Row],[Pass(%)]],O:O,P:P,,-1)</f>
        <v>A</v>
      </c>
    </row>
    <row r="578" spans="1:13" x14ac:dyDescent="0.35">
      <c r="A578" s="2" t="s">
        <v>8</v>
      </c>
      <c r="B578" s="2" t="s">
        <v>13</v>
      </c>
      <c r="C578" s="6" t="s">
        <v>14</v>
      </c>
      <c r="D578" s="6" t="s">
        <v>11</v>
      </c>
      <c r="E578" s="6" t="s">
        <v>12</v>
      </c>
      <c r="F578" s="6">
        <v>53</v>
      </c>
      <c r="G578" s="6">
        <v>62</v>
      </c>
      <c r="H578" s="6">
        <v>56</v>
      </c>
      <c r="I578" s="2">
        <f t="shared" si="17"/>
        <v>171</v>
      </c>
      <c r="J578" s="8">
        <f>AVERAGE(Table1[[#This Row],[math score]:[writing score]])</f>
        <v>57</v>
      </c>
      <c r="K578" s="2">
        <f t="shared" si="16"/>
        <v>300</v>
      </c>
      <c r="L578" s="4">
        <f>Table1[[#This Row],[Total Score]]/Table1[[#This Row],[Minimum Mark]]</f>
        <v>0.56999999999999995</v>
      </c>
      <c r="M578" s="70" t="str">
        <f>_xlfn.XLOOKUP(Table1[[#This Row],[Pass(%)]],O:O,P:P,,-1)</f>
        <v>D+</v>
      </c>
    </row>
    <row r="579" spans="1:13" x14ac:dyDescent="0.35">
      <c r="A579" s="2" t="s">
        <v>8</v>
      </c>
      <c r="B579" s="2" t="s">
        <v>13</v>
      </c>
      <c r="C579" s="6" t="s">
        <v>22</v>
      </c>
      <c r="D579" s="6" t="s">
        <v>20</v>
      </c>
      <c r="E579" s="6" t="s">
        <v>15</v>
      </c>
      <c r="F579" s="6">
        <v>50</v>
      </c>
      <c r="G579" s="6">
        <v>66</v>
      </c>
      <c r="H579" s="6">
        <v>64</v>
      </c>
      <c r="I579" s="2">
        <f t="shared" si="17"/>
        <v>180</v>
      </c>
      <c r="J579" s="8">
        <f>AVERAGE(Table1[[#This Row],[math score]:[writing score]])</f>
        <v>60</v>
      </c>
      <c r="K579" s="2">
        <f t="shared" si="16"/>
        <v>300</v>
      </c>
      <c r="L579" s="4">
        <f>Table1[[#This Row],[Total Score]]/Table1[[#This Row],[Minimum Mark]]</f>
        <v>0.6</v>
      </c>
      <c r="M579" s="70" t="str">
        <f>_xlfn.XLOOKUP(Table1[[#This Row],[Pass(%)]],O:O,P:P,,-1)</f>
        <v>D+</v>
      </c>
    </row>
    <row r="580" spans="1:13" x14ac:dyDescent="0.35">
      <c r="A580" s="2" t="s">
        <v>8</v>
      </c>
      <c r="B580" s="2" t="s">
        <v>24</v>
      </c>
      <c r="C580" s="6" t="s">
        <v>22</v>
      </c>
      <c r="D580" s="6" t="s">
        <v>11</v>
      </c>
      <c r="E580" s="6" t="s">
        <v>12</v>
      </c>
      <c r="F580" s="6">
        <v>74</v>
      </c>
      <c r="G580" s="6">
        <v>81</v>
      </c>
      <c r="H580" s="6">
        <v>71</v>
      </c>
      <c r="I580" s="2">
        <f t="shared" si="17"/>
        <v>226</v>
      </c>
      <c r="J580" s="8">
        <f>AVERAGE(Table1[[#This Row],[math score]:[writing score]])</f>
        <v>75.333333333333329</v>
      </c>
      <c r="K580" s="2">
        <f t="shared" si="16"/>
        <v>300</v>
      </c>
      <c r="L580" s="4">
        <f>Table1[[#This Row],[Total Score]]/Table1[[#This Row],[Minimum Mark]]</f>
        <v>0.7533333333333333</v>
      </c>
      <c r="M580" s="70" t="str">
        <f>_xlfn.XLOOKUP(Table1[[#This Row],[Pass(%)]],O:O,P:P,,-1)</f>
        <v>C</v>
      </c>
    </row>
    <row r="581" spans="1:13" ht="20.5" x14ac:dyDescent="0.8">
      <c r="A581" s="3" t="s">
        <v>17</v>
      </c>
      <c r="B581" s="3" t="s">
        <v>18</v>
      </c>
      <c r="C581" s="7" t="s">
        <v>19</v>
      </c>
      <c r="D581" s="7" t="s">
        <v>20</v>
      </c>
      <c r="E581" s="7" t="s">
        <v>15</v>
      </c>
      <c r="F581" s="7">
        <v>40</v>
      </c>
      <c r="G581" s="7">
        <v>55</v>
      </c>
      <c r="H581" s="7">
        <v>53</v>
      </c>
      <c r="I581" s="3">
        <f t="shared" si="17"/>
        <v>148</v>
      </c>
      <c r="J581" s="14">
        <f>AVERAGE(Table1[[#This Row],[math score]:[writing score]])</f>
        <v>49.333333333333336</v>
      </c>
      <c r="K581" s="3">
        <f t="shared" si="16"/>
        <v>300</v>
      </c>
      <c r="L581" s="5">
        <f>Table1[[#This Row],[Total Score]]/Table1[[#This Row],[Minimum Mark]]</f>
        <v>0.49333333333333335</v>
      </c>
      <c r="M581" s="71" t="str">
        <f>_xlfn.XLOOKUP(Table1[[#This Row],[Pass(%)]],O:O,P:P,,-1)</f>
        <v>D</v>
      </c>
    </row>
    <row r="582" spans="1:13" x14ac:dyDescent="0.35">
      <c r="A582" s="2" t="s">
        <v>17</v>
      </c>
      <c r="B582" s="2" t="s">
        <v>18</v>
      </c>
      <c r="C582" s="6" t="s">
        <v>14</v>
      </c>
      <c r="D582" s="6" t="s">
        <v>11</v>
      </c>
      <c r="E582" s="6" t="s">
        <v>15</v>
      </c>
      <c r="F582" s="6">
        <v>61</v>
      </c>
      <c r="G582" s="6">
        <v>51</v>
      </c>
      <c r="H582" s="6">
        <v>52</v>
      </c>
      <c r="I582" s="2">
        <f t="shared" si="17"/>
        <v>164</v>
      </c>
      <c r="J582" s="8">
        <f>AVERAGE(Table1[[#This Row],[math score]:[writing score]])</f>
        <v>54.666666666666664</v>
      </c>
      <c r="K582" s="2">
        <f t="shared" ref="K582:K645" si="18">3*100</f>
        <v>300</v>
      </c>
      <c r="L582" s="4">
        <f>Table1[[#This Row],[Total Score]]/Table1[[#This Row],[Minimum Mark]]</f>
        <v>0.54666666666666663</v>
      </c>
      <c r="M582" s="70" t="str">
        <f>_xlfn.XLOOKUP(Table1[[#This Row],[Pass(%)]],O:O,P:P,,-1)</f>
        <v>D+</v>
      </c>
    </row>
    <row r="583" spans="1:13" x14ac:dyDescent="0.35">
      <c r="A583" s="2" t="s">
        <v>8</v>
      </c>
      <c r="B583" s="2" t="s">
        <v>9</v>
      </c>
      <c r="C583" s="6" t="s">
        <v>22</v>
      </c>
      <c r="D583" s="6" t="s">
        <v>11</v>
      </c>
      <c r="E583" s="6" t="s">
        <v>12</v>
      </c>
      <c r="F583" s="6">
        <v>81</v>
      </c>
      <c r="G583" s="6">
        <v>91</v>
      </c>
      <c r="H583" s="6">
        <v>89</v>
      </c>
      <c r="I583" s="2">
        <f t="shared" ref="I583:I646" si="19">SUM(F583:H583)</f>
        <v>261</v>
      </c>
      <c r="J583" s="8">
        <f>AVERAGE(Table1[[#This Row],[math score]:[writing score]])</f>
        <v>87</v>
      </c>
      <c r="K583" s="2">
        <f t="shared" si="18"/>
        <v>300</v>
      </c>
      <c r="L583" s="4">
        <f>Table1[[#This Row],[Total Score]]/Table1[[#This Row],[Minimum Mark]]</f>
        <v>0.87</v>
      </c>
      <c r="M583" s="70" t="str">
        <f>_xlfn.XLOOKUP(Table1[[#This Row],[Pass(%)]],O:O,P:P,,-1)</f>
        <v>B+</v>
      </c>
    </row>
    <row r="584" spans="1:13" x14ac:dyDescent="0.35">
      <c r="A584" s="2" t="s">
        <v>8</v>
      </c>
      <c r="B584" s="2" t="s">
        <v>9</v>
      </c>
      <c r="C584" s="6" t="s">
        <v>14</v>
      </c>
      <c r="D584" s="6" t="s">
        <v>20</v>
      </c>
      <c r="E584" s="6" t="s">
        <v>15</v>
      </c>
      <c r="F584" s="6">
        <v>48</v>
      </c>
      <c r="G584" s="6">
        <v>56</v>
      </c>
      <c r="H584" s="6">
        <v>58</v>
      </c>
      <c r="I584" s="2">
        <f t="shared" si="19"/>
        <v>162</v>
      </c>
      <c r="J584" s="8">
        <f>AVERAGE(Table1[[#This Row],[math score]:[writing score]])</f>
        <v>54</v>
      </c>
      <c r="K584" s="2">
        <f t="shared" si="18"/>
        <v>300</v>
      </c>
      <c r="L584" s="4">
        <f>Table1[[#This Row],[Total Score]]/Table1[[#This Row],[Minimum Mark]]</f>
        <v>0.54</v>
      </c>
      <c r="M584" s="70" t="str">
        <f>_xlfn.XLOOKUP(Table1[[#This Row],[Pass(%)]],O:O,P:P,,-1)</f>
        <v>D+</v>
      </c>
    </row>
    <row r="585" spans="1:13" x14ac:dyDescent="0.35">
      <c r="A585" s="2" t="s">
        <v>8</v>
      </c>
      <c r="B585" s="2" t="s">
        <v>21</v>
      </c>
      <c r="C585" s="6" t="s">
        <v>16</v>
      </c>
      <c r="D585" s="6" t="s">
        <v>11</v>
      </c>
      <c r="E585" s="6" t="s">
        <v>12</v>
      </c>
      <c r="F585" s="6">
        <v>53</v>
      </c>
      <c r="G585" s="6">
        <v>61</v>
      </c>
      <c r="H585" s="6">
        <v>68</v>
      </c>
      <c r="I585" s="2">
        <f t="shared" si="19"/>
        <v>182</v>
      </c>
      <c r="J585" s="8">
        <f>AVERAGE(Table1[[#This Row],[math score]:[writing score]])</f>
        <v>60.666666666666664</v>
      </c>
      <c r="K585" s="2">
        <f t="shared" si="18"/>
        <v>300</v>
      </c>
      <c r="L585" s="4">
        <f>Table1[[#This Row],[Total Score]]/Table1[[#This Row],[Minimum Mark]]</f>
        <v>0.60666666666666669</v>
      </c>
      <c r="M585" s="70" t="str">
        <f>_xlfn.XLOOKUP(Table1[[#This Row],[Pass(%)]],O:O,P:P,,-1)</f>
        <v>D+</v>
      </c>
    </row>
    <row r="586" spans="1:13" x14ac:dyDescent="0.35">
      <c r="A586" s="2" t="s">
        <v>8</v>
      </c>
      <c r="B586" s="2" t="s">
        <v>21</v>
      </c>
      <c r="C586" s="6" t="s">
        <v>23</v>
      </c>
      <c r="D586" s="6" t="s">
        <v>11</v>
      </c>
      <c r="E586" s="6" t="s">
        <v>12</v>
      </c>
      <c r="F586" s="6">
        <v>81</v>
      </c>
      <c r="G586" s="6">
        <v>97</v>
      </c>
      <c r="H586" s="6">
        <v>96</v>
      </c>
      <c r="I586" s="2">
        <f t="shared" si="19"/>
        <v>274</v>
      </c>
      <c r="J586" s="8">
        <f>AVERAGE(Table1[[#This Row],[math score]:[writing score]])</f>
        <v>91.333333333333329</v>
      </c>
      <c r="K586" s="2">
        <f t="shared" si="18"/>
        <v>300</v>
      </c>
      <c r="L586" s="4">
        <f>Table1[[#This Row],[Total Score]]/Table1[[#This Row],[Minimum Mark]]</f>
        <v>0.91333333333333333</v>
      </c>
      <c r="M586" s="70" t="str">
        <f>_xlfn.XLOOKUP(Table1[[#This Row],[Pass(%)]],O:O,P:P,,-1)</f>
        <v>A-</v>
      </c>
    </row>
    <row r="587" spans="1:13" x14ac:dyDescent="0.35">
      <c r="A587" s="2" t="s">
        <v>8</v>
      </c>
      <c r="B587" s="2" t="s">
        <v>24</v>
      </c>
      <c r="C587" s="6" t="s">
        <v>23</v>
      </c>
      <c r="D587" s="6" t="s">
        <v>11</v>
      </c>
      <c r="E587" s="6" t="s">
        <v>12</v>
      </c>
      <c r="F587" s="6">
        <v>77</v>
      </c>
      <c r="G587" s="6">
        <v>79</v>
      </c>
      <c r="H587" s="6">
        <v>80</v>
      </c>
      <c r="I587" s="2">
        <f t="shared" si="19"/>
        <v>236</v>
      </c>
      <c r="J587" s="8">
        <f>AVERAGE(Table1[[#This Row],[math score]:[writing score]])</f>
        <v>78.666666666666671</v>
      </c>
      <c r="K587" s="2">
        <f t="shared" si="18"/>
        <v>300</v>
      </c>
      <c r="L587" s="4">
        <f>Table1[[#This Row],[Total Score]]/Table1[[#This Row],[Minimum Mark]]</f>
        <v>0.78666666666666663</v>
      </c>
      <c r="M587" s="70" t="str">
        <f>_xlfn.XLOOKUP(Table1[[#This Row],[Pass(%)]],O:O,P:P,,-1)</f>
        <v>C+</v>
      </c>
    </row>
    <row r="588" spans="1:13" x14ac:dyDescent="0.35">
      <c r="A588" s="2" t="s">
        <v>8</v>
      </c>
      <c r="B588" s="2" t="s">
        <v>21</v>
      </c>
      <c r="C588" s="6" t="s">
        <v>10</v>
      </c>
      <c r="D588" s="6" t="s">
        <v>20</v>
      </c>
      <c r="E588" s="6" t="s">
        <v>12</v>
      </c>
      <c r="F588" s="6">
        <v>63</v>
      </c>
      <c r="G588" s="6">
        <v>73</v>
      </c>
      <c r="H588" s="6">
        <v>78</v>
      </c>
      <c r="I588" s="2">
        <f t="shared" si="19"/>
        <v>214</v>
      </c>
      <c r="J588" s="8">
        <f>AVERAGE(Table1[[#This Row],[math score]:[writing score]])</f>
        <v>71.333333333333329</v>
      </c>
      <c r="K588" s="2">
        <f t="shared" si="18"/>
        <v>300</v>
      </c>
      <c r="L588" s="4">
        <f>Table1[[#This Row],[Total Score]]/Table1[[#This Row],[Minimum Mark]]</f>
        <v>0.71333333333333337</v>
      </c>
      <c r="M588" s="70" t="str">
        <f>_xlfn.XLOOKUP(Table1[[#This Row],[Pass(%)]],O:O,P:P,,-1)</f>
        <v>C-</v>
      </c>
    </row>
    <row r="589" spans="1:13" ht="20.5" x14ac:dyDescent="0.8">
      <c r="A589" s="3" t="s">
        <v>8</v>
      </c>
      <c r="B589" s="3" t="s">
        <v>21</v>
      </c>
      <c r="C589" s="7" t="s">
        <v>19</v>
      </c>
      <c r="D589" s="7" t="s">
        <v>11</v>
      </c>
      <c r="E589" s="7" t="s">
        <v>15</v>
      </c>
      <c r="F589" s="7">
        <v>73</v>
      </c>
      <c r="G589" s="7">
        <v>75</v>
      </c>
      <c r="H589" s="7">
        <v>80</v>
      </c>
      <c r="I589" s="3">
        <f t="shared" si="19"/>
        <v>228</v>
      </c>
      <c r="J589" s="14">
        <f>AVERAGE(Table1[[#This Row],[math score]:[writing score]])</f>
        <v>76</v>
      </c>
      <c r="K589" s="3">
        <f t="shared" si="18"/>
        <v>300</v>
      </c>
      <c r="L589" s="5">
        <f>Table1[[#This Row],[Total Score]]/Table1[[#This Row],[Minimum Mark]]</f>
        <v>0.76</v>
      </c>
      <c r="M589" s="71" t="str">
        <f>_xlfn.XLOOKUP(Table1[[#This Row],[Pass(%)]],O:O,P:P,,-1)</f>
        <v>C</v>
      </c>
    </row>
    <row r="590" spans="1:13" x14ac:dyDescent="0.35">
      <c r="A590" s="2" t="s">
        <v>8</v>
      </c>
      <c r="B590" s="2" t="s">
        <v>21</v>
      </c>
      <c r="C590" s="6" t="s">
        <v>14</v>
      </c>
      <c r="D590" s="6" t="s">
        <v>11</v>
      </c>
      <c r="E590" s="6" t="s">
        <v>12</v>
      </c>
      <c r="F590" s="6">
        <v>69</v>
      </c>
      <c r="G590" s="6">
        <v>77</v>
      </c>
      <c r="H590" s="6">
        <v>77</v>
      </c>
      <c r="I590" s="2">
        <f t="shared" si="19"/>
        <v>223</v>
      </c>
      <c r="J590" s="8">
        <f>AVERAGE(Table1[[#This Row],[math score]:[writing score]])</f>
        <v>74.333333333333329</v>
      </c>
      <c r="K590" s="2">
        <f t="shared" si="18"/>
        <v>300</v>
      </c>
      <c r="L590" s="4">
        <f>Table1[[#This Row],[Total Score]]/Table1[[#This Row],[Minimum Mark]]</f>
        <v>0.74333333333333329</v>
      </c>
      <c r="M590" s="70" t="str">
        <f>_xlfn.XLOOKUP(Table1[[#This Row],[Pass(%)]],O:O,P:P,,-1)</f>
        <v>C</v>
      </c>
    </row>
    <row r="591" spans="1:13" ht="20.5" x14ac:dyDescent="0.8">
      <c r="A591" s="3" t="s">
        <v>8</v>
      </c>
      <c r="B591" s="3" t="s">
        <v>13</v>
      </c>
      <c r="C591" s="7" t="s">
        <v>19</v>
      </c>
      <c r="D591" s="7" t="s">
        <v>11</v>
      </c>
      <c r="E591" s="7" t="s">
        <v>12</v>
      </c>
      <c r="F591" s="7">
        <v>65</v>
      </c>
      <c r="G591" s="7">
        <v>76</v>
      </c>
      <c r="H591" s="7">
        <v>76</v>
      </c>
      <c r="I591" s="3">
        <f t="shared" si="19"/>
        <v>217</v>
      </c>
      <c r="J591" s="14">
        <f>AVERAGE(Table1[[#This Row],[math score]:[writing score]])</f>
        <v>72.333333333333329</v>
      </c>
      <c r="K591" s="3">
        <f t="shared" si="18"/>
        <v>300</v>
      </c>
      <c r="L591" s="5">
        <f>Table1[[#This Row],[Total Score]]/Table1[[#This Row],[Minimum Mark]]</f>
        <v>0.72333333333333338</v>
      </c>
      <c r="M591" s="71" t="str">
        <f>_xlfn.XLOOKUP(Table1[[#This Row],[Pass(%)]],O:O,P:P,,-1)</f>
        <v>C-</v>
      </c>
    </row>
    <row r="592" spans="1:13" x14ac:dyDescent="0.35">
      <c r="A592" s="2" t="s">
        <v>8</v>
      </c>
      <c r="B592" s="2" t="s">
        <v>18</v>
      </c>
      <c r="C592" s="6" t="s">
        <v>22</v>
      </c>
      <c r="D592" s="6" t="s">
        <v>11</v>
      </c>
      <c r="E592" s="6" t="s">
        <v>12</v>
      </c>
      <c r="F592" s="6">
        <v>55</v>
      </c>
      <c r="G592" s="6">
        <v>73</v>
      </c>
      <c r="H592" s="6">
        <v>73</v>
      </c>
      <c r="I592" s="2">
        <f t="shared" si="19"/>
        <v>201</v>
      </c>
      <c r="J592" s="8">
        <f>AVERAGE(Table1[[#This Row],[math score]:[writing score]])</f>
        <v>67</v>
      </c>
      <c r="K592" s="2">
        <f t="shared" si="18"/>
        <v>300</v>
      </c>
      <c r="L592" s="4">
        <f>Table1[[#This Row],[Total Score]]/Table1[[#This Row],[Minimum Mark]]</f>
        <v>0.67</v>
      </c>
      <c r="M592" s="70" t="str">
        <f>_xlfn.XLOOKUP(Table1[[#This Row],[Pass(%)]],O:O,P:P,,-1)</f>
        <v>D+</v>
      </c>
    </row>
    <row r="593" spans="1:13" x14ac:dyDescent="0.35">
      <c r="A593" s="2" t="s">
        <v>8</v>
      </c>
      <c r="B593" s="2" t="s">
        <v>13</v>
      </c>
      <c r="C593" s="6" t="s">
        <v>10</v>
      </c>
      <c r="D593" s="6" t="s">
        <v>20</v>
      </c>
      <c r="E593" s="6" t="s">
        <v>12</v>
      </c>
      <c r="F593" s="6">
        <v>44</v>
      </c>
      <c r="G593" s="6">
        <v>63</v>
      </c>
      <c r="H593" s="6">
        <v>62</v>
      </c>
      <c r="I593" s="2">
        <f t="shared" si="19"/>
        <v>169</v>
      </c>
      <c r="J593" s="8">
        <f>AVERAGE(Table1[[#This Row],[math score]:[writing score]])</f>
        <v>56.333333333333336</v>
      </c>
      <c r="K593" s="2">
        <f t="shared" si="18"/>
        <v>300</v>
      </c>
      <c r="L593" s="4">
        <f>Table1[[#This Row],[Total Score]]/Table1[[#This Row],[Minimum Mark]]</f>
        <v>0.56333333333333335</v>
      </c>
      <c r="M593" s="70" t="str">
        <f>_xlfn.XLOOKUP(Table1[[#This Row],[Pass(%)]],O:O,P:P,,-1)</f>
        <v>D+</v>
      </c>
    </row>
    <row r="594" spans="1:13" x14ac:dyDescent="0.35">
      <c r="A594" s="2" t="s">
        <v>8</v>
      </c>
      <c r="B594" s="2" t="s">
        <v>13</v>
      </c>
      <c r="C594" s="6" t="s">
        <v>14</v>
      </c>
      <c r="D594" s="6" t="s">
        <v>11</v>
      </c>
      <c r="E594" s="6" t="s">
        <v>12</v>
      </c>
      <c r="F594" s="6">
        <v>54</v>
      </c>
      <c r="G594" s="6">
        <v>64</v>
      </c>
      <c r="H594" s="6">
        <v>65</v>
      </c>
      <c r="I594" s="2">
        <f t="shared" si="19"/>
        <v>183</v>
      </c>
      <c r="J594" s="8">
        <f>AVERAGE(Table1[[#This Row],[math score]:[writing score]])</f>
        <v>61</v>
      </c>
      <c r="K594" s="2">
        <f t="shared" si="18"/>
        <v>300</v>
      </c>
      <c r="L594" s="4">
        <f>Table1[[#This Row],[Total Score]]/Table1[[#This Row],[Minimum Mark]]</f>
        <v>0.61</v>
      </c>
      <c r="M594" s="70" t="str">
        <f>_xlfn.XLOOKUP(Table1[[#This Row],[Pass(%)]],O:O,P:P,,-1)</f>
        <v>D+</v>
      </c>
    </row>
    <row r="595" spans="1:13" x14ac:dyDescent="0.35">
      <c r="A595" s="2" t="s">
        <v>8</v>
      </c>
      <c r="B595" s="2" t="s">
        <v>18</v>
      </c>
      <c r="C595" s="6" t="s">
        <v>23</v>
      </c>
      <c r="D595" s="6" t="s">
        <v>11</v>
      </c>
      <c r="E595" s="6" t="s">
        <v>12</v>
      </c>
      <c r="F595" s="6">
        <v>48</v>
      </c>
      <c r="G595" s="6">
        <v>66</v>
      </c>
      <c r="H595" s="6">
        <v>65</v>
      </c>
      <c r="I595" s="2">
        <f t="shared" si="19"/>
        <v>179</v>
      </c>
      <c r="J595" s="8">
        <f>AVERAGE(Table1[[#This Row],[math score]:[writing score]])</f>
        <v>59.666666666666664</v>
      </c>
      <c r="K595" s="2">
        <f t="shared" si="18"/>
        <v>300</v>
      </c>
      <c r="L595" s="4">
        <f>Table1[[#This Row],[Total Score]]/Table1[[#This Row],[Minimum Mark]]</f>
        <v>0.59666666666666668</v>
      </c>
      <c r="M595" s="70" t="str">
        <f>_xlfn.XLOOKUP(Table1[[#This Row],[Pass(%)]],O:O,P:P,,-1)</f>
        <v>D+</v>
      </c>
    </row>
    <row r="596" spans="1:13" x14ac:dyDescent="0.35">
      <c r="A596" s="2" t="s">
        <v>17</v>
      </c>
      <c r="B596" s="2" t="s">
        <v>13</v>
      </c>
      <c r="C596" s="6" t="s">
        <v>14</v>
      </c>
      <c r="D596" s="6" t="s">
        <v>20</v>
      </c>
      <c r="E596" s="6" t="s">
        <v>12</v>
      </c>
      <c r="F596" s="6">
        <v>58</v>
      </c>
      <c r="G596" s="6">
        <v>57</v>
      </c>
      <c r="H596" s="6">
        <v>54</v>
      </c>
      <c r="I596" s="2">
        <f t="shared" si="19"/>
        <v>169</v>
      </c>
      <c r="J596" s="8">
        <f>AVERAGE(Table1[[#This Row],[math score]:[writing score]])</f>
        <v>56.333333333333336</v>
      </c>
      <c r="K596" s="2">
        <f t="shared" si="18"/>
        <v>300</v>
      </c>
      <c r="L596" s="4">
        <f>Table1[[#This Row],[Total Score]]/Table1[[#This Row],[Minimum Mark]]</f>
        <v>0.56333333333333335</v>
      </c>
      <c r="M596" s="70" t="str">
        <f>_xlfn.XLOOKUP(Table1[[#This Row],[Pass(%)]],O:O,P:P,,-1)</f>
        <v>D+</v>
      </c>
    </row>
    <row r="597" spans="1:13" x14ac:dyDescent="0.35">
      <c r="A597" s="2" t="s">
        <v>17</v>
      </c>
      <c r="B597" s="2" t="s">
        <v>18</v>
      </c>
      <c r="C597" s="6" t="s">
        <v>23</v>
      </c>
      <c r="D597" s="6" t="s">
        <v>11</v>
      </c>
      <c r="E597" s="6" t="s">
        <v>12</v>
      </c>
      <c r="F597" s="6">
        <v>71</v>
      </c>
      <c r="G597" s="6">
        <v>62</v>
      </c>
      <c r="H597" s="6">
        <v>50</v>
      </c>
      <c r="I597" s="2">
        <f t="shared" si="19"/>
        <v>183</v>
      </c>
      <c r="J597" s="8">
        <f>AVERAGE(Table1[[#This Row],[math score]:[writing score]])</f>
        <v>61</v>
      </c>
      <c r="K597" s="2">
        <f t="shared" si="18"/>
        <v>300</v>
      </c>
      <c r="L597" s="4">
        <f>Table1[[#This Row],[Total Score]]/Table1[[#This Row],[Minimum Mark]]</f>
        <v>0.61</v>
      </c>
      <c r="M597" s="70" t="str">
        <f>_xlfn.XLOOKUP(Table1[[#This Row],[Pass(%)]],O:O,P:P,,-1)</f>
        <v>D+</v>
      </c>
    </row>
    <row r="598" spans="1:13" x14ac:dyDescent="0.35">
      <c r="A598" s="2" t="s">
        <v>17</v>
      </c>
      <c r="B598" s="2" t="s">
        <v>24</v>
      </c>
      <c r="C598" s="6" t="s">
        <v>10</v>
      </c>
      <c r="D598" s="6" t="s">
        <v>11</v>
      </c>
      <c r="E598" s="6" t="s">
        <v>12</v>
      </c>
      <c r="F598" s="6">
        <v>68</v>
      </c>
      <c r="G598" s="6">
        <v>68</v>
      </c>
      <c r="H598" s="6">
        <v>64</v>
      </c>
      <c r="I598" s="2">
        <f t="shared" si="19"/>
        <v>200</v>
      </c>
      <c r="J598" s="8">
        <f>AVERAGE(Table1[[#This Row],[math score]:[writing score]])</f>
        <v>66.666666666666671</v>
      </c>
      <c r="K598" s="2">
        <f t="shared" si="18"/>
        <v>300</v>
      </c>
      <c r="L598" s="4">
        <f>Table1[[#This Row],[Total Score]]/Table1[[#This Row],[Minimum Mark]]</f>
        <v>0.66666666666666663</v>
      </c>
      <c r="M598" s="70" t="str">
        <f>_xlfn.XLOOKUP(Table1[[#This Row],[Pass(%)]],O:O,P:P,,-1)</f>
        <v>D+</v>
      </c>
    </row>
    <row r="599" spans="1:13" x14ac:dyDescent="0.35">
      <c r="A599" s="2" t="s">
        <v>8</v>
      </c>
      <c r="B599" s="2" t="s">
        <v>24</v>
      </c>
      <c r="C599" s="6" t="s">
        <v>22</v>
      </c>
      <c r="D599" s="6" t="s">
        <v>11</v>
      </c>
      <c r="E599" s="6" t="s">
        <v>12</v>
      </c>
      <c r="F599" s="6">
        <v>74</v>
      </c>
      <c r="G599" s="6">
        <v>76</v>
      </c>
      <c r="H599" s="6">
        <v>73</v>
      </c>
      <c r="I599" s="2">
        <f t="shared" si="19"/>
        <v>223</v>
      </c>
      <c r="J599" s="8">
        <f>AVERAGE(Table1[[#This Row],[math score]:[writing score]])</f>
        <v>74.333333333333329</v>
      </c>
      <c r="K599" s="2">
        <f t="shared" si="18"/>
        <v>300</v>
      </c>
      <c r="L599" s="4">
        <f>Table1[[#This Row],[Total Score]]/Table1[[#This Row],[Minimum Mark]]</f>
        <v>0.74333333333333329</v>
      </c>
      <c r="M599" s="70" t="str">
        <f>_xlfn.XLOOKUP(Table1[[#This Row],[Pass(%)]],O:O,P:P,,-1)</f>
        <v>C</v>
      </c>
    </row>
    <row r="600" spans="1:13" x14ac:dyDescent="0.35">
      <c r="A600" s="2" t="s">
        <v>8</v>
      </c>
      <c r="B600" s="2" t="s">
        <v>13</v>
      </c>
      <c r="C600" s="6" t="s">
        <v>10</v>
      </c>
      <c r="D600" s="6" t="s">
        <v>11</v>
      </c>
      <c r="E600" s="6" t="s">
        <v>15</v>
      </c>
      <c r="F600" s="6">
        <v>92</v>
      </c>
      <c r="G600" s="6">
        <v>100</v>
      </c>
      <c r="H600" s="6">
        <v>99</v>
      </c>
      <c r="I600" s="2">
        <f t="shared" si="19"/>
        <v>291</v>
      </c>
      <c r="J600" s="8">
        <f>AVERAGE(Table1[[#This Row],[math score]:[writing score]])</f>
        <v>97</v>
      </c>
      <c r="K600" s="2">
        <f t="shared" si="18"/>
        <v>300</v>
      </c>
      <c r="L600" s="4">
        <f>Table1[[#This Row],[Total Score]]/Table1[[#This Row],[Minimum Mark]]</f>
        <v>0.97</v>
      </c>
      <c r="M600" s="70" t="str">
        <f>_xlfn.XLOOKUP(Table1[[#This Row],[Pass(%)]],O:O,P:P,,-1)</f>
        <v>A+</v>
      </c>
    </row>
    <row r="601" spans="1:13" x14ac:dyDescent="0.35">
      <c r="A601" s="2" t="s">
        <v>8</v>
      </c>
      <c r="B601" s="2" t="s">
        <v>13</v>
      </c>
      <c r="C601" s="6" t="s">
        <v>10</v>
      </c>
      <c r="D601" s="6" t="s">
        <v>11</v>
      </c>
      <c r="E601" s="6" t="s">
        <v>15</v>
      </c>
      <c r="F601" s="6">
        <v>56</v>
      </c>
      <c r="G601" s="6">
        <v>79</v>
      </c>
      <c r="H601" s="6">
        <v>72</v>
      </c>
      <c r="I601" s="2">
        <f t="shared" si="19"/>
        <v>207</v>
      </c>
      <c r="J601" s="8">
        <f>AVERAGE(Table1[[#This Row],[math score]:[writing score]])</f>
        <v>69</v>
      </c>
      <c r="K601" s="2">
        <f t="shared" si="18"/>
        <v>300</v>
      </c>
      <c r="L601" s="4">
        <f>Table1[[#This Row],[Total Score]]/Table1[[#This Row],[Minimum Mark]]</f>
        <v>0.69</v>
      </c>
      <c r="M601" s="70" t="str">
        <f>_xlfn.XLOOKUP(Table1[[#This Row],[Pass(%)]],O:O,P:P,,-1)</f>
        <v>D+</v>
      </c>
    </row>
    <row r="602" spans="1:13" x14ac:dyDescent="0.35">
      <c r="A602" s="2" t="s">
        <v>17</v>
      </c>
      <c r="B602" s="2" t="s">
        <v>9</v>
      </c>
      <c r="C602" s="6" t="s">
        <v>22</v>
      </c>
      <c r="D602" s="6" t="s">
        <v>20</v>
      </c>
      <c r="E602" s="6" t="s">
        <v>12</v>
      </c>
      <c r="F602" s="6">
        <v>30</v>
      </c>
      <c r="G602" s="6">
        <v>24</v>
      </c>
      <c r="H602" s="6">
        <v>15</v>
      </c>
      <c r="I602" s="2">
        <f t="shared" si="19"/>
        <v>69</v>
      </c>
      <c r="J602" s="8">
        <f>AVERAGE(Table1[[#This Row],[math score]:[writing score]])</f>
        <v>23</v>
      </c>
      <c r="K602" s="2">
        <f t="shared" si="18"/>
        <v>300</v>
      </c>
      <c r="L602" s="4">
        <f>Table1[[#This Row],[Total Score]]/Table1[[#This Row],[Minimum Mark]]</f>
        <v>0.23</v>
      </c>
      <c r="M602" s="70" t="str">
        <f>_xlfn.XLOOKUP(Table1[[#This Row],[Pass(%)]],O:O,P:P,,-1)</f>
        <v>F</v>
      </c>
    </row>
    <row r="603" spans="1:13" x14ac:dyDescent="0.35">
      <c r="A603" s="2" t="s">
        <v>17</v>
      </c>
      <c r="B603" s="2" t="s">
        <v>18</v>
      </c>
      <c r="C603" s="6" t="s">
        <v>23</v>
      </c>
      <c r="D603" s="6" t="s">
        <v>11</v>
      </c>
      <c r="E603" s="6" t="s">
        <v>12</v>
      </c>
      <c r="F603" s="6">
        <v>53</v>
      </c>
      <c r="G603" s="6">
        <v>54</v>
      </c>
      <c r="H603" s="6">
        <v>48</v>
      </c>
      <c r="I603" s="2">
        <f t="shared" si="19"/>
        <v>155</v>
      </c>
      <c r="J603" s="8">
        <f>AVERAGE(Table1[[#This Row],[math score]:[writing score]])</f>
        <v>51.666666666666664</v>
      </c>
      <c r="K603" s="2">
        <f t="shared" si="18"/>
        <v>300</v>
      </c>
      <c r="L603" s="4">
        <f>Table1[[#This Row],[Total Score]]/Table1[[#This Row],[Minimum Mark]]</f>
        <v>0.51666666666666672</v>
      </c>
      <c r="M603" s="70" t="str">
        <f>_xlfn.XLOOKUP(Table1[[#This Row],[Pass(%)]],O:O,P:P,,-1)</f>
        <v>D</v>
      </c>
    </row>
    <row r="604" spans="1:13" x14ac:dyDescent="0.35">
      <c r="A604" s="2" t="s">
        <v>8</v>
      </c>
      <c r="B604" s="2" t="s">
        <v>21</v>
      </c>
      <c r="C604" s="6" t="s">
        <v>22</v>
      </c>
      <c r="D604" s="6" t="s">
        <v>11</v>
      </c>
      <c r="E604" s="6" t="s">
        <v>12</v>
      </c>
      <c r="F604" s="6">
        <v>69</v>
      </c>
      <c r="G604" s="6">
        <v>77</v>
      </c>
      <c r="H604" s="6">
        <v>73</v>
      </c>
      <c r="I604" s="2">
        <f t="shared" si="19"/>
        <v>219</v>
      </c>
      <c r="J604" s="8">
        <f>AVERAGE(Table1[[#This Row],[math score]:[writing score]])</f>
        <v>73</v>
      </c>
      <c r="K604" s="2">
        <f t="shared" si="18"/>
        <v>300</v>
      </c>
      <c r="L604" s="4">
        <f>Table1[[#This Row],[Total Score]]/Table1[[#This Row],[Minimum Mark]]</f>
        <v>0.73</v>
      </c>
      <c r="M604" s="70" t="str">
        <f>_xlfn.XLOOKUP(Table1[[#This Row],[Pass(%)]],O:O,P:P,,-1)</f>
        <v>C</v>
      </c>
    </row>
    <row r="605" spans="1:13" x14ac:dyDescent="0.35">
      <c r="A605" s="2" t="s">
        <v>8</v>
      </c>
      <c r="B605" s="2" t="s">
        <v>21</v>
      </c>
      <c r="C605" s="6" t="s">
        <v>23</v>
      </c>
      <c r="D605" s="6" t="s">
        <v>11</v>
      </c>
      <c r="E605" s="6" t="s">
        <v>12</v>
      </c>
      <c r="F605" s="6">
        <v>65</v>
      </c>
      <c r="G605" s="6">
        <v>82</v>
      </c>
      <c r="H605" s="6">
        <v>81</v>
      </c>
      <c r="I605" s="2">
        <f t="shared" si="19"/>
        <v>228</v>
      </c>
      <c r="J605" s="8">
        <f>AVERAGE(Table1[[#This Row],[math score]:[writing score]])</f>
        <v>76</v>
      </c>
      <c r="K605" s="2">
        <f t="shared" si="18"/>
        <v>300</v>
      </c>
      <c r="L605" s="4">
        <f>Table1[[#This Row],[Total Score]]/Table1[[#This Row],[Minimum Mark]]</f>
        <v>0.76</v>
      </c>
      <c r="M605" s="70" t="str">
        <f>_xlfn.XLOOKUP(Table1[[#This Row],[Pass(%)]],O:O,P:P,,-1)</f>
        <v>C</v>
      </c>
    </row>
    <row r="606" spans="1:13" x14ac:dyDescent="0.35">
      <c r="A606" s="2" t="s">
        <v>8</v>
      </c>
      <c r="B606" s="2" t="s">
        <v>21</v>
      </c>
      <c r="C606" s="6" t="s">
        <v>16</v>
      </c>
      <c r="D606" s="6" t="s">
        <v>11</v>
      </c>
      <c r="E606" s="6" t="s">
        <v>12</v>
      </c>
      <c r="F606" s="6">
        <v>54</v>
      </c>
      <c r="G606" s="6">
        <v>60</v>
      </c>
      <c r="H606" s="6">
        <v>63</v>
      </c>
      <c r="I606" s="2">
        <f t="shared" si="19"/>
        <v>177</v>
      </c>
      <c r="J606" s="8">
        <f>AVERAGE(Table1[[#This Row],[math score]:[writing score]])</f>
        <v>59</v>
      </c>
      <c r="K606" s="2">
        <f t="shared" si="18"/>
        <v>300</v>
      </c>
      <c r="L606" s="4">
        <f>Table1[[#This Row],[Total Score]]/Table1[[#This Row],[Minimum Mark]]</f>
        <v>0.59</v>
      </c>
      <c r="M606" s="70" t="str">
        <f>_xlfn.XLOOKUP(Table1[[#This Row],[Pass(%)]],O:O,P:P,,-1)</f>
        <v>D+</v>
      </c>
    </row>
    <row r="607" spans="1:13" x14ac:dyDescent="0.35">
      <c r="A607" s="2" t="s">
        <v>8</v>
      </c>
      <c r="B607" s="2" t="s">
        <v>13</v>
      </c>
      <c r="C607" s="6" t="s">
        <v>22</v>
      </c>
      <c r="D607" s="6" t="s">
        <v>11</v>
      </c>
      <c r="E607" s="6" t="s">
        <v>12</v>
      </c>
      <c r="F607" s="6">
        <v>29</v>
      </c>
      <c r="G607" s="6">
        <v>29</v>
      </c>
      <c r="H607" s="6">
        <v>30</v>
      </c>
      <c r="I607" s="2">
        <f t="shared" si="19"/>
        <v>88</v>
      </c>
      <c r="J607" s="8">
        <f>AVERAGE(Table1[[#This Row],[math score]:[writing score]])</f>
        <v>29.333333333333332</v>
      </c>
      <c r="K607" s="2">
        <f t="shared" si="18"/>
        <v>300</v>
      </c>
      <c r="L607" s="4">
        <f>Table1[[#This Row],[Total Score]]/Table1[[#This Row],[Minimum Mark]]</f>
        <v>0.29333333333333333</v>
      </c>
      <c r="M607" s="70" t="str">
        <f>_xlfn.XLOOKUP(Table1[[#This Row],[Pass(%)]],O:O,P:P,,-1)</f>
        <v>F</v>
      </c>
    </row>
    <row r="608" spans="1:13" x14ac:dyDescent="0.35">
      <c r="A608" s="2" t="s">
        <v>8</v>
      </c>
      <c r="B608" s="2" t="s">
        <v>24</v>
      </c>
      <c r="C608" s="6" t="s">
        <v>14</v>
      </c>
      <c r="D608" s="6" t="s">
        <v>11</v>
      </c>
      <c r="E608" s="6" t="s">
        <v>12</v>
      </c>
      <c r="F608" s="6">
        <v>76</v>
      </c>
      <c r="G608" s="6">
        <v>78</v>
      </c>
      <c r="H608" s="6">
        <v>80</v>
      </c>
      <c r="I608" s="2">
        <f t="shared" si="19"/>
        <v>234</v>
      </c>
      <c r="J608" s="8">
        <f>AVERAGE(Table1[[#This Row],[math score]:[writing score]])</f>
        <v>78</v>
      </c>
      <c r="K608" s="2">
        <f t="shared" si="18"/>
        <v>300</v>
      </c>
      <c r="L608" s="4">
        <f>Table1[[#This Row],[Total Score]]/Table1[[#This Row],[Minimum Mark]]</f>
        <v>0.78</v>
      </c>
      <c r="M608" s="70" t="str">
        <f>_xlfn.XLOOKUP(Table1[[#This Row],[Pass(%)]],O:O,P:P,,-1)</f>
        <v>C+</v>
      </c>
    </row>
    <row r="609" spans="1:13" x14ac:dyDescent="0.35">
      <c r="A609" s="2" t="s">
        <v>17</v>
      </c>
      <c r="B609" s="2" t="s">
        <v>21</v>
      </c>
      <c r="C609" s="6" t="s">
        <v>22</v>
      </c>
      <c r="D609" s="6" t="s">
        <v>20</v>
      </c>
      <c r="E609" s="6" t="s">
        <v>12</v>
      </c>
      <c r="F609" s="6">
        <v>60</v>
      </c>
      <c r="G609" s="6">
        <v>57</v>
      </c>
      <c r="H609" s="6">
        <v>51</v>
      </c>
      <c r="I609" s="2">
        <f t="shared" si="19"/>
        <v>168</v>
      </c>
      <c r="J609" s="8">
        <f>AVERAGE(Table1[[#This Row],[math score]:[writing score]])</f>
        <v>56</v>
      </c>
      <c r="K609" s="2">
        <f t="shared" si="18"/>
        <v>300</v>
      </c>
      <c r="L609" s="4">
        <f>Table1[[#This Row],[Total Score]]/Table1[[#This Row],[Minimum Mark]]</f>
        <v>0.56000000000000005</v>
      </c>
      <c r="M609" s="70" t="str">
        <f>_xlfn.XLOOKUP(Table1[[#This Row],[Pass(%)]],O:O,P:P,,-1)</f>
        <v>D+</v>
      </c>
    </row>
    <row r="610" spans="1:13" x14ac:dyDescent="0.35">
      <c r="A610" s="2" t="s">
        <v>17</v>
      </c>
      <c r="B610" s="2" t="s">
        <v>21</v>
      </c>
      <c r="C610" s="6" t="s">
        <v>16</v>
      </c>
      <c r="D610" s="6" t="s">
        <v>20</v>
      </c>
      <c r="E610" s="6" t="s">
        <v>15</v>
      </c>
      <c r="F610" s="6">
        <v>84</v>
      </c>
      <c r="G610" s="6">
        <v>89</v>
      </c>
      <c r="H610" s="6">
        <v>90</v>
      </c>
      <c r="I610" s="2">
        <f t="shared" si="19"/>
        <v>263</v>
      </c>
      <c r="J610" s="8">
        <f>AVERAGE(Table1[[#This Row],[math score]:[writing score]])</f>
        <v>87.666666666666671</v>
      </c>
      <c r="K610" s="2">
        <f t="shared" si="18"/>
        <v>300</v>
      </c>
      <c r="L610" s="4">
        <f>Table1[[#This Row],[Total Score]]/Table1[[#This Row],[Minimum Mark]]</f>
        <v>0.87666666666666671</v>
      </c>
      <c r="M610" s="70" t="str">
        <f>_xlfn.XLOOKUP(Table1[[#This Row],[Pass(%)]],O:O,P:P,,-1)</f>
        <v>B+</v>
      </c>
    </row>
    <row r="611" spans="1:13" x14ac:dyDescent="0.35">
      <c r="A611" s="2" t="s">
        <v>17</v>
      </c>
      <c r="B611" s="2" t="s">
        <v>13</v>
      </c>
      <c r="C611" s="6" t="s">
        <v>23</v>
      </c>
      <c r="D611" s="6" t="s">
        <v>11</v>
      </c>
      <c r="E611" s="6" t="s">
        <v>12</v>
      </c>
      <c r="F611" s="6">
        <v>75</v>
      </c>
      <c r="G611" s="6">
        <v>72</v>
      </c>
      <c r="H611" s="6">
        <v>62</v>
      </c>
      <c r="I611" s="2">
        <f t="shared" si="19"/>
        <v>209</v>
      </c>
      <c r="J611" s="8">
        <f>AVERAGE(Table1[[#This Row],[math score]:[writing score]])</f>
        <v>69.666666666666671</v>
      </c>
      <c r="K611" s="2">
        <f t="shared" si="18"/>
        <v>300</v>
      </c>
      <c r="L611" s="4">
        <f>Table1[[#This Row],[Total Score]]/Table1[[#This Row],[Minimum Mark]]</f>
        <v>0.69666666666666666</v>
      </c>
      <c r="M611" s="70" t="str">
        <f>_xlfn.XLOOKUP(Table1[[#This Row],[Pass(%)]],O:O,P:P,,-1)</f>
        <v>D+</v>
      </c>
    </row>
    <row r="612" spans="1:13" ht="20.5" x14ac:dyDescent="0.8">
      <c r="A612" s="3" t="s">
        <v>8</v>
      </c>
      <c r="B612" s="3" t="s">
        <v>13</v>
      </c>
      <c r="C612" s="7" t="s">
        <v>19</v>
      </c>
      <c r="D612" s="7" t="s">
        <v>11</v>
      </c>
      <c r="E612" s="7" t="s">
        <v>12</v>
      </c>
      <c r="F612" s="7">
        <v>85</v>
      </c>
      <c r="G612" s="7">
        <v>84</v>
      </c>
      <c r="H612" s="7">
        <v>82</v>
      </c>
      <c r="I612" s="3">
        <f t="shared" si="19"/>
        <v>251</v>
      </c>
      <c r="J612" s="14">
        <f>AVERAGE(Table1[[#This Row],[math score]:[writing score]])</f>
        <v>83.666666666666671</v>
      </c>
      <c r="K612" s="3">
        <f t="shared" si="18"/>
        <v>300</v>
      </c>
      <c r="L612" s="5">
        <f>Table1[[#This Row],[Total Score]]/Table1[[#This Row],[Minimum Mark]]</f>
        <v>0.83666666666666667</v>
      </c>
      <c r="M612" s="71" t="str">
        <f>_xlfn.XLOOKUP(Table1[[#This Row],[Pass(%)]],O:O,P:P,,-1)</f>
        <v>B</v>
      </c>
    </row>
    <row r="613" spans="1:13" x14ac:dyDescent="0.35">
      <c r="A613" s="2" t="s">
        <v>8</v>
      </c>
      <c r="B613" s="2" t="s">
        <v>13</v>
      </c>
      <c r="C613" s="6" t="s">
        <v>16</v>
      </c>
      <c r="D613" s="6" t="s">
        <v>20</v>
      </c>
      <c r="E613" s="6" t="s">
        <v>12</v>
      </c>
      <c r="F613" s="6">
        <v>40</v>
      </c>
      <c r="G613" s="6">
        <v>58</v>
      </c>
      <c r="H613" s="6">
        <v>54</v>
      </c>
      <c r="I613" s="2">
        <f t="shared" si="19"/>
        <v>152</v>
      </c>
      <c r="J613" s="8">
        <f>AVERAGE(Table1[[#This Row],[math score]:[writing score]])</f>
        <v>50.666666666666664</v>
      </c>
      <c r="K613" s="2">
        <f t="shared" si="18"/>
        <v>300</v>
      </c>
      <c r="L613" s="4">
        <f>Table1[[#This Row],[Total Score]]/Table1[[#This Row],[Minimum Mark]]</f>
        <v>0.50666666666666671</v>
      </c>
      <c r="M613" s="70" t="str">
        <f>_xlfn.XLOOKUP(Table1[[#This Row],[Pass(%)]],O:O,P:P,,-1)</f>
        <v>D</v>
      </c>
    </row>
    <row r="614" spans="1:13" x14ac:dyDescent="0.35">
      <c r="A614" s="2" t="s">
        <v>8</v>
      </c>
      <c r="B614" s="2" t="s">
        <v>24</v>
      </c>
      <c r="C614" s="6" t="s">
        <v>14</v>
      </c>
      <c r="D614" s="6" t="s">
        <v>11</v>
      </c>
      <c r="E614" s="6" t="s">
        <v>12</v>
      </c>
      <c r="F614" s="6">
        <v>61</v>
      </c>
      <c r="G614" s="6">
        <v>64</v>
      </c>
      <c r="H614" s="6">
        <v>62</v>
      </c>
      <c r="I614" s="2">
        <f t="shared" si="19"/>
        <v>187</v>
      </c>
      <c r="J614" s="8">
        <f>AVERAGE(Table1[[#This Row],[math score]:[writing score]])</f>
        <v>62.333333333333336</v>
      </c>
      <c r="K614" s="2">
        <f t="shared" si="18"/>
        <v>300</v>
      </c>
      <c r="L614" s="4">
        <f>Table1[[#This Row],[Total Score]]/Table1[[#This Row],[Minimum Mark]]</f>
        <v>0.62333333333333329</v>
      </c>
      <c r="M614" s="70" t="str">
        <f>_xlfn.XLOOKUP(Table1[[#This Row],[Pass(%)]],O:O,P:P,,-1)</f>
        <v>D+</v>
      </c>
    </row>
    <row r="615" spans="1:13" ht="20.5" x14ac:dyDescent="0.8">
      <c r="A615" s="3" t="s">
        <v>8</v>
      </c>
      <c r="B615" s="3" t="s">
        <v>9</v>
      </c>
      <c r="C615" s="7" t="s">
        <v>19</v>
      </c>
      <c r="D615" s="7" t="s">
        <v>11</v>
      </c>
      <c r="E615" s="7" t="s">
        <v>12</v>
      </c>
      <c r="F615" s="7">
        <v>58</v>
      </c>
      <c r="G615" s="7">
        <v>63</v>
      </c>
      <c r="H615" s="7">
        <v>65</v>
      </c>
      <c r="I615" s="3">
        <f t="shared" si="19"/>
        <v>186</v>
      </c>
      <c r="J615" s="14">
        <f>AVERAGE(Table1[[#This Row],[math score]:[writing score]])</f>
        <v>62</v>
      </c>
      <c r="K615" s="3">
        <f t="shared" si="18"/>
        <v>300</v>
      </c>
      <c r="L615" s="5">
        <f>Table1[[#This Row],[Total Score]]/Table1[[#This Row],[Minimum Mark]]</f>
        <v>0.62</v>
      </c>
      <c r="M615" s="71" t="str">
        <f>_xlfn.XLOOKUP(Table1[[#This Row],[Pass(%)]],O:O,P:P,,-1)</f>
        <v>D+</v>
      </c>
    </row>
    <row r="616" spans="1:13" x14ac:dyDescent="0.35">
      <c r="A616" s="2" t="s">
        <v>17</v>
      </c>
      <c r="B616" s="2" t="s">
        <v>21</v>
      </c>
      <c r="C616" s="6" t="s">
        <v>14</v>
      </c>
      <c r="D616" s="6" t="s">
        <v>20</v>
      </c>
      <c r="E616" s="6" t="s">
        <v>15</v>
      </c>
      <c r="F616" s="6">
        <v>69</v>
      </c>
      <c r="G616" s="6">
        <v>60</v>
      </c>
      <c r="H616" s="6">
        <v>63</v>
      </c>
      <c r="I616" s="2">
        <f t="shared" si="19"/>
        <v>192</v>
      </c>
      <c r="J616" s="8">
        <f>AVERAGE(Table1[[#This Row],[math score]:[writing score]])</f>
        <v>64</v>
      </c>
      <c r="K616" s="2">
        <f t="shared" si="18"/>
        <v>300</v>
      </c>
      <c r="L616" s="4">
        <f>Table1[[#This Row],[Total Score]]/Table1[[#This Row],[Minimum Mark]]</f>
        <v>0.64</v>
      </c>
      <c r="M616" s="70" t="str">
        <f>_xlfn.XLOOKUP(Table1[[#This Row],[Pass(%)]],O:O,P:P,,-1)</f>
        <v>D+</v>
      </c>
    </row>
    <row r="617" spans="1:13" x14ac:dyDescent="0.35">
      <c r="A617" s="2" t="s">
        <v>8</v>
      </c>
      <c r="B617" s="2" t="s">
        <v>13</v>
      </c>
      <c r="C617" s="6" t="s">
        <v>14</v>
      </c>
      <c r="D617" s="6" t="s">
        <v>11</v>
      </c>
      <c r="E617" s="6" t="s">
        <v>12</v>
      </c>
      <c r="F617" s="6">
        <v>58</v>
      </c>
      <c r="G617" s="6">
        <v>59</v>
      </c>
      <c r="H617" s="6">
        <v>66</v>
      </c>
      <c r="I617" s="2">
        <f t="shared" si="19"/>
        <v>183</v>
      </c>
      <c r="J617" s="8">
        <f>AVERAGE(Table1[[#This Row],[math score]:[writing score]])</f>
        <v>61</v>
      </c>
      <c r="K617" s="2">
        <f t="shared" si="18"/>
        <v>300</v>
      </c>
      <c r="L617" s="4">
        <f>Table1[[#This Row],[Total Score]]/Table1[[#This Row],[Minimum Mark]]</f>
        <v>0.61</v>
      </c>
      <c r="M617" s="70" t="str">
        <f>_xlfn.XLOOKUP(Table1[[#This Row],[Pass(%)]],O:O,P:P,,-1)</f>
        <v>D+</v>
      </c>
    </row>
    <row r="618" spans="1:13" x14ac:dyDescent="0.35">
      <c r="A618" s="2" t="s">
        <v>17</v>
      </c>
      <c r="B618" s="2" t="s">
        <v>13</v>
      </c>
      <c r="C618" s="6" t="s">
        <v>10</v>
      </c>
      <c r="D618" s="6" t="s">
        <v>11</v>
      </c>
      <c r="E618" s="6" t="s">
        <v>15</v>
      </c>
      <c r="F618" s="6">
        <v>94</v>
      </c>
      <c r="G618" s="6">
        <v>90</v>
      </c>
      <c r="H618" s="6">
        <v>91</v>
      </c>
      <c r="I618" s="2">
        <f t="shared" si="19"/>
        <v>275</v>
      </c>
      <c r="J618" s="8">
        <f>AVERAGE(Table1[[#This Row],[math score]:[writing score]])</f>
        <v>91.666666666666671</v>
      </c>
      <c r="K618" s="2">
        <f t="shared" si="18"/>
        <v>300</v>
      </c>
      <c r="L618" s="4">
        <f>Table1[[#This Row],[Total Score]]/Table1[[#This Row],[Minimum Mark]]</f>
        <v>0.91666666666666663</v>
      </c>
      <c r="M618" s="70" t="str">
        <f>_xlfn.XLOOKUP(Table1[[#This Row],[Pass(%)]],O:O,P:P,,-1)</f>
        <v>A-</v>
      </c>
    </row>
    <row r="619" spans="1:13" ht="20.5" x14ac:dyDescent="0.8">
      <c r="A619" s="3" t="s">
        <v>8</v>
      </c>
      <c r="B619" s="3" t="s">
        <v>13</v>
      </c>
      <c r="C619" s="7" t="s">
        <v>19</v>
      </c>
      <c r="D619" s="7" t="s">
        <v>11</v>
      </c>
      <c r="E619" s="7" t="s">
        <v>12</v>
      </c>
      <c r="F619" s="7">
        <v>65</v>
      </c>
      <c r="G619" s="7">
        <v>77</v>
      </c>
      <c r="H619" s="7">
        <v>74</v>
      </c>
      <c r="I619" s="3">
        <f t="shared" si="19"/>
        <v>216</v>
      </c>
      <c r="J619" s="14">
        <f>AVERAGE(Table1[[#This Row],[math score]:[writing score]])</f>
        <v>72</v>
      </c>
      <c r="K619" s="3">
        <f t="shared" si="18"/>
        <v>300</v>
      </c>
      <c r="L619" s="5">
        <f>Table1[[#This Row],[Total Score]]/Table1[[#This Row],[Minimum Mark]]</f>
        <v>0.72</v>
      </c>
      <c r="M619" s="71" t="str">
        <f>_xlfn.XLOOKUP(Table1[[#This Row],[Pass(%)]],O:O,P:P,,-1)</f>
        <v>C-</v>
      </c>
    </row>
    <row r="620" spans="1:13" ht="20.5" x14ac:dyDescent="0.8">
      <c r="A620" s="3" t="s">
        <v>8</v>
      </c>
      <c r="B620" s="3" t="s">
        <v>18</v>
      </c>
      <c r="C620" s="7" t="s">
        <v>19</v>
      </c>
      <c r="D620" s="7" t="s">
        <v>11</v>
      </c>
      <c r="E620" s="7" t="s">
        <v>12</v>
      </c>
      <c r="F620" s="7">
        <v>82</v>
      </c>
      <c r="G620" s="7">
        <v>93</v>
      </c>
      <c r="H620" s="7">
        <v>93</v>
      </c>
      <c r="I620" s="3">
        <f t="shared" si="19"/>
        <v>268</v>
      </c>
      <c r="J620" s="14">
        <f>AVERAGE(Table1[[#This Row],[math score]:[writing score]])</f>
        <v>89.333333333333329</v>
      </c>
      <c r="K620" s="3">
        <f t="shared" si="18"/>
        <v>300</v>
      </c>
      <c r="L620" s="5">
        <f>Table1[[#This Row],[Total Score]]/Table1[[#This Row],[Minimum Mark]]</f>
        <v>0.89333333333333331</v>
      </c>
      <c r="M620" s="71" t="str">
        <f>_xlfn.XLOOKUP(Table1[[#This Row],[Pass(%)]],O:O,P:P,,-1)</f>
        <v>B+</v>
      </c>
    </row>
    <row r="621" spans="1:13" x14ac:dyDescent="0.35">
      <c r="A621" s="2" t="s">
        <v>8</v>
      </c>
      <c r="B621" s="2" t="s">
        <v>13</v>
      </c>
      <c r="C621" s="6" t="s">
        <v>22</v>
      </c>
      <c r="D621" s="6" t="s">
        <v>11</v>
      </c>
      <c r="E621" s="6" t="s">
        <v>12</v>
      </c>
      <c r="F621" s="6">
        <v>60</v>
      </c>
      <c r="G621" s="6">
        <v>68</v>
      </c>
      <c r="H621" s="6">
        <v>72</v>
      </c>
      <c r="I621" s="2">
        <f t="shared" si="19"/>
        <v>200</v>
      </c>
      <c r="J621" s="8">
        <f>AVERAGE(Table1[[#This Row],[math score]:[writing score]])</f>
        <v>66.666666666666671</v>
      </c>
      <c r="K621" s="2">
        <f t="shared" si="18"/>
        <v>300</v>
      </c>
      <c r="L621" s="4">
        <f>Table1[[#This Row],[Total Score]]/Table1[[#This Row],[Minimum Mark]]</f>
        <v>0.66666666666666663</v>
      </c>
      <c r="M621" s="70" t="str">
        <f>_xlfn.XLOOKUP(Table1[[#This Row],[Pass(%)]],O:O,P:P,,-1)</f>
        <v>D+</v>
      </c>
    </row>
    <row r="622" spans="1:13" x14ac:dyDescent="0.35">
      <c r="A622" s="2" t="s">
        <v>8</v>
      </c>
      <c r="B622" s="2" t="s">
        <v>24</v>
      </c>
      <c r="C622" s="6" t="s">
        <v>10</v>
      </c>
      <c r="D622" s="6" t="s">
        <v>11</v>
      </c>
      <c r="E622" s="6" t="s">
        <v>12</v>
      </c>
      <c r="F622" s="6">
        <v>37</v>
      </c>
      <c r="G622" s="6">
        <v>45</v>
      </c>
      <c r="H622" s="6">
        <v>38</v>
      </c>
      <c r="I622" s="2">
        <f t="shared" si="19"/>
        <v>120</v>
      </c>
      <c r="J622" s="8">
        <f>AVERAGE(Table1[[#This Row],[math score]:[writing score]])</f>
        <v>40</v>
      </c>
      <c r="K622" s="2">
        <f t="shared" si="18"/>
        <v>300</v>
      </c>
      <c r="L622" s="4">
        <f>Table1[[#This Row],[Total Score]]/Table1[[#This Row],[Minimum Mark]]</f>
        <v>0.4</v>
      </c>
      <c r="M622" s="70" t="str">
        <f>_xlfn.XLOOKUP(Table1[[#This Row],[Pass(%)]],O:O,P:P,,-1)</f>
        <v>D</v>
      </c>
    </row>
    <row r="623" spans="1:13" x14ac:dyDescent="0.35">
      <c r="A623" s="2" t="s">
        <v>17</v>
      </c>
      <c r="B623" s="2" t="s">
        <v>21</v>
      </c>
      <c r="C623" s="6" t="s">
        <v>10</v>
      </c>
      <c r="D623" s="6" t="s">
        <v>11</v>
      </c>
      <c r="E623" s="6" t="s">
        <v>12</v>
      </c>
      <c r="F623" s="6">
        <v>88</v>
      </c>
      <c r="G623" s="6">
        <v>78</v>
      </c>
      <c r="H623" s="6">
        <v>83</v>
      </c>
      <c r="I623" s="2">
        <f t="shared" si="19"/>
        <v>249</v>
      </c>
      <c r="J623" s="8">
        <f>AVERAGE(Table1[[#This Row],[math score]:[writing score]])</f>
        <v>83</v>
      </c>
      <c r="K623" s="2">
        <f t="shared" si="18"/>
        <v>300</v>
      </c>
      <c r="L623" s="4">
        <f>Table1[[#This Row],[Total Score]]/Table1[[#This Row],[Minimum Mark]]</f>
        <v>0.83</v>
      </c>
      <c r="M623" s="70" t="str">
        <f>_xlfn.XLOOKUP(Table1[[#This Row],[Pass(%)]],O:O,P:P,,-1)</f>
        <v>B</v>
      </c>
    </row>
    <row r="624" spans="1:13" x14ac:dyDescent="0.35">
      <c r="A624" s="2" t="s">
        <v>17</v>
      </c>
      <c r="B624" s="2" t="s">
        <v>21</v>
      </c>
      <c r="C624" s="6" t="s">
        <v>16</v>
      </c>
      <c r="D624" s="6" t="s">
        <v>11</v>
      </c>
      <c r="E624" s="6" t="s">
        <v>12</v>
      </c>
      <c r="F624" s="6">
        <v>95</v>
      </c>
      <c r="G624" s="6">
        <v>81</v>
      </c>
      <c r="H624" s="6">
        <v>84</v>
      </c>
      <c r="I624" s="2">
        <f t="shared" si="19"/>
        <v>260</v>
      </c>
      <c r="J624" s="8">
        <f>AVERAGE(Table1[[#This Row],[math score]:[writing score]])</f>
        <v>86.666666666666671</v>
      </c>
      <c r="K624" s="2">
        <f t="shared" si="18"/>
        <v>300</v>
      </c>
      <c r="L624" s="4">
        <f>Table1[[#This Row],[Total Score]]/Table1[[#This Row],[Minimum Mark]]</f>
        <v>0.8666666666666667</v>
      </c>
      <c r="M624" s="70" t="str">
        <f>_xlfn.XLOOKUP(Table1[[#This Row],[Pass(%)]],O:O,P:P,,-1)</f>
        <v>B</v>
      </c>
    </row>
    <row r="625" spans="1:13" ht="20.5" x14ac:dyDescent="0.8">
      <c r="A625" s="3" t="s">
        <v>17</v>
      </c>
      <c r="B625" s="3" t="s">
        <v>13</v>
      </c>
      <c r="C625" s="7" t="s">
        <v>19</v>
      </c>
      <c r="D625" s="7" t="s">
        <v>20</v>
      </c>
      <c r="E625" s="7" t="s">
        <v>15</v>
      </c>
      <c r="F625" s="7">
        <v>65</v>
      </c>
      <c r="G625" s="7">
        <v>73</v>
      </c>
      <c r="H625" s="7">
        <v>68</v>
      </c>
      <c r="I625" s="3">
        <f t="shared" si="19"/>
        <v>206</v>
      </c>
      <c r="J625" s="14">
        <f>AVERAGE(Table1[[#This Row],[math score]:[writing score]])</f>
        <v>68.666666666666671</v>
      </c>
      <c r="K625" s="3">
        <f t="shared" si="18"/>
        <v>300</v>
      </c>
      <c r="L625" s="5">
        <f>Table1[[#This Row],[Total Score]]/Table1[[#This Row],[Minimum Mark]]</f>
        <v>0.68666666666666665</v>
      </c>
      <c r="M625" s="71" t="str">
        <f>_xlfn.XLOOKUP(Table1[[#This Row],[Pass(%)]],O:O,P:P,,-1)</f>
        <v>D+</v>
      </c>
    </row>
    <row r="626" spans="1:13" x14ac:dyDescent="0.35">
      <c r="A626" s="2" t="s">
        <v>8</v>
      </c>
      <c r="B626" s="2" t="s">
        <v>13</v>
      </c>
      <c r="C626" s="6" t="s">
        <v>22</v>
      </c>
      <c r="D626" s="6" t="s">
        <v>20</v>
      </c>
      <c r="E626" s="6" t="s">
        <v>12</v>
      </c>
      <c r="F626" s="6">
        <v>35</v>
      </c>
      <c r="G626" s="6">
        <v>61</v>
      </c>
      <c r="H626" s="6">
        <v>54</v>
      </c>
      <c r="I626" s="2">
        <f t="shared" si="19"/>
        <v>150</v>
      </c>
      <c r="J626" s="8">
        <f>AVERAGE(Table1[[#This Row],[math score]:[writing score]])</f>
        <v>50</v>
      </c>
      <c r="K626" s="2">
        <f t="shared" si="18"/>
        <v>300</v>
      </c>
      <c r="L626" s="4">
        <f>Table1[[#This Row],[Total Score]]/Table1[[#This Row],[Minimum Mark]]</f>
        <v>0.5</v>
      </c>
      <c r="M626" s="70" t="str">
        <f>_xlfn.XLOOKUP(Table1[[#This Row],[Pass(%)]],O:O,P:P,,-1)</f>
        <v>D</v>
      </c>
    </row>
    <row r="627" spans="1:13" x14ac:dyDescent="0.35">
      <c r="A627" s="2" t="s">
        <v>17</v>
      </c>
      <c r="B627" s="2" t="s">
        <v>9</v>
      </c>
      <c r="C627" s="6" t="s">
        <v>10</v>
      </c>
      <c r="D627" s="6" t="s">
        <v>20</v>
      </c>
      <c r="E627" s="6" t="s">
        <v>12</v>
      </c>
      <c r="F627" s="6">
        <v>62</v>
      </c>
      <c r="G627" s="6">
        <v>63</v>
      </c>
      <c r="H627" s="6">
        <v>56</v>
      </c>
      <c r="I627" s="2">
        <f t="shared" si="19"/>
        <v>181</v>
      </c>
      <c r="J627" s="8">
        <f>AVERAGE(Table1[[#This Row],[math score]:[writing score]])</f>
        <v>60.333333333333336</v>
      </c>
      <c r="K627" s="2">
        <f t="shared" si="18"/>
        <v>300</v>
      </c>
      <c r="L627" s="4">
        <f>Table1[[#This Row],[Total Score]]/Table1[[#This Row],[Minimum Mark]]</f>
        <v>0.60333333333333339</v>
      </c>
      <c r="M627" s="70" t="str">
        <f>_xlfn.XLOOKUP(Table1[[#This Row],[Pass(%)]],O:O,P:P,,-1)</f>
        <v>D+</v>
      </c>
    </row>
    <row r="628" spans="1:13" x14ac:dyDescent="0.35">
      <c r="A628" s="2" t="s">
        <v>17</v>
      </c>
      <c r="B628" s="2" t="s">
        <v>13</v>
      </c>
      <c r="C628" s="6" t="s">
        <v>22</v>
      </c>
      <c r="D628" s="6" t="s">
        <v>20</v>
      </c>
      <c r="E628" s="6" t="s">
        <v>15</v>
      </c>
      <c r="F628" s="6">
        <v>58</v>
      </c>
      <c r="G628" s="6">
        <v>51</v>
      </c>
      <c r="H628" s="6">
        <v>52</v>
      </c>
      <c r="I628" s="2">
        <f t="shared" si="19"/>
        <v>161</v>
      </c>
      <c r="J628" s="8">
        <f>AVERAGE(Table1[[#This Row],[math score]:[writing score]])</f>
        <v>53.666666666666664</v>
      </c>
      <c r="K628" s="2">
        <f t="shared" si="18"/>
        <v>300</v>
      </c>
      <c r="L628" s="4">
        <f>Table1[[#This Row],[Total Score]]/Table1[[#This Row],[Minimum Mark]]</f>
        <v>0.53666666666666663</v>
      </c>
      <c r="M628" s="70" t="str">
        <f>_xlfn.XLOOKUP(Table1[[#This Row],[Pass(%)]],O:O,P:P,,-1)</f>
        <v>D+</v>
      </c>
    </row>
    <row r="629" spans="1:13" x14ac:dyDescent="0.35">
      <c r="A629" s="2" t="s">
        <v>17</v>
      </c>
      <c r="B629" s="2" t="s">
        <v>18</v>
      </c>
      <c r="C629" s="6" t="s">
        <v>14</v>
      </c>
      <c r="D629" s="6" t="s">
        <v>11</v>
      </c>
      <c r="E629" s="6" t="s">
        <v>15</v>
      </c>
      <c r="F629" s="6">
        <v>100</v>
      </c>
      <c r="G629" s="6">
        <v>96</v>
      </c>
      <c r="H629" s="6">
        <v>86</v>
      </c>
      <c r="I629" s="2">
        <f t="shared" si="19"/>
        <v>282</v>
      </c>
      <c r="J629" s="8">
        <f>AVERAGE(Table1[[#This Row],[math score]:[writing score]])</f>
        <v>94</v>
      </c>
      <c r="K629" s="2">
        <f t="shared" si="18"/>
        <v>300</v>
      </c>
      <c r="L629" s="4">
        <f>Table1[[#This Row],[Total Score]]/Table1[[#This Row],[Minimum Mark]]</f>
        <v>0.94</v>
      </c>
      <c r="M629" s="70" t="str">
        <f>_xlfn.XLOOKUP(Table1[[#This Row],[Pass(%)]],O:O,P:P,,-1)</f>
        <v>A</v>
      </c>
    </row>
    <row r="630" spans="1:13" x14ac:dyDescent="0.35">
      <c r="A630" s="2" t="s">
        <v>8</v>
      </c>
      <c r="B630" s="2" t="s">
        <v>24</v>
      </c>
      <c r="C630" s="6" t="s">
        <v>10</v>
      </c>
      <c r="D630" s="6" t="s">
        <v>20</v>
      </c>
      <c r="E630" s="6" t="s">
        <v>12</v>
      </c>
      <c r="F630" s="6">
        <v>61</v>
      </c>
      <c r="G630" s="6">
        <v>58</v>
      </c>
      <c r="H630" s="6">
        <v>62</v>
      </c>
      <c r="I630" s="2">
        <f t="shared" si="19"/>
        <v>181</v>
      </c>
      <c r="J630" s="8">
        <f>AVERAGE(Table1[[#This Row],[math score]:[writing score]])</f>
        <v>60.333333333333336</v>
      </c>
      <c r="K630" s="2">
        <f t="shared" si="18"/>
        <v>300</v>
      </c>
      <c r="L630" s="4">
        <f>Table1[[#This Row],[Total Score]]/Table1[[#This Row],[Minimum Mark]]</f>
        <v>0.60333333333333339</v>
      </c>
      <c r="M630" s="70" t="str">
        <f>_xlfn.XLOOKUP(Table1[[#This Row],[Pass(%)]],O:O,P:P,,-1)</f>
        <v>D+</v>
      </c>
    </row>
    <row r="631" spans="1:13" x14ac:dyDescent="0.35">
      <c r="A631" s="2" t="s">
        <v>17</v>
      </c>
      <c r="B631" s="2" t="s">
        <v>21</v>
      </c>
      <c r="C631" s="6" t="s">
        <v>14</v>
      </c>
      <c r="D631" s="6" t="s">
        <v>11</v>
      </c>
      <c r="E631" s="6" t="s">
        <v>15</v>
      </c>
      <c r="F631" s="6">
        <v>100</v>
      </c>
      <c r="G631" s="6">
        <v>97</v>
      </c>
      <c r="H631" s="6">
        <v>99</v>
      </c>
      <c r="I631" s="2">
        <f t="shared" si="19"/>
        <v>296</v>
      </c>
      <c r="J631" s="8">
        <f>AVERAGE(Table1[[#This Row],[math score]:[writing score]])</f>
        <v>98.666666666666671</v>
      </c>
      <c r="K631" s="2">
        <f t="shared" si="18"/>
        <v>300</v>
      </c>
      <c r="L631" s="4">
        <f>Table1[[#This Row],[Total Score]]/Table1[[#This Row],[Minimum Mark]]</f>
        <v>0.98666666666666669</v>
      </c>
      <c r="M631" s="70" t="str">
        <f>_xlfn.XLOOKUP(Table1[[#This Row],[Pass(%)]],O:O,P:P,,-1)</f>
        <v>A+</v>
      </c>
    </row>
    <row r="632" spans="1:13" ht="20.5" x14ac:dyDescent="0.8">
      <c r="A632" s="3" t="s">
        <v>17</v>
      </c>
      <c r="B632" s="3" t="s">
        <v>9</v>
      </c>
      <c r="C632" s="7" t="s">
        <v>19</v>
      </c>
      <c r="D632" s="7" t="s">
        <v>20</v>
      </c>
      <c r="E632" s="7" t="s">
        <v>15</v>
      </c>
      <c r="F632" s="7">
        <v>69</v>
      </c>
      <c r="G632" s="7">
        <v>70</v>
      </c>
      <c r="H632" s="7">
        <v>63</v>
      </c>
      <c r="I632" s="3">
        <f t="shared" si="19"/>
        <v>202</v>
      </c>
      <c r="J632" s="14">
        <f>AVERAGE(Table1[[#This Row],[math score]:[writing score]])</f>
        <v>67.333333333333329</v>
      </c>
      <c r="K632" s="3">
        <f t="shared" si="18"/>
        <v>300</v>
      </c>
      <c r="L632" s="5">
        <f>Table1[[#This Row],[Total Score]]/Table1[[#This Row],[Minimum Mark]]</f>
        <v>0.67333333333333334</v>
      </c>
      <c r="M632" s="71" t="str">
        <f>_xlfn.XLOOKUP(Table1[[#This Row],[Pass(%)]],O:O,P:P,,-1)</f>
        <v>D+</v>
      </c>
    </row>
    <row r="633" spans="1:13" ht="20.5" x14ac:dyDescent="0.8">
      <c r="A633" s="3" t="s">
        <v>17</v>
      </c>
      <c r="B633" s="3" t="s">
        <v>21</v>
      </c>
      <c r="C633" s="7" t="s">
        <v>19</v>
      </c>
      <c r="D633" s="7" t="s">
        <v>11</v>
      </c>
      <c r="E633" s="7" t="s">
        <v>12</v>
      </c>
      <c r="F633" s="7">
        <v>61</v>
      </c>
      <c r="G633" s="7">
        <v>48</v>
      </c>
      <c r="H633" s="7">
        <v>46</v>
      </c>
      <c r="I633" s="3">
        <f t="shared" si="19"/>
        <v>155</v>
      </c>
      <c r="J633" s="14">
        <f>AVERAGE(Table1[[#This Row],[math score]:[writing score]])</f>
        <v>51.666666666666664</v>
      </c>
      <c r="K633" s="3">
        <f t="shared" si="18"/>
        <v>300</v>
      </c>
      <c r="L633" s="5">
        <f>Table1[[#This Row],[Total Score]]/Table1[[#This Row],[Minimum Mark]]</f>
        <v>0.51666666666666672</v>
      </c>
      <c r="M633" s="71" t="str">
        <f>_xlfn.XLOOKUP(Table1[[#This Row],[Pass(%)]],O:O,P:P,,-1)</f>
        <v>D</v>
      </c>
    </row>
    <row r="634" spans="1:13" x14ac:dyDescent="0.35">
      <c r="A634" s="2" t="s">
        <v>17</v>
      </c>
      <c r="B634" s="2" t="s">
        <v>21</v>
      </c>
      <c r="C634" s="6" t="s">
        <v>14</v>
      </c>
      <c r="D634" s="6" t="s">
        <v>20</v>
      </c>
      <c r="E634" s="6" t="s">
        <v>12</v>
      </c>
      <c r="F634" s="6">
        <v>49</v>
      </c>
      <c r="G634" s="6">
        <v>57</v>
      </c>
      <c r="H634" s="6">
        <v>46</v>
      </c>
      <c r="I634" s="2">
        <f t="shared" si="19"/>
        <v>152</v>
      </c>
      <c r="J634" s="8">
        <f>AVERAGE(Table1[[#This Row],[math score]:[writing score]])</f>
        <v>50.666666666666664</v>
      </c>
      <c r="K634" s="2">
        <f t="shared" si="18"/>
        <v>300</v>
      </c>
      <c r="L634" s="4">
        <f>Table1[[#This Row],[Total Score]]/Table1[[#This Row],[Minimum Mark]]</f>
        <v>0.50666666666666671</v>
      </c>
      <c r="M634" s="70" t="str">
        <f>_xlfn.XLOOKUP(Table1[[#This Row],[Pass(%)]],O:O,P:P,,-1)</f>
        <v>D</v>
      </c>
    </row>
    <row r="635" spans="1:13" x14ac:dyDescent="0.35">
      <c r="A635" s="2" t="s">
        <v>8</v>
      </c>
      <c r="B635" s="2" t="s">
        <v>13</v>
      </c>
      <c r="C635" s="6" t="s">
        <v>23</v>
      </c>
      <c r="D635" s="6" t="s">
        <v>11</v>
      </c>
      <c r="E635" s="6" t="s">
        <v>15</v>
      </c>
      <c r="F635" s="6">
        <v>44</v>
      </c>
      <c r="G635" s="6">
        <v>51</v>
      </c>
      <c r="H635" s="6">
        <v>55</v>
      </c>
      <c r="I635" s="2">
        <f t="shared" si="19"/>
        <v>150</v>
      </c>
      <c r="J635" s="8">
        <f>AVERAGE(Table1[[#This Row],[math score]:[writing score]])</f>
        <v>50</v>
      </c>
      <c r="K635" s="2">
        <f t="shared" si="18"/>
        <v>300</v>
      </c>
      <c r="L635" s="4">
        <f>Table1[[#This Row],[Total Score]]/Table1[[#This Row],[Minimum Mark]]</f>
        <v>0.5</v>
      </c>
      <c r="M635" s="70" t="str">
        <f>_xlfn.XLOOKUP(Table1[[#This Row],[Pass(%)]],O:O,P:P,,-1)</f>
        <v>D</v>
      </c>
    </row>
    <row r="636" spans="1:13" x14ac:dyDescent="0.35">
      <c r="A636" s="2" t="s">
        <v>17</v>
      </c>
      <c r="B636" s="2" t="s">
        <v>21</v>
      </c>
      <c r="C636" s="6" t="s">
        <v>14</v>
      </c>
      <c r="D636" s="6" t="s">
        <v>11</v>
      </c>
      <c r="E636" s="6" t="s">
        <v>12</v>
      </c>
      <c r="F636" s="6">
        <v>67</v>
      </c>
      <c r="G636" s="6">
        <v>64</v>
      </c>
      <c r="H636" s="6">
        <v>70</v>
      </c>
      <c r="I636" s="2">
        <f t="shared" si="19"/>
        <v>201</v>
      </c>
      <c r="J636" s="8">
        <f>AVERAGE(Table1[[#This Row],[math score]:[writing score]])</f>
        <v>67</v>
      </c>
      <c r="K636" s="2">
        <f t="shared" si="18"/>
        <v>300</v>
      </c>
      <c r="L636" s="4">
        <f>Table1[[#This Row],[Total Score]]/Table1[[#This Row],[Minimum Mark]]</f>
        <v>0.67</v>
      </c>
      <c r="M636" s="70" t="str">
        <f>_xlfn.XLOOKUP(Table1[[#This Row],[Pass(%)]],O:O,P:P,,-1)</f>
        <v>D+</v>
      </c>
    </row>
    <row r="637" spans="1:13" x14ac:dyDescent="0.35">
      <c r="A637" s="2" t="s">
        <v>17</v>
      </c>
      <c r="B637" s="2" t="s">
        <v>9</v>
      </c>
      <c r="C637" s="6" t="s">
        <v>22</v>
      </c>
      <c r="D637" s="6" t="s">
        <v>11</v>
      </c>
      <c r="E637" s="6" t="s">
        <v>12</v>
      </c>
      <c r="F637" s="6">
        <v>79</v>
      </c>
      <c r="G637" s="6">
        <v>60</v>
      </c>
      <c r="H637" s="6">
        <v>65</v>
      </c>
      <c r="I637" s="2">
        <f t="shared" si="19"/>
        <v>204</v>
      </c>
      <c r="J637" s="8">
        <f>AVERAGE(Table1[[#This Row],[math score]:[writing score]])</f>
        <v>68</v>
      </c>
      <c r="K637" s="2">
        <f t="shared" si="18"/>
        <v>300</v>
      </c>
      <c r="L637" s="4">
        <f>Table1[[#This Row],[Total Score]]/Table1[[#This Row],[Minimum Mark]]</f>
        <v>0.68</v>
      </c>
      <c r="M637" s="70" t="str">
        <f>_xlfn.XLOOKUP(Table1[[#This Row],[Pass(%)]],O:O,P:P,,-1)</f>
        <v>D+</v>
      </c>
    </row>
    <row r="638" spans="1:13" x14ac:dyDescent="0.35">
      <c r="A638" s="2" t="s">
        <v>8</v>
      </c>
      <c r="B638" s="2" t="s">
        <v>9</v>
      </c>
      <c r="C638" s="6" t="s">
        <v>10</v>
      </c>
      <c r="D638" s="6" t="s">
        <v>11</v>
      </c>
      <c r="E638" s="6" t="s">
        <v>15</v>
      </c>
      <c r="F638" s="6">
        <v>66</v>
      </c>
      <c r="G638" s="6">
        <v>74</v>
      </c>
      <c r="H638" s="6">
        <v>81</v>
      </c>
      <c r="I638" s="2">
        <f t="shared" si="19"/>
        <v>221</v>
      </c>
      <c r="J638" s="8">
        <f>AVERAGE(Table1[[#This Row],[math score]:[writing score]])</f>
        <v>73.666666666666671</v>
      </c>
      <c r="K638" s="2">
        <f t="shared" si="18"/>
        <v>300</v>
      </c>
      <c r="L638" s="4">
        <f>Table1[[#This Row],[Total Score]]/Table1[[#This Row],[Minimum Mark]]</f>
        <v>0.73666666666666669</v>
      </c>
      <c r="M638" s="70" t="str">
        <f>_xlfn.XLOOKUP(Table1[[#This Row],[Pass(%)]],O:O,P:P,,-1)</f>
        <v>C</v>
      </c>
    </row>
    <row r="639" spans="1:13" x14ac:dyDescent="0.35">
      <c r="A639" s="2" t="s">
        <v>8</v>
      </c>
      <c r="B639" s="2" t="s">
        <v>13</v>
      </c>
      <c r="C639" s="6" t="s">
        <v>22</v>
      </c>
      <c r="D639" s="6" t="s">
        <v>11</v>
      </c>
      <c r="E639" s="6" t="s">
        <v>12</v>
      </c>
      <c r="F639" s="6">
        <v>75</v>
      </c>
      <c r="G639" s="6">
        <v>88</v>
      </c>
      <c r="H639" s="6">
        <v>85</v>
      </c>
      <c r="I639" s="2">
        <f t="shared" si="19"/>
        <v>248</v>
      </c>
      <c r="J639" s="8">
        <f>AVERAGE(Table1[[#This Row],[math score]:[writing score]])</f>
        <v>82.666666666666671</v>
      </c>
      <c r="K639" s="2">
        <f t="shared" si="18"/>
        <v>300</v>
      </c>
      <c r="L639" s="4">
        <f>Table1[[#This Row],[Total Score]]/Table1[[#This Row],[Minimum Mark]]</f>
        <v>0.82666666666666666</v>
      </c>
      <c r="M639" s="70" t="str">
        <f>_xlfn.XLOOKUP(Table1[[#This Row],[Pass(%)]],O:O,P:P,,-1)</f>
        <v>B-</v>
      </c>
    </row>
    <row r="640" spans="1:13" x14ac:dyDescent="0.35">
      <c r="A640" s="2" t="s">
        <v>17</v>
      </c>
      <c r="B640" s="2" t="s">
        <v>21</v>
      </c>
      <c r="C640" s="6" t="s">
        <v>23</v>
      </c>
      <c r="D640" s="6" t="s">
        <v>11</v>
      </c>
      <c r="E640" s="6" t="s">
        <v>12</v>
      </c>
      <c r="F640" s="6">
        <v>84</v>
      </c>
      <c r="G640" s="6">
        <v>84</v>
      </c>
      <c r="H640" s="6">
        <v>80</v>
      </c>
      <c r="I640" s="2">
        <f t="shared" si="19"/>
        <v>248</v>
      </c>
      <c r="J640" s="8">
        <f>AVERAGE(Table1[[#This Row],[math score]:[writing score]])</f>
        <v>82.666666666666671</v>
      </c>
      <c r="K640" s="2">
        <f t="shared" si="18"/>
        <v>300</v>
      </c>
      <c r="L640" s="4">
        <f>Table1[[#This Row],[Total Score]]/Table1[[#This Row],[Minimum Mark]]</f>
        <v>0.82666666666666666</v>
      </c>
      <c r="M640" s="70" t="str">
        <f>_xlfn.XLOOKUP(Table1[[#This Row],[Pass(%)]],O:O,P:P,,-1)</f>
        <v>B-</v>
      </c>
    </row>
    <row r="641" spans="1:13" x14ac:dyDescent="0.35">
      <c r="A641" s="2" t="s">
        <v>17</v>
      </c>
      <c r="B641" s="2" t="s">
        <v>18</v>
      </c>
      <c r="C641" s="6" t="s">
        <v>22</v>
      </c>
      <c r="D641" s="6" t="s">
        <v>11</v>
      </c>
      <c r="E641" s="6" t="s">
        <v>12</v>
      </c>
      <c r="F641" s="6">
        <v>71</v>
      </c>
      <c r="G641" s="6">
        <v>74</v>
      </c>
      <c r="H641" s="6">
        <v>64</v>
      </c>
      <c r="I641" s="2">
        <f t="shared" si="19"/>
        <v>209</v>
      </c>
      <c r="J641" s="8">
        <f>AVERAGE(Table1[[#This Row],[math score]:[writing score]])</f>
        <v>69.666666666666671</v>
      </c>
      <c r="K641" s="2">
        <f t="shared" si="18"/>
        <v>300</v>
      </c>
      <c r="L641" s="4">
        <f>Table1[[#This Row],[Total Score]]/Table1[[#This Row],[Minimum Mark]]</f>
        <v>0.69666666666666666</v>
      </c>
      <c r="M641" s="70" t="str">
        <f>_xlfn.XLOOKUP(Table1[[#This Row],[Pass(%)]],O:O,P:P,,-1)</f>
        <v>D+</v>
      </c>
    </row>
    <row r="642" spans="1:13" x14ac:dyDescent="0.35">
      <c r="A642" s="2" t="s">
        <v>8</v>
      </c>
      <c r="B642" s="2" t="s">
        <v>9</v>
      </c>
      <c r="C642" s="6" t="s">
        <v>22</v>
      </c>
      <c r="D642" s="6" t="s">
        <v>20</v>
      </c>
      <c r="E642" s="6" t="s">
        <v>15</v>
      </c>
      <c r="F642" s="6">
        <v>67</v>
      </c>
      <c r="G642" s="6">
        <v>80</v>
      </c>
      <c r="H642" s="6">
        <v>81</v>
      </c>
      <c r="I642" s="2">
        <f t="shared" si="19"/>
        <v>228</v>
      </c>
      <c r="J642" s="8">
        <f>AVERAGE(Table1[[#This Row],[math score]:[writing score]])</f>
        <v>76</v>
      </c>
      <c r="K642" s="2">
        <f t="shared" si="18"/>
        <v>300</v>
      </c>
      <c r="L642" s="4">
        <f>Table1[[#This Row],[Total Score]]/Table1[[#This Row],[Minimum Mark]]</f>
        <v>0.76</v>
      </c>
      <c r="M642" s="70" t="str">
        <f>_xlfn.XLOOKUP(Table1[[#This Row],[Pass(%)]],O:O,P:P,,-1)</f>
        <v>C</v>
      </c>
    </row>
    <row r="643" spans="1:13" x14ac:dyDescent="0.35">
      <c r="A643" s="2" t="s">
        <v>8</v>
      </c>
      <c r="B643" s="2" t="s">
        <v>21</v>
      </c>
      <c r="C643" s="6" t="s">
        <v>23</v>
      </c>
      <c r="D643" s="6" t="s">
        <v>11</v>
      </c>
      <c r="E643" s="6" t="s">
        <v>15</v>
      </c>
      <c r="F643" s="6">
        <v>80</v>
      </c>
      <c r="G643" s="6">
        <v>92</v>
      </c>
      <c r="H643" s="6">
        <v>88</v>
      </c>
      <c r="I643" s="2">
        <f t="shared" si="19"/>
        <v>260</v>
      </c>
      <c r="J643" s="8">
        <f>AVERAGE(Table1[[#This Row],[math score]:[writing score]])</f>
        <v>86.666666666666671</v>
      </c>
      <c r="K643" s="2">
        <f t="shared" si="18"/>
        <v>300</v>
      </c>
      <c r="L643" s="4">
        <f>Table1[[#This Row],[Total Score]]/Table1[[#This Row],[Minimum Mark]]</f>
        <v>0.8666666666666667</v>
      </c>
      <c r="M643" s="70" t="str">
        <f>_xlfn.XLOOKUP(Table1[[#This Row],[Pass(%)]],O:O,P:P,,-1)</f>
        <v>B</v>
      </c>
    </row>
    <row r="644" spans="1:13" x14ac:dyDescent="0.35">
      <c r="A644" s="2" t="s">
        <v>17</v>
      </c>
      <c r="B644" s="2" t="s">
        <v>24</v>
      </c>
      <c r="C644" s="6" t="s">
        <v>14</v>
      </c>
      <c r="D644" s="6" t="s">
        <v>11</v>
      </c>
      <c r="E644" s="6" t="s">
        <v>12</v>
      </c>
      <c r="F644" s="6">
        <v>86</v>
      </c>
      <c r="G644" s="6">
        <v>76</v>
      </c>
      <c r="H644" s="6">
        <v>74</v>
      </c>
      <c r="I644" s="2">
        <f t="shared" si="19"/>
        <v>236</v>
      </c>
      <c r="J644" s="8">
        <f>AVERAGE(Table1[[#This Row],[math score]:[writing score]])</f>
        <v>78.666666666666671</v>
      </c>
      <c r="K644" s="2">
        <f t="shared" si="18"/>
        <v>300</v>
      </c>
      <c r="L644" s="4">
        <f>Table1[[#This Row],[Total Score]]/Table1[[#This Row],[Minimum Mark]]</f>
        <v>0.78666666666666663</v>
      </c>
      <c r="M644" s="70" t="str">
        <f>_xlfn.XLOOKUP(Table1[[#This Row],[Pass(%)]],O:O,P:P,,-1)</f>
        <v>C+</v>
      </c>
    </row>
    <row r="645" spans="1:13" ht="20.5" x14ac:dyDescent="0.8">
      <c r="A645" s="3" t="s">
        <v>8</v>
      </c>
      <c r="B645" s="3" t="s">
        <v>21</v>
      </c>
      <c r="C645" s="7" t="s">
        <v>19</v>
      </c>
      <c r="D645" s="7" t="s">
        <v>11</v>
      </c>
      <c r="E645" s="7" t="s">
        <v>12</v>
      </c>
      <c r="F645" s="7">
        <v>76</v>
      </c>
      <c r="G645" s="7">
        <v>74</v>
      </c>
      <c r="H645" s="7">
        <v>73</v>
      </c>
      <c r="I645" s="3">
        <f t="shared" si="19"/>
        <v>223</v>
      </c>
      <c r="J645" s="14">
        <f>AVERAGE(Table1[[#This Row],[math score]:[writing score]])</f>
        <v>74.333333333333329</v>
      </c>
      <c r="K645" s="3">
        <f t="shared" si="18"/>
        <v>300</v>
      </c>
      <c r="L645" s="5">
        <f>Table1[[#This Row],[Total Score]]/Table1[[#This Row],[Minimum Mark]]</f>
        <v>0.74333333333333329</v>
      </c>
      <c r="M645" s="71" t="str">
        <f>_xlfn.XLOOKUP(Table1[[#This Row],[Pass(%)]],O:O,P:P,,-1)</f>
        <v>C</v>
      </c>
    </row>
    <row r="646" spans="1:13" x14ac:dyDescent="0.35">
      <c r="A646" s="2" t="s">
        <v>17</v>
      </c>
      <c r="B646" s="2" t="s">
        <v>21</v>
      </c>
      <c r="C646" s="6" t="s">
        <v>22</v>
      </c>
      <c r="D646" s="6" t="s">
        <v>11</v>
      </c>
      <c r="E646" s="6" t="s">
        <v>12</v>
      </c>
      <c r="F646" s="6">
        <v>41</v>
      </c>
      <c r="G646" s="6">
        <v>52</v>
      </c>
      <c r="H646" s="6">
        <v>51</v>
      </c>
      <c r="I646" s="2">
        <f t="shared" si="19"/>
        <v>144</v>
      </c>
      <c r="J646" s="8">
        <f>AVERAGE(Table1[[#This Row],[math score]:[writing score]])</f>
        <v>48</v>
      </c>
      <c r="K646" s="2">
        <f t="shared" ref="K646:K709" si="20">3*100</f>
        <v>300</v>
      </c>
      <c r="L646" s="4">
        <f>Table1[[#This Row],[Total Score]]/Table1[[#This Row],[Minimum Mark]]</f>
        <v>0.48</v>
      </c>
      <c r="M646" s="70" t="str">
        <f>_xlfn.XLOOKUP(Table1[[#This Row],[Pass(%)]],O:O,P:P,,-1)</f>
        <v>D</v>
      </c>
    </row>
    <row r="647" spans="1:13" ht="20.5" x14ac:dyDescent="0.8">
      <c r="A647" s="3" t="s">
        <v>8</v>
      </c>
      <c r="B647" s="3" t="s">
        <v>21</v>
      </c>
      <c r="C647" s="7" t="s">
        <v>19</v>
      </c>
      <c r="D647" s="7" t="s">
        <v>20</v>
      </c>
      <c r="E647" s="7" t="s">
        <v>15</v>
      </c>
      <c r="F647" s="7">
        <v>74</v>
      </c>
      <c r="G647" s="7">
        <v>88</v>
      </c>
      <c r="H647" s="7">
        <v>90</v>
      </c>
      <c r="I647" s="3">
        <f t="shared" ref="I647:I710" si="21">SUM(F647:H647)</f>
        <v>252</v>
      </c>
      <c r="J647" s="14">
        <f>AVERAGE(Table1[[#This Row],[math score]:[writing score]])</f>
        <v>84</v>
      </c>
      <c r="K647" s="3">
        <f t="shared" si="20"/>
        <v>300</v>
      </c>
      <c r="L647" s="5">
        <f>Table1[[#This Row],[Total Score]]/Table1[[#This Row],[Minimum Mark]]</f>
        <v>0.84</v>
      </c>
      <c r="M647" s="71" t="str">
        <f>_xlfn.XLOOKUP(Table1[[#This Row],[Pass(%)]],O:O,P:P,,-1)</f>
        <v>B</v>
      </c>
    </row>
    <row r="648" spans="1:13" x14ac:dyDescent="0.35">
      <c r="A648" s="2" t="s">
        <v>8</v>
      </c>
      <c r="B648" s="2" t="s">
        <v>9</v>
      </c>
      <c r="C648" s="6" t="s">
        <v>23</v>
      </c>
      <c r="D648" s="6" t="s">
        <v>20</v>
      </c>
      <c r="E648" s="6" t="s">
        <v>12</v>
      </c>
      <c r="F648" s="6">
        <v>72</v>
      </c>
      <c r="G648" s="6">
        <v>81</v>
      </c>
      <c r="H648" s="6">
        <v>79</v>
      </c>
      <c r="I648" s="2">
        <f t="shared" si="21"/>
        <v>232</v>
      </c>
      <c r="J648" s="8">
        <f>AVERAGE(Table1[[#This Row],[math score]:[writing score]])</f>
        <v>77.333333333333329</v>
      </c>
      <c r="K648" s="2">
        <f t="shared" si="20"/>
        <v>300</v>
      </c>
      <c r="L648" s="4">
        <f>Table1[[#This Row],[Total Score]]/Table1[[#This Row],[Minimum Mark]]</f>
        <v>0.77333333333333332</v>
      </c>
      <c r="M648" s="70" t="str">
        <f>_xlfn.XLOOKUP(Table1[[#This Row],[Pass(%)]],O:O,P:P,,-1)</f>
        <v>C+</v>
      </c>
    </row>
    <row r="649" spans="1:13" x14ac:dyDescent="0.35">
      <c r="A649" s="2" t="s">
        <v>8</v>
      </c>
      <c r="B649" s="2" t="s">
        <v>24</v>
      </c>
      <c r="C649" s="6" t="s">
        <v>22</v>
      </c>
      <c r="D649" s="6" t="s">
        <v>11</v>
      </c>
      <c r="E649" s="6" t="s">
        <v>15</v>
      </c>
      <c r="F649" s="6">
        <v>74</v>
      </c>
      <c r="G649" s="6">
        <v>79</v>
      </c>
      <c r="H649" s="6">
        <v>80</v>
      </c>
      <c r="I649" s="2">
        <f t="shared" si="21"/>
        <v>233</v>
      </c>
      <c r="J649" s="8">
        <f>AVERAGE(Table1[[#This Row],[math score]:[writing score]])</f>
        <v>77.666666666666671</v>
      </c>
      <c r="K649" s="2">
        <f t="shared" si="20"/>
        <v>300</v>
      </c>
      <c r="L649" s="4">
        <f>Table1[[#This Row],[Total Score]]/Table1[[#This Row],[Minimum Mark]]</f>
        <v>0.77666666666666662</v>
      </c>
      <c r="M649" s="70" t="str">
        <f>_xlfn.XLOOKUP(Table1[[#This Row],[Pass(%)]],O:O,P:P,,-1)</f>
        <v>C+</v>
      </c>
    </row>
    <row r="650" spans="1:13" x14ac:dyDescent="0.35">
      <c r="A650" s="2" t="s">
        <v>17</v>
      </c>
      <c r="B650" s="2" t="s">
        <v>9</v>
      </c>
      <c r="C650" s="6" t="s">
        <v>22</v>
      </c>
      <c r="D650" s="6" t="s">
        <v>11</v>
      </c>
      <c r="E650" s="6" t="s">
        <v>12</v>
      </c>
      <c r="F650" s="6">
        <v>70</v>
      </c>
      <c r="G650" s="6">
        <v>65</v>
      </c>
      <c r="H650" s="6">
        <v>60</v>
      </c>
      <c r="I650" s="2">
        <f t="shared" si="21"/>
        <v>195</v>
      </c>
      <c r="J650" s="8">
        <f>AVERAGE(Table1[[#This Row],[math score]:[writing score]])</f>
        <v>65</v>
      </c>
      <c r="K650" s="2">
        <f t="shared" si="20"/>
        <v>300</v>
      </c>
      <c r="L650" s="4">
        <f>Table1[[#This Row],[Total Score]]/Table1[[#This Row],[Minimum Mark]]</f>
        <v>0.65</v>
      </c>
      <c r="M650" s="70" t="str">
        <f>_xlfn.XLOOKUP(Table1[[#This Row],[Pass(%)]],O:O,P:P,,-1)</f>
        <v>D+</v>
      </c>
    </row>
    <row r="651" spans="1:13" x14ac:dyDescent="0.35">
      <c r="A651" s="2" t="s">
        <v>8</v>
      </c>
      <c r="B651" s="2" t="s">
        <v>9</v>
      </c>
      <c r="C651" s="6" t="s">
        <v>10</v>
      </c>
      <c r="D651" s="6" t="s">
        <v>11</v>
      </c>
      <c r="E651" s="6" t="s">
        <v>15</v>
      </c>
      <c r="F651" s="6">
        <v>65</v>
      </c>
      <c r="G651" s="6">
        <v>81</v>
      </c>
      <c r="H651" s="6">
        <v>81</v>
      </c>
      <c r="I651" s="2">
        <f t="shared" si="21"/>
        <v>227</v>
      </c>
      <c r="J651" s="8">
        <f>AVERAGE(Table1[[#This Row],[math score]:[writing score]])</f>
        <v>75.666666666666671</v>
      </c>
      <c r="K651" s="2">
        <f t="shared" si="20"/>
        <v>300</v>
      </c>
      <c r="L651" s="4">
        <f>Table1[[#This Row],[Total Score]]/Table1[[#This Row],[Minimum Mark]]</f>
        <v>0.75666666666666671</v>
      </c>
      <c r="M651" s="70" t="str">
        <f>_xlfn.XLOOKUP(Table1[[#This Row],[Pass(%)]],O:O,P:P,,-1)</f>
        <v>C</v>
      </c>
    </row>
    <row r="652" spans="1:13" ht="20.5" x14ac:dyDescent="0.8">
      <c r="A652" s="3" t="s">
        <v>8</v>
      </c>
      <c r="B652" s="3" t="s">
        <v>21</v>
      </c>
      <c r="C652" s="7" t="s">
        <v>19</v>
      </c>
      <c r="D652" s="7" t="s">
        <v>11</v>
      </c>
      <c r="E652" s="7" t="s">
        <v>12</v>
      </c>
      <c r="F652" s="7">
        <v>59</v>
      </c>
      <c r="G652" s="7">
        <v>70</v>
      </c>
      <c r="H652" s="7">
        <v>65</v>
      </c>
      <c r="I652" s="3">
        <f t="shared" si="21"/>
        <v>194</v>
      </c>
      <c r="J652" s="14">
        <f>AVERAGE(Table1[[#This Row],[math score]:[writing score]])</f>
        <v>64.666666666666671</v>
      </c>
      <c r="K652" s="3">
        <f t="shared" si="20"/>
        <v>300</v>
      </c>
      <c r="L652" s="5">
        <f>Table1[[#This Row],[Total Score]]/Table1[[#This Row],[Minimum Mark]]</f>
        <v>0.64666666666666661</v>
      </c>
      <c r="M652" s="71" t="str">
        <f>_xlfn.XLOOKUP(Table1[[#This Row],[Pass(%)]],O:O,P:P,,-1)</f>
        <v>D+</v>
      </c>
    </row>
    <row r="653" spans="1:13" x14ac:dyDescent="0.35">
      <c r="A653" s="2" t="s">
        <v>8</v>
      </c>
      <c r="B653" s="2" t="s">
        <v>24</v>
      </c>
      <c r="C653" s="6" t="s">
        <v>22</v>
      </c>
      <c r="D653" s="6" t="s">
        <v>20</v>
      </c>
      <c r="E653" s="6" t="s">
        <v>12</v>
      </c>
      <c r="F653" s="6">
        <v>64</v>
      </c>
      <c r="G653" s="6">
        <v>62</v>
      </c>
      <c r="H653" s="6">
        <v>68</v>
      </c>
      <c r="I653" s="2">
        <f t="shared" si="21"/>
        <v>194</v>
      </c>
      <c r="J653" s="8">
        <f>AVERAGE(Table1[[#This Row],[math score]:[writing score]])</f>
        <v>64.666666666666671</v>
      </c>
      <c r="K653" s="2">
        <f t="shared" si="20"/>
        <v>300</v>
      </c>
      <c r="L653" s="4">
        <f>Table1[[#This Row],[Total Score]]/Table1[[#This Row],[Minimum Mark]]</f>
        <v>0.64666666666666661</v>
      </c>
      <c r="M653" s="70" t="str">
        <f>_xlfn.XLOOKUP(Table1[[#This Row],[Pass(%)]],O:O,P:P,,-1)</f>
        <v>D+</v>
      </c>
    </row>
    <row r="654" spans="1:13" x14ac:dyDescent="0.35">
      <c r="A654" s="2" t="s">
        <v>8</v>
      </c>
      <c r="B654" s="2" t="s">
        <v>9</v>
      </c>
      <c r="C654" s="6" t="s">
        <v>22</v>
      </c>
      <c r="D654" s="6" t="s">
        <v>11</v>
      </c>
      <c r="E654" s="6" t="s">
        <v>12</v>
      </c>
      <c r="F654" s="6">
        <v>50</v>
      </c>
      <c r="G654" s="6">
        <v>53</v>
      </c>
      <c r="H654" s="6">
        <v>55</v>
      </c>
      <c r="I654" s="2">
        <f t="shared" si="21"/>
        <v>158</v>
      </c>
      <c r="J654" s="8">
        <f>AVERAGE(Table1[[#This Row],[math score]:[writing score]])</f>
        <v>52.666666666666664</v>
      </c>
      <c r="K654" s="2">
        <f t="shared" si="20"/>
        <v>300</v>
      </c>
      <c r="L654" s="4">
        <f>Table1[[#This Row],[Total Score]]/Table1[[#This Row],[Minimum Mark]]</f>
        <v>0.52666666666666662</v>
      </c>
      <c r="M654" s="70" t="str">
        <f>_xlfn.XLOOKUP(Table1[[#This Row],[Pass(%)]],O:O,P:P,,-1)</f>
        <v>D</v>
      </c>
    </row>
    <row r="655" spans="1:13" x14ac:dyDescent="0.35">
      <c r="A655" s="2" t="s">
        <v>8</v>
      </c>
      <c r="B655" s="2" t="s">
        <v>21</v>
      </c>
      <c r="C655" s="6" t="s">
        <v>14</v>
      </c>
      <c r="D655" s="6" t="s">
        <v>11</v>
      </c>
      <c r="E655" s="6" t="s">
        <v>15</v>
      </c>
      <c r="F655" s="6">
        <v>69</v>
      </c>
      <c r="G655" s="6">
        <v>79</v>
      </c>
      <c r="H655" s="6">
        <v>81</v>
      </c>
      <c r="I655" s="2">
        <f t="shared" si="21"/>
        <v>229</v>
      </c>
      <c r="J655" s="8">
        <f>AVERAGE(Table1[[#This Row],[math score]:[writing score]])</f>
        <v>76.333333333333329</v>
      </c>
      <c r="K655" s="2">
        <f t="shared" si="20"/>
        <v>300</v>
      </c>
      <c r="L655" s="4">
        <f>Table1[[#This Row],[Total Score]]/Table1[[#This Row],[Minimum Mark]]</f>
        <v>0.76333333333333331</v>
      </c>
      <c r="M655" s="70" t="str">
        <f>_xlfn.XLOOKUP(Table1[[#This Row],[Pass(%)]],O:O,P:P,,-1)</f>
        <v>C</v>
      </c>
    </row>
    <row r="656" spans="1:13" x14ac:dyDescent="0.35">
      <c r="A656" s="2" t="s">
        <v>17</v>
      </c>
      <c r="B656" s="2" t="s">
        <v>13</v>
      </c>
      <c r="C656" s="6" t="s">
        <v>23</v>
      </c>
      <c r="D656" s="6" t="s">
        <v>20</v>
      </c>
      <c r="E656" s="6" t="s">
        <v>15</v>
      </c>
      <c r="F656" s="6">
        <v>51</v>
      </c>
      <c r="G656" s="6">
        <v>56</v>
      </c>
      <c r="H656" s="6">
        <v>53</v>
      </c>
      <c r="I656" s="2">
        <f t="shared" si="21"/>
        <v>160</v>
      </c>
      <c r="J656" s="8">
        <f>AVERAGE(Table1[[#This Row],[math score]:[writing score]])</f>
        <v>53.333333333333336</v>
      </c>
      <c r="K656" s="2">
        <f t="shared" si="20"/>
        <v>300</v>
      </c>
      <c r="L656" s="4">
        <f>Table1[[#This Row],[Total Score]]/Table1[[#This Row],[Minimum Mark]]</f>
        <v>0.53333333333333333</v>
      </c>
      <c r="M656" s="70" t="str">
        <f>_xlfn.XLOOKUP(Table1[[#This Row],[Pass(%)]],O:O,P:P,,-1)</f>
        <v>D+</v>
      </c>
    </row>
    <row r="657" spans="1:13" x14ac:dyDescent="0.35">
      <c r="A657" s="2" t="s">
        <v>8</v>
      </c>
      <c r="B657" s="2" t="s">
        <v>18</v>
      </c>
      <c r="C657" s="6" t="s">
        <v>22</v>
      </c>
      <c r="D657" s="6" t="s">
        <v>11</v>
      </c>
      <c r="E657" s="6" t="s">
        <v>15</v>
      </c>
      <c r="F657" s="6">
        <v>68</v>
      </c>
      <c r="G657" s="6">
        <v>80</v>
      </c>
      <c r="H657" s="6">
        <v>76</v>
      </c>
      <c r="I657" s="2">
        <f t="shared" si="21"/>
        <v>224</v>
      </c>
      <c r="J657" s="8">
        <f>AVERAGE(Table1[[#This Row],[math score]:[writing score]])</f>
        <v>74.666666666666671</v>
      </c>
      <c r="K657" s="2">
        <f t="shared" si="20"/>
        <v>300</v>
      </c>
      <c r="L657" s="4">
        <f>Table1[[#This Row],[Total Score]]/Table1[[#This Row],[Minimum Mark]]</f>
        <v>0.7466666666666667</v>
      </c>
      <c r="M657" s="70" t="str">
        <f>_xlfn.XLOOKUP(Table1[[#This Row],[Pass(%)]],O:O,P:P,,-1)</f>
        <v>C</v>
      </c>
    </row>
    <row r="658" spans="1:13" x14ac:dyDescent="0.35">
      <c r="A658" s="2" t="s">
        <v>8</v>
      </c>
      <c r="B658" s="2" t="s">
        <v>21</v>
      </c>
      <c r="C658" s="6" t="s">
        <v>14</v>
      </c>
      <c r="D658" s="6" t="s">
        <v>11</v>
      </c>
      <c r="E658" s="6" t="s">
        <v>15</v>
      </c>
      <c r="F658" s="6">
        <v>85</v>
      </c>
      <c r="G658" s="6">
        <v>86</v>
      </c>
      <c r="H658" s="6">
        <v>98</v>
      </c>
      <c r="I658" s="2">
        <f t="shared" si="21"/>
        <v>269</v>
      </c>
      <c r="J658" s="8">
        <f>AVERAGE(Table1[[#This Row],[math score]:[writing score]])</f>
        <v>89.666666666666671</v>
      </c>
      <c r="K658" s="2">
        <f t="shared" si="20"/>
        <v>300</v>
      </c>
      <c r="L658" s="4">
        <f>Table1[[#This Row],[Total Score]]/Table1[[#This Row],[Minimum Mark]]</f>
        <v>0.89666666666666661</v>
      </c>
      <c r="M658" s="70" t="str">
        <f>_xlfn.XLOOKUP(Table1[[#This Row],[Pass(%)]],O:O,P:P,,-1)</f>
        <v>B+</v>
      </c>
    </row>
    <row r="659" spans="1:13" ht="20.5" x14ac:dyDescent="0.8">
      <c r="A659" s="3" t="s">
        <v>8</v>
      </c>
      <c r="B659" s="3" t="s">
        <v>18</v>
      </c>
      <c r="C659" s="7" t="s">
        <v>19</v>
      </c>
      <c r="D659" s="7" t="s">
        <v>11</v>
      </c>
      <c r="E659" s="7" t="s">
        <v>15</v>
      </c>
      <c r="F659" s="7">
        <v>65</v>
      </c>
      <c r="G659" s="7">
        <v>70</v>
      </c>
      <c r="H659" s="7">
        <v>74</v>
      </c>
      <c r="I659" s="3">
        <f t="shared" si="21"/>
        <v>209</v>
      </c>
      <c r="J659" s="14">
        <f>AVERAGE(Table1[[#This Row],[math score]:[writing score]])</f>
        <v>69.666666666666671</v>
      </c>
      <c r="K659" s="3">
        <f t="shared" si="20"/>
        <v>300</v>
      </c>
      <c r="L659" s="5">
        <f>Table1[[#This Row],[Total Score]]/Table1[[#This Row],[Minimum Mark]]</f>
        <v>0.69666666666666666</v>
      </c>
      <c r="M659" s="71" t="str">
        <f>_xlfn.XLOOKUP(Table1[[#This Row],[Pass(%)]],O:O,P:P,,-1)</f>
        <v>D+</v>
      </c>
    </row>
    <row r="660" spans="1:13" x14ac:dyDescent="0.35">
      <c r="A660" s="2" t="s">
        <v>8</v>
      </c>
      <c r="B660" s="2" t="s">
        <v>9</v>
      </c>
      <c r="C660" s="6" t="s">
        <v>23</v>
      </c>
      <c r="D660" s="6" t="s">
        <v>11</v>
      </c>
      <c r="E660" s="6" t="s">
        <v>12</v>
      </c>
      <c r="F660" s="6">
        <v>73</v>
      </c>
      <c r="G660" s="6">
        <v>79</v>
      </c>
      <c r="H660" s="6">
        <v>79</v>
      </c>
      <c r="I660" s="2">
        <f t="shared" si="21"/>
        <v>231</v>
      </c>
      <c r="J660" s="8">
        <f>AVERAGE(Table1[[#This Row],[math score]:[writing score]])</f>
        <v>77</v>
      </c>
      <c r="K660" s="2">
        <f t="shared" si="20"/>
        <v>300</v>
      </c>
      <c r="L660" s="4">
        <f>Table1[[#This Row],[Total Score]]/Table1[[#This Row],[Minimum Mark]]</f>
        <v>0.77</v>
      </c>
      <c r="M660" s="70" t="str">
        <f>_xlfn.XLOOKUP(Table1[[#This Row],[Pass(%)]],O:O,P:P,,-1)</f>
        <v>C+</v>
      </c>
    </row>
    <row r="661" spans="1:13" x14ac:dyDescent="0.35">
      <c r="A661" s="2" t="s">
        <v>8</v>
      </c>
      <c r="B661" s="2" t="s">
        <v>9</v>
      </c>
      <c r="C661" s="6" t="s">
        <v>14</v>
      </c>
      <c r="D661" s="6" t="s">
        <v>11</v>
      </c>
      <c r="E661" s="6" t="s">
        <v>12</v>
      </c>
      <c r="F661" s="6">
        <v>62</v>
      </c>
      <c r="G661" s="6">
        <v>67</v>
      </c>
      <c r="H661" s="6">
        <v>67</v>
      </c>
      <c r="I661" s="2">
        <f t="shared" si="21"/>
        <v>196</v>
      </c>
      <c r="J661" s="8">
        <f>AVERAGE(Table1[[#This Row],[math score]:[writing score]])</f>
        <v>65.333333333333329</v>
      </c>
      <c r="K661" s="2">
        <f t="shared" si="20"/>
        <v>300</v>
      </c>
      <c r="L661" s="4">
        <f>Table1[[#This Row],[Total Score]]/Table1[[#This Row],[Minimum Mark]]</f>
        <v>0.65333333333333332</v>
      </c>
      <c r="M661" s="70" t="str">
        <f>_xlfn.XLOOKUP(Table1[[#This Row],[Pass(%)]],O:O,P:P,,-1)</f>
        <v>D+</v>
      </c>
    </row>
    <row r="662" spans="1:13" ht="20.5" x14ac:dyDescent="0.8">
      <c r="A662" s="3" t="s">
        <v>17</v>
      </c>
      <c r="B662" s="3" t="s">
        <v>13</v>
      </c>
      <c r="C662" s="7" t="s">
        <v>19</v>
      </c>
      <c r="D662" s="7" t="s">
        <v>20</v>
      </c>
      <c r="E662" s="7" t="s">
        <v>12</v>
      </c>
      <c r="F662" s="7">
        <v>77</v>
      </c>
      <c r="G662" s="7">
        <v>67</v>
      </c>
      <c r="H662" s="7">
        <v>64</v>
      </c>
      <c r="I662" s="3">
        <f t="shared" si="21"/>
        <v>208</v>
      </c>
      <c r="J662" s="14">
        <f>AVERAGE(Table1[[#This Row],[math score]:[writing score]])</f>
        <v>69.333333333333329</v>
      </c>
      <c r="K662" s="3">
        <f t="shared" si="20"/>
        <v>300</v>
      </c>
      <c r="L662" s="5">
        <f>Table1[[#This Row],[Total Score]]/Table1[[#This Row],[Minimum Mark]]</f>
        <v>0.69333333333333336</v>
      </c>
      <c r="M662" s="71" t="str">
        <f>_xlfn.XLOOKUP(Table1[[#This Row],[Pass(%)]],O:O,P:P,,-1)</f>
        <v>D+</v>
      </c>
    </row>
    <row r="663" spans="1:13" x14ac:dyDescent="0.35">
      <c r="A663" s="2" t="s">
        <v>17</v>
      </c>
      <c r="B663" s="2" t="s">
        <v>21</v>
      </c>
      <c r="C663" s="6" t="s">
        <v>23</v>
      </c>
      <c r="D663" s="6" t="s">
        <v>11</v>
      </c>
      <c r="E663" s="6" t="s">
        <v>12</v>
      </c>
      <c r="F663" s="6">
        <v>69</v>
      </c>
      <c r="G663" s="6">
        <v>66</v>
      </c>
      <c r="H663" s="6">
        <v>61</v>
      </c>
      <c r="I663" s="2">
        <f t="shared" si="21"/>
        <v>196</v>
      </c>
      <c r="J663" s="8">
        <f>AVERAGE(Table1[[#This Row],[math score]:[writing score]])</f>
        <v>65.333333333333329</v>
      </c>
      <c r="K663" s="2">
        <f t="shared" si="20"/>
        <v>300</v>
      </c>
      <c r="L663" s="4">
        <f>Table1[[#This Row],[Total Score]]/Table1[[#This Row],[Minimum Mark]]</f>
        <v>0.65333333333333332</v>
      </c>
      <c r="M663" s="70" t="str">
        <f>_xlfn.XLOOKUP(Table1[[#This Row],[Pass(%)]],O:O,P:P,,-1)</f>
        <v>D+</v>
      </c>
    </row>
    <row r="664" spans="1:13" ht="20.5" x14ac:dyDescent="0.8">
      <c r="A664" s="3" t="s">
        <v>8</v>
      </c>
      <c r="B664" s="3" t="s">
        <v>21</v>
      </c>
      <c r="C664" s="7" t="s">
        <v>19</v>
      </c>
      <c r="D664" s="7" t="s">
        <v>20</v>
      </c>
      <c r="E664" s="7" t="s">
        <v>12</v>
      </c>
      <c r="F664" s="7">
        <v>43</v>
      </c>
      <c r="G664" s="7">
        <v>60</v>
      </c>
      <c r="H664" s="7">
        <v>58</v>
      </c>
      <c r="I664" s="3">
        <f t="shared" si="21"/>
        <v>161</v>
      </c>
      <c r="J664" s="14">
        <f>AVERAGE(Table1[[#This Row],[math score]:[writing score]])</f>
        <v>53.666666666666664</v>
      </c>
      <c r="K664" s="3">
        <f t="shared" si="20"/>
        <v>300</v>
      </c>
      <c r="L664" s="5">
        <f>Table1[[#This Row],[Total Score]]/Table1[[#This Row],[Minimum Mark]]</f>
        <v>0.53666666666666663</v>
      </c>
      <c r="M664" s="71" t="str">
        <f>_xlfn.XLOOKUP(Table1[[#This Row],[Pass(%)]],O:O,P:P,,-1)</f>
        <v>D+</v>
      </c>
    </row>
    <row r="665" spans="1:13" ht="20.5" x14ac:dyDescent="0.8">
      <c r="A665" s="3" t="s">
        <v>17</v>
      </c>
      <c r="B665" s="3" t="s">
        <v>21</v>
      </c>
      <c r="C665" s="7" t="s">
        <v>19</v>
      </c>
      <c r="D665" s="7" t="s">
        <v>11</v>
      </c>
      <c r="E665" s="7" t="s">
        <v>12</v>
      </c>
      <c r="F665" s="7">
        <v>90</v>
      </c>
      <c r="G665" s="7">
        <v>87</v>
      </c>
      <c r="H665" s="7">
        <v>85</v>
      </c>
      <c r="I665" s="3">
        <f t="shared" si="21"/>
        <v>262</v>
      </c>
      <c r="J665" s="14">
        <f>AVERAGE(Table1[[#This Row],[math score]:[writing score]])</f>
        <v>87.333333333333329</v>
      </c>
      <c r="K665" s="3">
        <f t="shared" si="20"/>
        <v>300</v>
      </c>
      <c r="L665" s="5">
        <f>Table1[[#This Row],[Total Score]]/Table1[[#This Row],[Minimum Mark]]</f>
        <v>0.87333333333333329</v>
      </c>
      <c r="M665" s="71" t="str">
        <f>_xlfn.XLOOKUP(Table1[[#This Row],[Pass(%)]],O:O,P:P,,-1)</f>
        <v>B+</v>
      </c>
    </row>
    <row r="666" spans="1:13" x14ac:dyDescent="0.35">
      <c r="A666" s="2" t="s">
        <v>17</v>
      </c>
      <c r="B666" s="2" t="s">
        <v>13</v>
      </c>
      <c r="C666" s="6" t="s">
        <v>14</v>
      </c>
      <c r="D666" s="6" t="s">
        <v>20</v>
      </c>
      <c r="E666" s="6" t="s">
        <v>12</v>
      </c>
      <c r="F666" s="6">
        <v>74</v>
      </c>
      <c r="G666" s="6">
        <v>77</v>
      </c>
      <c r="H666" s="6">
        <v>73</v>
      </c>
      <c r="I666" s="2">
        <f t="shared" si="21"/>
        <v>224</v>
      </c>
      <c r="J666" s="8">
        <f>AVERAGE(Table1[[#This Row],[math score]:[writing score]])</f>
        <v>74.666666666666671</v>
      </c>
      <c r="K666" s="2">
        <f t="shared" si="20"/>
        <v>300</v>
      </c>
      <c r="L666" s="4">
        <f>Table1[[#This Row],[Total Score]]/Table1[[#This Row],[Minimum Mark]]</f>
        <v>0.7466666666666667</v>
      </c>
      <c r="M666" s="70" t="str">
        <f>_xlfn.XLOOKUP(Table1[[#This Row],[Pass(%)]],O:O,P:P,,-1)</f>
        <v>C</v>
      </c>
    </row>
    <row r="667" spans="1:13" x14ac:dyDescent="0.35">
      <c r="A667" s="2" t="s">
        <v>17</v>
      </c>
      <c r="B667" s="2" t="s">
        <v>13</v>
      </c>
      <c r="C667" s="6" t="s">
        <v>23</v>
      </c>
      <c r="D667" s="6" t="s">
        <v>11</v>
      </c>
      <c r="E667" s="6" t="s">
        <v>12</v>
      </c>
      <c r="F667" s="6">
        <v>73</v>
      </c>
      <c r="G667" s="6">
        <v>66</v>
      </c>
      <c r="H667" s="6">
        <v>63</v>
      </c>
      <c r="I667" s="2">
        <f t="shared" si="21"/>
        <v>202</v>
      </c>
      <c r="J667" s="8">
        <f>AVERAGE(Table1[[#This Row],[math score]:[writing score]])</f>
        <v>67.333333333333329</v>
      </c>
      <c r="K667" s="2">
        <f t="shared" si="20"/>
        <v>300</v>
      </c>
      <c r="L667" s="4">
        <f>Table1[[#This Row],[Total Score]]/Table1[[#This Row],[Minimum Mark]]</f>
        <v>0.67333333333333334</v>
      </c>
      <c r="M667" s="70" t="str">
        <f>_xlfn.XLOOKUP(Table1[[#This Row],[Pass(%)]],O:O,P:P,,-1)</f>
        <v>D+</v>
      </c>
    </row>
    <row r="668" spans="1:13" x14ac:dyDescent="0.35">
      <c r="A668" s="2" t="s">
        <v>8</v>
      </c>
      <c r="B668" s="2" t="s">
        <v>21</v>
      </c>
      <c r="C668" s="6" t="s">
        <v>14</v>
      </c>
      <c r="D668" s="6" t="s">
        <v>20</v>
      </c>
      <c r="E668" s="6" t="s">
        <v>12</v>
      </c>
      <c r="F668" s="6">
        <v>55</v>
      </c>
      <c r="G668" s="6">
        <v>71</v>
      </c>
      <c r="H668" s="6">
        <v>69</v>
      </c>
      <c r="I668" s="2">
        <f t="shared" si="21"/>
        <v>195</v>
      </c>
      <c r="J668" s="8">
        <f>AVERAGE(Table1[[#This Row],[math score]:[writing score]])</f>
        <v>65</v>
      </c>
      <c r="K668" s="2">
        <f t="shared" si="20"/>
        <v>300</v>
      </c>
      <c r="L668" s="4">
        <f>Table1[[#This Row],[Total Score]]/Table1[[#This Row],[Minimum Mark]]</f>
        <v>0.65</v>
      </c>
      <c r="M668" s="70" t="str">
        <f>_xlfn.XLOOKUP(Table1[[#This Row],[Pass(%)]],O:O,P:P,,-1)</f>
        <v>D+</v>
      </c>
    </row>
    <row r="669" spans="1:13" x14ac:dyDescent="0.35">
      <c r="A669" s="2" t="s">
        <v>8</v>
      </c>
      <c r="B669" s="2" t="s">
        <v>13</v>
      </c>
      <c r="C669" s="6" t="s">
        <v>22</v>
      </c>
      <c r="D669" s="6" t="s">
        <v>11</v>
      </c>
      <c r="E669" s="6" t="s">
        <v>12</v>
      </c>
      <c r="F669" s="6">
        <v>65</v>
      </c>
      <c r="G669" s="6">
        <v>69</v>
      </c>
      <c r="H669" s="6">
        <v>67</v>
      </c>
      <c r="I669" s="2">
        <f t="shared" si="21"/>
        <v>201</v>
      </c>
      <c r="J669" s="8">
        <f>AVERAGE(Table1[[#This Row],[math score]:[writing score]])</f>
        <v>67</v>
      </c>
      <c r="K669" s="2">
        <f t="shared" si="20"/>
        <v>300</v>
      </c>
      <c r="L669" s="4">
        <f>Table1[[#This Row],[Total Score]]/Table1[[#This Row],[Minimum Mark]]</f>
        <v>0.67</v>
      </c>
      <c r="M669" s="70" t="str">
        <f>_xlfn.XLOOKUP(Table1[[#This Row],[Pass(%)]],O:O,P:P,,-1)</f>
        <v>D+</v>
      </c>
    </row>
    <row r="670" spans="1:13" ht="20.5" x14ac:dyDescent="0.8">
      <c r="A670" s="3" t="s">
        <v>17</v>
      </c>
      <c r="B670" s="3" t="s">
        <v>21</v>
      </c>
      <c r="C670" s="7" t="s">
        <v>19</v>
      </c>
      <c r="D670" s="7" t="s">
        <v>11</v>
      </c>
      <c r="E670" s="7" t="s">
        <v>12</v>
      </c>
      <c r="F670" s="7">
        <v>80</v>
      </c>
      <c r="G670" s="7">
        <v>63</v>
      </c>
      <c r="H670" s="7">
        <v>63</v>
      </c>
      <c r="I670" s="3">
        <f t="shared" si="21"/>
        <v>206</v>
      </c>
      <c r="J670" s="14">
        <f>AVERAGE(Table1[[#This Row],[math score]:[writing score]])</f>
        <v>68.666666666666671</v>
      </c>
      <c r="K670" s="3">
        <f t="shared" si="20"/>
        <v>300</v>
      </c>
      <c r="L670" s="5">
        <f>Table1[[#This Row],[Total Score]]/Table1[[#This Row],[Minimum Mark]]</f>
        <v>0.68666666666666665</v>
      </c>
      <c r="M670" s="71" t="str">
        <f>_xlfn.XLOOKUP(Table1[[#This Row],[Pass(%)]],O:O,P:P,,-1)</f>
        <v>D+</v>
      </c>
    </row>
    <row r="671" spans="1:13" x14ac:dyDescent="0.35">
      <c r="A671" s="2" t="s">
        <v>8</v>
      </c>
      <c r="B671" s="2" t="s">
        <v>13</v>
      </c>
      <c r="C671" s="6" t="s">
        <v>23</v>
      </c>
      <c r="D671" s="6" t="s">
        <v>20</v>
      </c>
      <c r="E671" s="6" t="s">
        <v>15</v>
      </c>
      <c r="F671" s="6">
        <v>50</v>
      </c>
      <c r="G671" s="6">
        <v>60</v>
      </c>
      <c r="H671" s="6">
        <v>60</v>
      </c>
      <c r="I671" s="2">
        <f t="shared" si="21"/>
        <v>170</v>
      </c>
      <c r="J671" s="8">
        <f>AVERAGE(Table1[[#This Row],[math score]:[writing score]])</f>
        <v>56.666666666666664</v>
      </c>
      <c r="K671" s="2">
        <f t="shared" si="20"/>
        <v>300</v>
      </c>
      <c r="L671" s="4">
        <f>Table1[[#This Row],[Total Score]]/Table1[[#This Row],[Minimum Mark]]</f>
        <v>0.56666666666666665</v>
      </c>
      <c r="M671" s="70" t="str">
        <f>_xlfn.XLOOKUP(Table1[[#This Row],[Pass(%)]],O:O,P:P,,-1)</f>
        <v>D+</v>
      </c>
    </row>
    <row r="672" spans="1:13" x14ac:dyDescent="0.35">
      <c r="A672" s="2" t="s">
        <v>8</v>
      </c>
      <c r="B672" s="2" t="s">
        <v>13</v>
      </c>
      <c r="C672" s="6" t="s">
        <v>14</v>
      </c>
      <c r="D672" s="6" t="s">
        <v>20</v>
      </c>
      <c r="E672" s="6" t="s">
        <v>15</v>
      </c>
      <c r="F672" s="6">
        <v>63</v>
      </c>
      <c r="G672" s="6">
        <v>73</v>
      </c>
      <c r="H672" s="6">
        <v>71</v>
      </c>
      <c r="I672" s="2">
        <f t="shared" si="21"/>
        <v>207</v>
      </c>
      <c r="J672" s="8">
        <f>AVERAGE(Table1[[#This Row],[math score]:[writing score]])</f>
        <v>69</v>
      </c>
      <c r="K672" s="2">
        <f t="shared" si="20"/>
        <v>300</v>
      </c>
      <c r="L672" s="4">
        <f>Table1[[#This Row],[Total Score]]/Table1[[#This Row],[Minimum Mark]]</f>
        <v>0.69</v>
      </c>
      <c r="M672" s="70" t="str">
        <f>_xlfn.XLOOKUP(Table1[[#This Row],[Pass(%)]],O:O,P:P,,-1)</f>
        <v>D+</v>
      </c>
    </row>
    <row r="673" spans="1:13" x14ac:dyDescent="0.35">
      <c r="A673" s="2" t="s">
        <v>8</v>
      </c>
      <c r="B673" s="2" t="s">
        <v>9</v>
      </c>
      <c r="C673" s="6" t="s">
        <v>10</v>
      </c>
      <c r="D673" s="6" t="s">
        <v>20</v>
      </c>
      <c r="E673" s="6" t="s">
        <v>12</v>
      </c>
      <c r="F673" s="6">
        <v>77</v>
      </c>
      <c r="G673" s="6">
        <v>85</v>
      </c>
      <c r="H673" s="6">
        <v>87</v>
      </c>
      <c r="I673" s="2">
        <f t="shared" si="21"/>
        <v>249</v>
      </c>
      <c r="J673" s="8">
        <f>AVERAGE(Table1[[#This Row],[math score]:[writing score]])</f>
        <v>83</v>
      </c>
      <c r="K673" s="2">
        <f t="shared" si="20"/>
        <v>300</v>
      </c>
      <c r="L673" s="4">
        <f>Table1[[#This Row],[Total Score]]/Table1[[#This Row],[Minimum Mark]]</f>
        <v>0.83</v>
      </c>
      <c r="M673" s="70" t="str">
        <f>_xlfn.XLOOKUP(Table1[[#This Row],[Pass(%)]],O:O,P:P,,-1)</f>
        <v>B</v>
      </c>
    </row>
    <row r="674" spans="1:13" x14ac:dyDescent="0.35">
      <c r="A674" s="2" t="s">
        <v>17</v>
      </c>
      <c r="B674" s="2" t="s">
        <v>13</v>
      </c>
      <c r="C674" s="6" t="s">
        <v>14</v>
      </c>
      <c r="D674" s="6" t="s">
        <v>11</v>
      </c>
      <c r="E674" s="6" t="s">
        <v>12</v>
      </c>
      <c r="F674" s="6">
        <v>73</v>
      </c>
      <c r="G674" s="6">
        <v>74</v>
      </c>
      <c r="H674" s="6">
        <v>61</v>
      </c>
      <c r="I674" s="2">
        <f t="shared" si="21"/>
        <v>208</v>
      </c>
      <c r="J674" s="8">
        <f>AVERAGE(Table1[[#This Row],[math score]:[writing score]])</f>
        <v>69.333333333333329</v>
      </c>
      <c r="K674" s="2">
        <f t="shared" si="20"/>
        <v>300</v>
      </c>
      <c r="L674" s="4">
        <f>Table1[[#This Row],[Total Score]]/Table1[[#This Row],[Minimum Mark]]</f>
        <v>0.69333333333333336</v>
      </c>
      <c r="M674" s="70" t="str">
        <f>_xlfn.XLOOKUP(Table1[[#This Row],[Pass(%)]],O:O,P:P,,-1)</f>
        <v>D+</v>
      </c>
    </row>
    <row r="675" spans="1:13" ht="20.5" x14ac:dyDescent="0.8">
      <c r="A675" s="3" t="s">
        <v>17</v>
      </c>
      <c r="B675" s="3" t="s">
        <v>21</v>
      </c>
      <c r="C675" s="7" t="s">
        <v>19</v>
      </c>
      <c r="D675" s="7" t="s">
        <v>11</v>
      </c>
      <c r="E675" s="7" t="s">
        <v>15</v>
      </c>
      <c r="F675" s="7">
        <v>81</v>
      </c>
      <c r="G675" s="7">
        <v>72</v>
      </c>
      <c r="H675" s="7">
        <v>77</v>
      </c>
      <c r="I675" s="3">
        <f t="shared" si="21"/>
        <v>230</v>
      </c>
      <c r="J675" s="14">
        <f>AVERAGE(Table1[[#This Row],[math score]:[writing score]])</f>
        <v>76.666666666666671</v>
      </c>
      <c r="K675" s="3">
        <f t="shared" si="20"/>
        <v>300</v>
      </c>
      <c r="L675" s="5">
        <f>Table1[[#This Row],[Total Score]]/Table1[[#This Row],[Minimum Mark]]</f>
        <v>0.76666666666666672</v>
      </c>
      <c r="M675" s="71" t="str">
        <f>_xlfn.XLOOKUP(Table1[[#This Row],[Pass(%)]],O:O,P:P,,-1)</f>
        <v>C</v>
      </c>
    </row>
    <row r="676" spans="1:13" x14ac:dyDescent="0.35">
      <c r="A676" s="2" t="s">
        <v>8</v>
      </c>
      <c r="B676" s="2" t="s">
        <v>13</v>
      </c>
      <c r="C676" s="6" t="s">
        <v>22</v>
      </c>
      <c r="D676" s="6" t="s">
        <v>20</v>
      </c>
      <c r="E676" s="6" t="s">
        <v>12</v>
      </c>
      <c r="F676" s="6">
        <v>66</v>
      </c>
      <c r="G676" s="6">
        <v>76</v>
      </c>
      <c r="H676" s="6">
        <v>68</v>
      </c>
      <c r="I676" s="2">
        <f t="shared" si="21"/>
        <v>210</v>
      </c>
      <c r="J676" s="8">
        <f>AVERAGE(Table1[[#This Row],[math score]:[writing score]])</f>
        <v>70</v>
      </c>
      <c r="K676" s="2">
        <f t="shared" si="20"/>
        <v>300</v>
      </c>
      <c r="L676" s="4">
        <f>Table1[[#This Row],[Total Score]]/Table1[[#This Row],[Minimum Mark]]</f>
        <v>0.7</v>
      </c>
      <c r="M676" s="70" t="str">
        <f>_xlfn.XLOOKUP(Table1[[#This Row],[Pass(%)]],O:O,P:P,,-1)</f>
        <v>C-</v>
      </c>
    </row>
    <row r="677" spans="1:13" ht="20.5" x14ac:dyDescent="0.8">
      <c r="A677" s="3" t="s">
        <v>17</v>
      </c>
      <c r="B677" s="3" t="s">
        <v>21</v>
      </c>
      <c r="C677" s="7" t="s">
        <v>19</v>
      </c>
      <c r="D677" s="7" t="s">
        <v>20</v>
      </c>
      <c r="E677" s="7" t="s">
        <v>12</v>
      </c>
      <c r="F677" s="7">
        <v>52</v>
      </c>
      <c r="G677" s="7">
        <v>57</v>
      </c>
      <c r="H677" s="7">
        <v>50</v>
      </c>
      <c r="I677" s="3">
        <f t="shared" si="21"/>
        <v>159</v>
      </c>
      <c r="J677" s="14">
        <f>AVERAGE(Table1[[#This Row],[math score]:[writing score]])</f>
        <v>53</v>
      </c>
      <c r="K677" s="3">
        <f t="shared" si="20"/>
        <v>300</v>
      </c>
      <c r="L677" s="5">
        <f>Table1[[#This Row],[Total Score]]/Table1[[#This Row],[Minimum Mark]]</f>
        <v>0.53</v>
      </c>
      <c r="M677" s="71" t="str">
        <f>_xlfn.XLOOKUP(Table1[[#This Row],[Pass(%)]],O:O,P:P,,-1)</f>
        <v>D+</v>
      </c>
    </row>
    <row r="678" spans="1:13" x14ac:dyDescent="0.35">
      <c r="A678" s="2" t="s">
        <v>8</v>
      </c>
      <c r="B678" s="2" t="s">
        <v>13</v>
      </c>
      <c r="C678" s="6" t="s">
        <v>14</v>
      </c>
      <c r="D678" s="6" t="s">
        <v>11</v>
      </c>
      <c r="E678" s="6" t="s">
        <v>12</v>
      </c>
      <c r="F678" s="6">
        <v>69</v>
      </c>
      <c r="G678" s="6">
        <v>78</v>
      </c>
      <c r="H678" s="6">
        <v>76</v>
      </c>
      <c r="I678" s="2">
        <f t="shared" si="21"/>
        <v>223</v>
      </c>
      <c r="J678" s="8">
        <f>AVERAGE(Table1[[#This Row],[math score]:[writing score]])</f>
        <v>74.333333333333329</v>
      </c>
      <c r="K678" s="2">
        <f t="shared" si="20"/>
        <v>300</v>
      </c>
      <c r="L678" s="4">
        <f>Table1[[#This Row],[Total Score]]/Table1[[#This Row],[Minimum Mark]]</f>
        <v>0.74333333333333329</v>
      </c>
      <c r="M678" s="70" t="str">
        <f>_xlfn.XLOOKUP(Table1[[#This Row],[Pass(%)]],O:O,P:P,,-1)</f>
        <v>C</v>
      </c>
    </row>
    <row r="679" spans="1:13" ht="20.5" x14ac:dyDescent="0.8">
      <c r="A679" s="3" t="s">
        <v>8</v>
      </c>
      <c r="B679" s="3" t="s">
        <v>13</v>
      </c>
      <c r="C679" s="7" t="s">
        <v>19</v>
      </c>
      <c r="D679" s="7" t="s">
        <v>11</v>
      </c>
      <c r="E679" s="7" t="s">
        <v>15</v>
      </c>
      <c r="F679" s="7">
        <v>65</v>
      </c>
      <c r="G679" s="7">
        <v>84</v>
      </c>
      <c r="H679" s="7">
        <v>84</v>
      </c>
      <c r="I679" s="3">
        <f t="shared" si="21"/>
        <v>233</v>
      </c>
      <c r="J679" s="14">
        <f>AVERAGE(Table1[[#This Row],[math score]:[writing score]])</f>
        <v>77.666666666666671</v>
      </c>
      <c r="K679" s="3">
        <f t="shared" si="20"/>
        <v>300</v>
      </c>
      <c r="L679" s="5">
        <f>Table1[[#This Row],[Total Score]]/Table1[[#This Row],[Minimum Mark]]</f>
        <v>0.77666666666666662</v>
      </c>
      <c r="M679" s="71" t="str">
        <f>_xlfn.XLOOKUP(Table1[[#This Row],[Pass(%)]],O:O,P:P,,-1)</f>
        <v>C+</v>
      </c>
    </row>
    <row r="680" spans="1:13" x14ac:dyDescent="0.35">
      <c r="A680" s="2" t="s">
        <v>8</v>
      </c>
      <c r="B680" s="2" t="s">
        <v>21</v>
      </c>
      <c r="C680" s="6" t="s">
        <v>22</v>
      </c>
      <c r="D680" s="6" t="s">
        <v>11</v>
      </c>
      <c r="E680" s="6" t="s">
        <v>15</v>
      </c>
      <c r="F680" s="6">
        <v>69</v>
      </c>
      <c r="G680" s="6">
        <v>77</v>
      </c>
      <c r="H680" s="6">
        <v>78</v>
      </c>
      <c r="I680" s="2">
        <f t="shared" si="21"/>
        <v>224</v>
      </c>
      <c r="J680" s="8">
        <f>AVERAGE(Table1[[#This Row],[math score]:[writing score]])</f>
        <v>74.666666666666671</v>
      </c>
      <c r="K680" s="2">
        <f t="shared" si="20"/>
        <v>300</v>
      </c>
      <c r="L680" s="4">
        <f>Table1[[#This Row],[Total Score]]/Table1[[#This Row],[Minimum Mark]]</f>
        <v>0.7466666666666667</v>
      </c>
      <c r="M680" s="70" t="str">
        <f>_xlfn.XLOOKUP(Table1[[#This Row],[Pass(%)]],O:O,P:P,,-1)</f>
        <v>C</v>
      </c>
    </row>
    <row r="681" spans="1:13" x14ac:dyDescent="0.35">
      <c r="A681" s="2" t="s">
        <v>8</v>
      </c>
      <c r="B681" s="2" t="s">
        <v>9</v>
      </c>
      <c r="C681" s="6" t="s">
        <v>14</v>
      </c>
      <c r="D681" s="6" t="s">
        <v>11</v>
      </c>
      <c r="E681" s="6" t="s">
        <v>15</v>
      </c>
      <c r="F681" s="6">
        <v>50</v>
      </c>
      <c r="G681" s="6">
        <v>64</v>
      </c>
      <c r="H681" s="6">
        <v>66</v>
      </c>
      <c r="I681" s="2">
        <f t="shared" si="21"/>
        <v>180</v>
      </c>
      <c r="J681" s="8">
        <f>AVERAGE(Table1[[#This Row],[math score]:[writing score]])</f>
        <v>60</v>
      </c>
      <c r="K681" s="2">
        <f t="shared" si="20"/>
        <v>300</v>
      </c>
      <c r="L681" s="4">
        <f>Table1[[#This Row],[Total Score]]/Table1[[#This Row],[Minimum Mark]]</f>
        <v>0.6</v>
      </c>
      <c r="M681" s="70" t="str">
        <f>_xlfn.XLOOKUP(Table1[[#This Row],[Pass(%)]],O:O,P:P,,-1)</f>
        <v>D+</v>
      </c>
    </row>
    <row r="682" spans="1:13" x14ac:dyDescent="0.35">
      <c r="A682" s="2" t="s">
        <v>8</v>
      </c>
      <c r="B682" s="2" t="s">
        <v>24</v>
      </c>
      <c r="C682" s="6" t="s">
        <v>14</v>
      </c>
      <c r="D682" s="6" t="s">
        <v>11</v>
      </c>
      <c r="E682" s="6" t="s">
        <v>15</v>
      </c>
      <c r="F682" s="6">
        <v>73</v>
      </c>
      <c r="G682" s="6">
        <v>78</v>
      </c>
      <c r="H682" s="6">
        <v>76</v>
      </c>
      <c r="I682" s="2">
        <f t="shared" si="21"/>
        <v>227</v>
      </c>
      <c r="J682" s="8">
        <f>AVERAGE(Table1[[#This Row],[math score]:[writing score]])</f>
        <v>75.666666666666671</v>
      </c>
      <c r="K682" s="2">
        <f t="shared" si="20"/>
        <v>300</v>
      </c>
      <c r="L682" s="4">
        <f>Table1[[#This Row],[Total Score]]/Table1[[#This Row],[Minimum Mark]]</f>
        <v>0.75666666666666671</v>
      </c>
      <c r="M682" s="70" t="str">
        <f>_xlfn.XLOOKUP(Table1[[#This Row],[Pass(%)]],O:O,P:P,,-1)</f>
        <v>C</v>
      </c>
    </row>
    <row r="683" spans="1:13" x14ac:dyDescent="0.35">
      <c r="A683" s="2" t="s">
        <v>8</v>
      </c>
      <c r="B683" s="2" t="s">
        <v>13</v>
      </c>
      <c r="C683" s="6" t="s">
        <v>23</v>
      </c>
      <c r="D683" s="6" t="s">
        <v>11</v>
      </c>
      <c r="E683" s="6" t="s">
        <v>15</v>
      </c>
      <c r="F683" s="6">
        <v>70</v>
      </c>
      <c r="G683" s="6">
        <v>82</v>
      </c>
      <c r="H683" s="6">
        <v>76</v>
      </c>
      <c r="I683" s="2">
        <f t="shared" si="21"/>
        <v>228</v>
      </c>
      <c r="J683" s="8">
        <f>AVERAGE(Table1[[#This Row],[math score]:[writing score]])</f>
        <v>76</v>
      </c>
      <c r="K683" s="2">
        <f t="shared" si="20"/>
        <v>300</v>
      </c>
      <c r="L683" s="4">
        <f>Table1[[#This Row],[Total Score]]/Table1[[#This Row],[Minimum Mark]]</f>
        <v>0.76</v>
      </c>
      <c r="M683" s="70" t="str">
        <f>_xlfn.XLOOKUP(Table1[[#This Row],[Pass(%)]],O:O,P:P,,-1)</f>
        <v>C</v>
      </c>
    </row>
    <row r="684" spans="1:13" ht="20.5" x14ac:dyDescent="0.8">
      <c r="A684" s="3" t="s">
        <v>17</v>
      </c>
      <c r="B684" s="3" t="s">
        <v>21</v>
      </c>
      <c r="C684" s="7" t="s">
        <v>19</v>
      </c>
      <c r="D684" s="7" t="s">
        <v>20</v>
      </c>
      <c r="E684" s="7" t="s">
        <v>12</v>
      </c>
      <c r="F684" s="7">
        <v>81</v>
      </c>
      <c r="G684" s="7">
        <v>75</v>
      </c>
      <c r="H684" s="7">
        <v>78</v>
      </c>
      <c r="I684" s="3">
        <f t="shared" si="21"/>
        <v>234</v>
      </c>
      <c r="J684" s="14">
        <f>AVERAGE(Table1[[#This Row],[math score]:[writing score]])</f>
        <v>78</v>
      </c>
      <c r="K684" s="3">
        <f t="shared" si="20"/>
        <v>300</v>
      </c>
      <c r="L684" s="5">
        <f>Table1[[#This Row],[Total Score]]/Table1[[#This Row],[Minimum Mark]]</f>
        <v>0.78</v>
      </c>
      <c r="M684" s="71" t="str">
        <f>_xlfn.XLOOKUP(Table1[[#This Row],[Pass(%)]],O:O,P:P,,-1)</f>
        <v>C+</v>
      </c>
    </row>
    <row r="685" spans="1:13" x14ac:dyDescent="0.35">
      <c r="A685" s="2" t="s">
        <v>17</v>
      </c>
      <c r="B685" s="2" t="s">
        <v>21</v>
      </c>
      <c r="C685" s="6" t="s">
        <v>14</v>
      </c>
      <c r="D685" s="6" t="s">
        <v>20</v>
      </c>
      <c r="E685" s="6" t="s">
        <v>12</v>
      </c>
      <c r="F685" s="6">
        <v>63</v>
      </c>
      <c r="G685" s="6">
        <v>61</v>
      </c>
      <c r="H685" s="6">
        <v>60</v>
      </c>
      <c r="I685" s="2">
        <f t="shared" si="21"/>
        <v>184</v>
      </c>
      <c r="J685" s="8">
        <f>AVERAGE(Table1[[#This Row],[math score]:[writing score]])</f>
        <v>61.333333333333336</v>
      </c>
      <c r="K685" s="2">
        <f t="shared" si="20"/>
        <v>300</v>
      </c>
      <c r="L685" s="4">
        <f>Table1[[#This Row],[Total Score]]/Table1[[#This Row],[Minimum Mark]]</f>
        <v>0.61333333333333329</v>
      </c>
      <c r="M685" s="70" t="str">
        <f>_xlfn.XLOOKUP(Table1[[#This Row],[Pass(%)]],O:O,P:P,,-1)</f>
        <v>D+</v>
      </c>
    </row>
    <row r="686" spans="1:13" x14ac:dyDescent="0.35">
      <c r="A686" s="2" t="s">
        <v>8</v>
      </c>
      <c r="B686" s="2" t="s">
        <v>21</v>
      </c>
      <c r="C686" s="6" t="s">
        <v>22</v>
      </c>
      <c r="D686" s="6" t="s">
        <v>11</v>
      </c>
      <c r="E686" s="6" t="s">
        <v>12</v>
      </c>
      <c r="F686" s="6">
        <v>67</v>
      </c>
      <c r="G686" s="6">
        <v>72</v>
      </c>
      <c r="H686" s="6">
        <v>74</v>
      </c>
      <c r="I686" s="2">
        <f t="shared" si="21"/>
        <v>213</v>
      </c>
      <c r="J686" s="8">
        <f>AVERAGE(Table1[[#This Row],[math score]:[writing score]])</f>
        <v>71</v>
      </c>
      <c r="K686" s="2">
        <f t="shared" si="20"/>
        <v>300</v>
      </c>
      <c r="L686" s="4">
        <f>Table1[[#This Row],[Total Score]]/Table1[[#This Row],[Minimum Mark]]</f>
        <v>0.71</v>
      </c>
      <c r="M686" s="70" t="str">
        <f>_xlfn.XLOOKUP(Table1[[#This Row],[Pass(%)]],O:O,P:P,,-1)</f>
        <v>C-</v>
      </c>
    </row>
    <row r="687" spans="1:13" x14ac:dyDescent="0.35">
      <c r="A687" s="2" t="s">
        <v>17</v>
      </c>
      <c r="B687" s="2" t="s">
        <v>9</v>
      </c>
      <c r="C687" s="6" t="s">
        <v>22</v>
      </c>
      <c r="D687" s="6" t="s">
        <v>11</v>
      </c>
      <c r="E687" s="6" t="s">
        <v>12</v>
      </c>
      <c r="F687" s="6">
        <v>60</v>
      </c>
      <c r="G687" s="6">
        <v>68</v>
      </c>
      <c r="H687" s="6">
        <v>60</v>
      </c>
      <c r="I687" s="2">
        <f t="shared" si="21"/>
        <v>188</v>
      </c>
      <c r="J687" s="8">
        <f>AVERAGE(Table1[[#This Row],[math score]:[writing score]])</f>
        <v>62.666666666666664</v>
      </c>
      <c r="K687" s="2">
        <f t="shared" si="20"/>
        <v>300</v>
      </c>
      <c r="L687" s="4">
        <f>Table1[[#This Row],[Total Score]]/Table1[[#This Row],[Minimum Mark]]</f>
        <v>0.62666666666666671</v>
      </c>
      <c r="M687" s="70" t="str">
        <f>_xlfn.XLOOKUP(Table1[[#This Row],[Pass(%)]],O:O,P:P,,-1)</f>
        <v>D+</v>
      </c>
    </row>
    <row r="688" spans="1:13" x14ac:dyDescent="0.35">
      <c r="A688" s="2" t="s">
        <v>17</v>
      </c>
      <c r="B688" s="2" t="s">
        <v>9</v>
      </c>
      <c r="C688" s="6" t="s">
        <v>22</v>
      </c>
      <c r="D688" s="6" t="s">
        <v>11</v>
      </c>
      <c r="E688" s="6" t="s">
        <v>12</v>
      </c>
      <c r="F688" s="6">
        <v>62</v>
      </c>
      <c r="G688" s="6">
        <v>55</v>
      </c>
      <c r="H688" s="6">
        <v>54</v>
      </c>
      <c r="I688" s="2">
        <f t="shared" si="21"/>
        <v>171</v>
      </c>
      <c r="J688" s="8">
        <f>AVERAGE(Table1[[#This Row],[math score]:[writing score]])</f>
        <v>57</v>
      </c>
      <c r="K688" s="2">
        <f t="shared" si="20"/>
        <v>300</v>
      </c>
      <c r="L688" s="4">
        <f>Table1[[#This Row],[Total Score]]/Table1[[#This Row],[Minimum Mark]]</f>
        <v>0.56999999999999995</v>
      </c>
      <c r="M688" s="70" t="str">
        <f>_xlfn.XLOOKUP(Table1[[#This Row],[Pass(%)]],O:O,P:P,,-1)</f>
        <v>D+</v>
      </c>
    </row>
    <row r="689" spans="1:13" x14ac:dyDescent="0.35">
      <c r="A689" s="2" t="s">
        <v>8</v>
      </c>
      <c r="B689" s="2" t="s">
        <v>13</v>
      </c>
      <c r="C689" s="6" t="s">
        <v>23</v>
      </c>
      <c r="D689" s="6" t="s">
        <v>20</v>
      </c>
      <c r="E689" s="6" t="s">
        <v>15</v>
      </c>
      <c r="F689" s="6">
        <v>29</v>
      </c>
      <c r="G689" s="6">
        <v>40</v>
      </c>
      <c r="H689" s="6">
        <v>44</v>
      </c>
      <c r="I689" s="2">
        <f t="shared" si="21"/>
        <v>113</v>
      </c>
      <c r="J689" s="8">
        <f>AVERAGE(Table1[[#This Row],[math score]:[writing score]])</f>
        <v>37.666666666666664</v>
      </c>
      <c r="K689" s="2">
        <f t="shared" si="20"/>
        <v>300</v>
      </c>
      <c r="L689" s="4">
        <f>Table1[[#This Row],[Total Score]]/Table1[[#This Row],[Minimum Mark]]</f>
        <v>0.37666666666666665</v>
      </c>
      <c r="M689" s="70" t="str">
        <f>_xlfn.XLOOKUP(Table1[[#This Row],[Pass(%)]],O:O,P:P,,-1)</f>
        <v>D-</v>
      </c>
    </row>
    <row r="690" spans="1:13" x14ac:dyDescent="0.35">
      <c r="A690" s="2" t="s">
        <v>17</v>
      </c>
      <c r="B690" s="2" t="s">
        <v>9</v>
      </c>
      <c r="C690" s="6" t="s">
        <v>14</v>
      </c>
      <c r="D690" s="6" t="s">
        <v>11</v>
      </c>
      <c r="E690" s="6" t="s">
        <v>15</v>
      </c>
      <c r="F690" s="6">
        <v>62</v>
      </c>
      <c r="G690" s="6">
        <v>66</v>
      </c>
      <c r="H690" s="6">
        <v>68</v>
      </c>
      <c r="I690" s="2">
        <f t="shared" si="21"/>
        <v>196</v>
      </c>
      <c r="J690" s="8">
        <f>AVERAGE(Table1[[#This Row],[math score]:[writing score]])</f>
        <v>65.333333333333329</v>
      </c>
      <c r="K690" s="2">
        <f t="shared" si="20"/>
        <v>300</v>
      </c>
      <c r="L690" s="4">
        <f>Table1[[#This Row],[Total Score]]/Table1[[#This Row],[Minimum Mark]]</f>
        <v>0.65333333333333332</v>
      </c>
      <c r="M690" s="70" t="str">
        <f>_xlfn.XLOOKUP(Table1[[#This Row],[Pass(%)]],O:O,P:P,,-1)</f>
        <v>D+</v>
      </c>
    </row>
    <row r="691" spans="1:13" x14ac:dyDescent="0.35">
      <c r="A691" s="2" t="s">
        <v>8</v>
      </c>
      <c r="B691" s="2" t="s">
        <v>24</v>
      </c>
      <c r="C691" s="6" t="s">
        <v>16</v>
      </c>
      <c r="D691" s="6" t="s">
        <v>11</v>
      </c>
      <c r="E691" s="6" t="s">
        <v>15</v>
      </c>
      <c r="F691" s="6">
        <v>94</v>
      </c>
      <c r="G691" s="6">
        <v>99</v>
      </c>
      <c r="H691" s="6">
        <v>100</v>
      </c>
      <c r="I691" s="2">
        <f t="shared" si="21"/>
        <v>293</v>
      </c>
      <c r="J691" s="8">
        <f>AVERAGE(Table1[[#This Row],[math score]:[writing score]])</f>
        <v>97.666666666666671</v>
      </c>
      <c r="K691" s="2">
        <f t="shared" si="20"/>
        <v>300</v>
      </c>
      <c r="L691" s="4">
        <f>Table1[[#This Row],[Total Score]]/Table1[[#This Row],[Minimum Mark]]</f>
        <v>0.97666666666666668</v>
      </c>
      <c r="M691" s="70" t="str">
        <f>_xlfn.XLOOKUP(Table1[[#This Row],[Pass(%)]],O:O,P:P,,-1)</f>
        <v>A+</v>
      </c>
    </row>
    <row r="692" spans="1:13" x14ac:dyDescent="0.35">
      <c r="A692" s="2" t="s">
        <v>17</v>
      </c>
      <c r="B692" s="2" t="s">
        <v>24</v>
      </c>
      <c r="C692" s="6" t="s">
        <v>14</v>
      </c>
      <c r="D692" s="6" t="s">
        <v>11</v>
      </c>
      <c r="E692" s="6" t="s">
        <v>15</v>
      </c>
      <c r="F692" s="6">
        <v>85</v>
      </c>
      <c r="G692" s="6">
        <v>75</v>
      </c>
      <c r="H692" s="6">
        <v>68</v>
      </c>
      <c r="I692" s="2">
        <f t="shared" si="21"/>
        <v>228</v>
      </c>
      <c r="J692" s="8">
        <f>AVERAGE(Table1[[#This Row],[math score]:[writing score]])</f>
        <v>76</v>
      </c>
      <c r="K692" s="2">
        <f t="shared" si="20"/>
        <v>300</v>
      </c>
      <c r="L692" s="4">
        <f>Table1[[#This Row],[Total Score]]/Table1[[#This Row],[Minimum Mark]]</f>
        <v>0.76</v>
      </c>
      <c r="M692" s="70" t="str">
        <f>_xlfn.XLOOKUP(Table1[[#This Row],[Pass(%)]],O:O,P:P,,-1)</f>
        <v>C</v>
      </c>
    </row>
    <row r="693" spans="1:13" ht="20.5" x14ac:dyDescent="0.8">
      <c r="A693" s="3" t="s">
        <v>17</v>
      </c>
      <c r="B693" s="3" t="s">
        <v>21</v>
      </c>
      <c r="C693" s="7" t="s">
        <v>19</v>
      </c>
      <c r="D693" s="7" t="s">
        <v>20</v>
      </c>
      <c r="E693" s="7" t="s">
        <v>12</v>
      </c>
      <c r="F693" s="7">
        <v>77</v>
      </c>
      <c r="G693" s="7">
        <v>78</v>
      </c>
      <c r="H693" s="7">
        <v>73</v>
      </c>
      <c r="I693" s="3">
        <f t="shared" si="21"/>
        <v>228</v>
      </c>
      <c r="J693" s="14">
        <f>AVERAGE(Table1[[#This Row],[math score]:[writing score]])</f>
        <v>76</v>
      </c>
      <c r="K693" s="3">
        <f t="shared" si="20"/>
        <v>300</v>
      </c>
      <c r="L693" s="5">
        <f>Table1[[#This Row],[Total Score]]/Table1[[#This Row],[Minimum Mark]]</f>
        <v>0.76</v>
      </c>
      <c r="M693" s="71" t="str">
        <f>_xlfn.XLOOKUP(Table1[[#This Row],[Pass(%)]],O:O,P:P,,-1)</f>
        <v>C</v>
      </c>
    </row>
    <row r="694" spans="1:13" x14ac:dyDescent="0.35">
      <c r="A694" s="2" t="s">
        <v>17</v>
      </c>
      <c r="B694" s="2" t="s">
        <v>18</v>
      </c>
      <c r="C694" s="6" t="s">
        <v>22</v>
      </c>
      <c r="D694" s="6" t="s">
        <v>20</v>
      </c>
      <c r="E694" s="6" t="s">
        <v>12</v>
      </c>
      <c r="F694" s="6">
        <v>53</v>
      </c>
      <c r="G694" s="6">
        <v>58</v>
      </c>
      <c r="H694" s="6">
        <v>44</v>
      </c>
      <c r="I694" s="2">
        <f t="shared" si="21"/>
        <v>155</v>
      </c>
      <c r="J694" s="8">
        <f>AVERAGE(Table1[[#This Row],[math score]:[writing score]])</f>
        <v>51.666666666666664</v>
      </c>
      <c r="K694" s="2">
        <f t="shared" si="20"/>
        <v>300</v>
      </c>
      <c r="L694" s="4">
        <f>Table1[[#This Row],[Total Score]]/Table1[[#This Row],[Minimum Mark]]</f>
        <v>0.51666666666666672</v>
      </c>
      <c r="M694" s="70" t="str">
        <f>_xlfn.XLOOKUP(Table1[[#This Row],[Pass(%)]],O:O,P:P,,-1)</f>
        <v>D</v>
      </c>
    </row>
    <row r="695" spans="1:13" x14ac:dyDescent="0.35">
      <c r="A695" s="2" t="s">
        <v>17</v>
      </c>
      <c r="B695" s="2" t="s">
        <v>24</v>
      </c>
      <c r="C695" s="6" t="s">
        <v>14</v>
      </c>
      <c r="D695" s="6" t="s">
        <v>20</v>
      </c>
      <c r="E695" s="6" t="s">
        <v>12</v>
      </c>
      <c r="F695" s="6">
        <v>93</v>
      </c>
      <c r="G695" s="6">
        <v>90</v>
      </c>
      <c r="H695" s="6">
        <v>83</v>
      </c>
      <c r="I695" s="2">
        <f t="shared" si="21"/>
        <v>266</v>
      </c>
      <c r="J695" s="8">
        <f>AVERAGE(Table1[[#This Row],[math score]:[writing score]])</f>
        <v>88.666666666666671</v>
      </c>
      <c r="K695" s="2">
        <f t="shared" si="20"/>
        <v>300</v>
      </c>
      <c r="L695" s="4">
        <f>Table1[[#This Row],[Total Score]]/Table1[[#This Row],[Minimum Mark]]</f>
        <v>0.88666666666666671</v>
      </c>
      <c r="M695" s="70" t="str">
        <f>_xlfn.XLOOKUP(Table1[[#This Row],[Pass(%)]],O:O,P:P,,-1)</f>
        <v>B+</v>
      </c>
    </row>
    <row r="696" spans="1:13" ht="20.5" x14ac:dyDescent="0.8">
      <c r="A696" s="3" t="s">
        <v>8</v>
      </c>
      <c r="B696" s="3" t="s">
        <v>13</v>
      </c>
      <c r="C696" s="7" t="s">
        <v>19</v>
      </c>
      <c r="D696" s="7" t="s">
        <v>11</v>
      </c>
      <c r="E696" s="7" t="s">
        <v>12</v>
      </c>
      <c r="F696" s="7">
        <v>49</v>
      </c>
      <c r="G696" s="7">
        <v>53</v>
      </c>
      <c r="H696" s="7">
        <v>53</v>
      </c>
      <c r="I696" s="3">
        <f t="shared" si="21"/>
        <v>155</v>
      </c>
      <c r="J696" s="14">
        <f>AVERAGE(Table1[[#This Row],[math score]:[writing score]])</f>
        <v>51.666666666666664</v>
      </c>
      <c r="K696" s="3">
        <f t="shared" si="20"/>
        <v>300</v>
      </c>
      <c r="L696" s="5">
        <f>Table1[[#This Row],[Total Score]]/Table1[[#This Row],[Minimum Mark]]</f>
        <v>0.51666666666666672</v>
      </c>
      <c r="M696" s="71" t="str">
        <f>_xlfn.XLOOKUP(Table1[[#This Row],[Pass(%)]],O:O,P:P,,-1)</f>
        <v>D</v>
      </c>
    </row>
    <row r="697" spans="1:13" ht="20.5" x14ac:dyDescent="0.8">
      <c r="A697" s="3" t="s">
        <v>8</v>
      </c>
      <c r="B697" s="3" t="s">
        <v>24</v>
      </c>
      <c r="C697" s="7" t="s">
        <v>19</v>
      </c>
      <c r="D697" s="7" t="s">
        <v>20</v>
      </c>
      <c r="E697" s="7" t="s">
        <v>12</v>
      </c>
      <c r="F697" s="7">
        <v>73</v>
      </c>
      <c r="G697" s="7">
        <v>76</v>
      </c>
      <c r="H697" s="7">
        <v>78</v>
      </c>
      <c r="I697" s="3">
        <f t="shared" si="21"/>
        <v>227</v>
      </c>
      <c r="J697" s="14">
        <f>AVERAGE(Table1[[#This Row],[math score]:[writing score]])</f>
        <v>75.666666666666671</v>
      </c>
      <c r="K697" s="3">
        <f t="shared" si="20"/>
        <v>300</v>
      </c>
      <c r="L697" s="5">
        <f>Table1[[#This Row],[Total Score]]/Table1[[#This Row],[Minimum Mark]]</f>
        <v>0.75666666666666671</v>
      </c>
      <c r="M697" s="71" t="str">
        <f>_xlfn.XLOOKUP(Table1[[#This Row],[Pass(%)]],O:O,P:P,,-1)</f>
        <v>C</v>
      </c>
    </row>
    <row r="698" spans="1:13" x14ac:dyDescent="0.35">
      <c r="A698" s="2" t="s">
        <v>8</v>
      </c>
      <c r="B698" s="2" t="s">
        <v>13</v>
      </c>
      <c r="C698" s="6" t="s">
        <v>10</v>
      </c>
      <c r="D698" s="6" t="s">
        <v>20</v>
      </c>
      <c r="E698" s="6" t="s">
        <v>15</v>
      </c>
      <c r="F698" s="6">
        <v>66</v>
      </c>
      <c r="G698" s="6">
        <v>74</v>
      </c>
      <c r="H698" s="6">
        <v>81</v>
      </c>
      <c r="I698" s="2">
        <f t="shared" si="21"/>
        <v>221</v>
      </c>
      <c r="J698" s="8">
        <f>AVERAGE(Table1[[#This Row],[math score]:[writing score]])</f>
        <v>73.666666666666671</v>
      </c>
      <c r="K698" s="2">
        <f t="shared" si="20"/>
        <v>300</v>
      </c>
      <c r="L698" s="4">
        <f>Table1[[#This Row],[Total Score]]/Table1[[#This Row],[Minimum Mark]]</f>
        <v>0.73666666666666669</v>
      </c>
      <c r="M698" s="70" t="str">
        <f>_xlfn.XLOOKUP(Table1[[#This Row],[Pass(%)]],O:O,P:P,,-1)</f>
        <v>C</v>
      </c>
    </row>
    <row r="699" spans="1:13" ht="20.5" x14ac:dyDescent="0.8">
      <c r="A699" s="3" t="s">
        <v>8</v>
      </c>
      <c r="B699" s="3" t="s">
        <v>21</v>
      </c>
      <c r="C699" s="7" t="s">
        <v>19</v>
      </c>
      <c r="D699" s="7" t="s">
        <v>11</v>
      </c>
      <c r="E699" s="7" t="s">
        <v>12</v>
      </c>
      <c r="F699" s="7">
        <v>77</v>
      </c>
      <c r="G699" s="7">
        <v>77</v>
      </c>
      <c r="H699" s="7">
        <v>73</v>
      </c>
      <c r="I699" s="3">
        <f t="shared" si="21"/>
        <v>227</v>
      </c>
      <c r="J699" s="14">
        <f>AVERAGE(Table1[[#This Row],[math score]:[writing score]])</f>
        <v>75.666666666666671</v>
      </c>
      <c r="K699" s="3">
        <f t="shared" si="20"/>
        <v>300</v>
      </c>
      <c r="L699" s="5">
        <f>Table1[[#This Row],[Total Score]]/Table1[[#This Row],[Minimum Mark]]</f>
        <v>0.75666666666666671</v>
      </c>
      <c r="M699" s="71" t="str">
        <f>_xlfn.XLOOKUP(Table1[[#This Row],[Pass(%)]],O:O,P:P,,-1)</f>
        <v>C</v>
      </c>
    </row>
    <row r="700" spans="1:13" x14ac:dyDescent="0.35">
      <c r="A700" s="2" t="s">
        <v>8</v>
      </c>
      <c r="B700" s="2" t="s">
        <v>13</v>
      </c>
      <c r="C700" s="6" t="s">
        <v>23</v>
      </c>
      <c r="D700" s="6" t="s">
        <v>11</v>
      </c>
      <c r="E700" s="6" t="s">
        <v>12</v>
      </c>
      <c r="F700" s="6">
        <v>49</v>
      </c>
      <c r="G700" s="6">
        <v>63</v>
      </c>
      <c r="H700" s="6">
        <v>56</v>
      </c>
      <c r="I700" s="2">
        <f t="shared" si="21"/>
        <v>168</v>
      </c>
      <c r="J700" s="8">
        <f>AVERAGE(Table1[[#This Row],[math score]:[writing score]])</f>
        <v>56</v>
      </c>
      <c r="K700" s="2">
        <f t="shared" si="20"/>
        <v>300</v>
      </c>
      <c r="L700" s="4">
        <f>Table1[[#This Row],[Total Score]]/Table1[[#This Row],[Minimum Mark]]</f>
        <v>0.56000000000000005</v>
      </c>
      <c r="M700" s="70" t="str">
        <f>_xlfn.XLOOKUP(Table1[[#This Row],[Pass(%)]],O:O,P:P,,-1)</f>
        <v>D+</v>
      </c>
    </row>
    <row r="701" spans="1:13" x14ac:dyDescent="0.35">
      <c r="A701" s="2" t="s">
        <v>8</v>
      </c>
      <c r="B701" s="2" t="s">
        <v>21</v>
      </c>
      <c r="C701" s="6" t="s">
        <v>14</v>
      </c>
      <c r="D701" s="6" t="s">
        <v>20</v>
      </c>
      <c r="E701" s="6" t="s">
        <v>12</v>
      </c>
      <c r="F701" s="6">
        <v>79</v>
      </c>
      <c r="G701" s="6">
        <v>89</v>
      </c>
      <c r="H701" s="6">
        <v>86</v>
      </c>
      <c r="I701" s="2">
        <f t="shared" si="21"/>
        <v>254</v>
      </c>
      <c r="J701" s="8">
        <f>AVERAGE(Table1[[#This Row],[math score]:[writing score]])</f>
        <v>84.666666666666671</v>
      </c>
      <c r="K701" s="2">
        <f t="shared" si="20"/>
        <v>300</v>
      </c>
      <c r="L701" s="4">
        <f>Table1[[#This Row],[Total Score]]/Table1[[#This Row],[Minimum Mark]]</f>
        <v>0.84666666666666668</v>
      </c>
      <c r="M701" s="70" t="str">
        <f>_xlfn.XLOOKUP(Table1[[#This Row],[Pass(%)]],O:O,P:P,,-1)</f>
        <v>B</v>
      </c>
    </row>
    <row r="702" spans="1:13" ht="20.5" x14ac:dyDescent="0.8">
      <c r="A702" s="3" t="s">
        <v>8</v>
      </c>
      <c r="B702" s="3" t="s">
        <v>13</v>
      </c>
      <c r="C702" s="7" t="s">
        <v>19</v>
      </c>
      <c r="D702" s="7" t="s">
        <v>11</v>
      </c>
      <c r="E702" s="7" t="s">
        <v>15</v>
      </c>
      <c r="F702" s="7">
        <v>75</v>
      </c>
      <c r="G702" s="7">
        <v>82</v>
      </c>
      <c r="H702" s="7">
        <v>90</v>
      </c>
      <c r="I702" s="3">
        <f t="shared" si="21"/>
        <v>247</v>
      </c>
      <c r="J702" s="14">
        <f>AVERAGE(Table1[[#This Row],[math score]:[writing score]])</f>
        <v>82.333333333333329</v>
      </c>
      <c r="K702" s="3">
        <f t="shared" si="20"/>
        <v>300</v>
      </c>
      <c r="L702" s="5">
        <f>Table1[[#This Row],[Total Score]]/Table1[[#This Row],[Minimum Mark]]</f>
        <v>0.82333333333333336</v>
      </c>
      <c r="M702" s="71" t="str">
        <f>_xlfn.XLOOKUP(Table1[[#This Row],[Pass(%)]],O:O,P:P,,-1)</f>
        <v>B-</v>
      </c>
    </row>
    <row r="703" spans="1:13" x14ac:dyDescent="0.35">
      <c r="A703" s="2" t="s">
        <v>8</v>
      </c>
      <c r="B703" s="2" t="s">
        <v>18</v>
      </c>
      <c r="C703" s="6" t="s">
        <v>10</v>
      </c>
      <c r="D703" s="6" t="s">
        <v>11</v>
      </c>
      <c r="E703" s="6" t="s">
        <v>12</v>
      </c>
      <c r="F703" s="6">
        <v>59</v>
      </c>
      <c r="G703" s="6">
        <v>72</v>
      </c>
      <c r="H703" s="6">
        <v>70</v>
      </c>
      <c r="I703" s="2">
        <f t="shared" si="21"/>
        <v>201</v>
      </c>
      <c r="J703" s="8">
        <f>AVERAGE(Table1[[#This Row],[math score]:[writing score]])</f>
        <v>67</v>
      </c>
      <c r="K703" s="2">
        <f t="shared" si="20"/>
        <v>300</v>
      </c>
      <c r="L703" s="4">
        <f>Table1[[#This Row],[Total Score]]/Table1[[#This Row],[Minimum Mark]]</f>
        <v>0.67</v>
      </c>
      <c r="M703" s="70" t="str">
        <f>_xlfn.XLOOKUP(Table1[[#This Row],[Pass(%)]],O:O,P:P,,-1)</f>
        <v>D+</v>
      </c>
    </row>
    <row r="704" spans="1:13" ht="20.5" x14ac:dyDescent="0.8">
      <c r="A704" s="3" t="s">
        <v>8</v>
      </c>
      <c r="B704" s="3" t="s">
        <v>21</v>
      </c>
      <c r="C704" s="7" t="s">
        <v>19</v>
      </c>
      <c r="D704" s="7" t="s">
        <v>11</v>
      </c>
      <c r="E704" s="7" t="s">
        <v>15</v>
      </c>
      <c r="F704" s="7">
        <v>57</v>
      </c>
      <c r="G704" s="7">
        <v>78</v>
      </c>
      <c r="H704" s="7">
        <v>79</v>
      </c>
      <c r="I704" s="3">
        <f t="shared" si="21"/>
        <v>214</v>
      </c>
      <c r="J704" s="14">
        <f>AVERAGE(Table1[[#This Row],[math score]:[writing score]])</f>
        <v>71.333333333333329</v>
      </c>
      <c r="K704" s="3">
        <f t="shared" si="20"/>
        <v>300</v>
      </c>
      <c r="L704" s="5">
        <f>Table1[[#This Row],[Total Score]]/Table1[[#This Row],[Minimum Mark]]</f>
        <v>0.71333333333333337</v>
      </c>
      <c r="M704" s="71" t="str">
        <f>_xlfn.XLOOKUP(Table1[[#This Row],[Pass(%)]],O:O,P:P,,-1)</f>
        <v>C-</v>
      </c>
    </row>
    <row r="705" spans="1:13" x14ac:dyDescent="0.35">
      <c r="A705" s="2" t="s">
        <v>17</v>
      </c>
      <c r="B705" s="2" t="s">
        <v>13</v>
      </c>
      <c r="C705" s="6" t="s">
        <v>22</v>
      </c>
      <c r="D705" s="6" t="s">
        <v>20</v>
      </c>
      <c r="E705" s="6" t="s">
        <v>12</v>
      </c>
      <c r="F705" s="6">
        <v>66</v>
      </c>
      <c r="G705" s="6">
        <v>66</v>
      </c>
      <c r="H705" s="6">
        <v>59</v>
      </c>
      <c r="I705" s="2">
        <f t="shared" si="21"/>
        <v>191</v>
      </c>
      <c r="J705" s="8">
        <f>AVERAGE(Table1[[#This Row],[math score]:[writing score]])</f>
        <v>63.666666666666664</v>
      </c>
      <c r="K705" s="2">
        <f t="shared" si="20"/>
        <v>300</v>
      </c>
      <c r="L705" s="4">
        <f>Table1[[#This Row],[Total Score]]/Table1[[#This Row],[Minimum Mark]]</f>
        <v>0.63666666666666671</v>
      </c>
      <c r="M705" s="70" t="str">
        <f>_xlfn.XLOOKUP(Table1[[#This Row],[Pass(%)]],O:O,P:P,,-1)</f>
        <v>D+</v>
      </c>
    </row>
    <row r="706" spans="1:13" x14ac:dyDescent="0.35">
      <c r="A706" s="2" t="s">
        <v>8</v>
      </c>
      <c r="B706" s="2" t="s">
        <v>24</v>
      </c>
      <c r="C706" s="6" t="s">
        <v>10</v>
      </c>
      <c r="D706" s="6" t="s">
        <v>11</v>
      </c>
      <c r="E706" s="6" t="s">
        <v>15</v>
      </c>
      <c r="F706" s="6">
        <v>79</v>
      </c>
      <c r="G706" s="6">
        <v>81</v>
      </c>
      <c r="H706" s="6">
        <v>82</v>
      </c>
      <c r="I706" s="2">
        <f t="shared" si="21"/>
        <v>242</v>
      </c>
      <c r="J706" s="8">
        <f>AVERAGE(Table1[[#This Row],[math score]:[writing score]])</f>
        <v>80.666666666666671</v>
      </c>
      <c r="K706" s="2">
        <f t="shared" si="20"/>
        <v>300</v>
      </c>
      <c r="L706" s="4">
        <f>Table1[[#This Row],[Total Score]]/Table1[[#This Row],[Minimum Mark]]</f>
        <v>0.80666666666666664</v>
      </c>
      <c r="M706" s="70" t="str">
        <f>_xlfn.XLOOKUP(Table1[[#This Row],[Pass(%)]],O:O,P:P,,-1)</f>
        <v>B-</v>
      </c>
    </row>
    <row r="707" spans="1:13" x14ac:dyDescent="0.35">
      <c r="A707" s="2" t="s">
        <v>8</v>
      </c>
      <c r="B707" s="2" t="s">
        <v>9</v>
      </c>
      <c r="C707" s="6" t="s">
        <v>23</v>
      </c>
      <c r="D707" s="6" t="s">
        <v>11</v>
      </c>
      <c r="E707" s="6" t="s">
        <v>12</v>
      </c>
      <c r="F707" s="6">
        <v>57</v>
      </c>
      <c r="G707" s="6">
        <v>67</v>
      </c>
      <c r="H707" s="6">
        <v>72</v>
      </c>
      <c r="I707" s="2">
        <f t="shared" si="21"/>
        <v>196</v>
      </c>
      <c r="J707" s="8">
        <f>AVERAGE(Table1[[#This Row],[math score]:[writing score]])</f>
        <v>65.333333333333329</v>
      </c>
      <c r="K707" s="2">
        <f t="shared" si="20"/>
        <v>300</v>
      </c>
      <c r="L707" s="4">
        <f>Table1[[#This Row],[Total Score]]/Table1[[#This Row],[Minimum Mark]]</f>
        <v>0.65333333333333332</v>
      </c>
      <c r="M707" s="70" t="str">
        <f>_xlfn.XLOOKUP(Table1[[#This Row],[Pass(%)]],O:O,P:P,,-1)</f>
        <v>D+</v>
      </c>
    </row>
    <row r="708" spans="1:13" x14ac:dyDescent="0.35">
      <c r="A708" s="2" t="s">
        <v>17</v>
      </c>
      <c r="B708" s="2" t="s">
        <v>18</v>
      </c>
      <c r="C708" s="6" t="s">
        <v>10</v>
      </c>
      <c r="D708" s="6" t="s">
        <v>11</v>
      </c>
      <c r="E708" s="6" t="s">
        <v>15</v>
      </c>
      <c r="F708" s="6">
        <v>87</v>
      </c>
      <c r="G708" s="6">
        <v>84</v>
      </c>
      <c r="H708" s="6">
        <v>87</v>
      </c>
      <c r="I708" s="2">
        <f t="shared" si="21"/>
        <v>258</v>
      </c>
      <c r="J708" s="8">
        <f>AVERAGE(Table1[[#This Row],[math score]:[writing score]])</f>
        <v>86</v>
      </c>
      <c r="K708" s="2">
        <f t="shared" si="20"/>
        <v>300</v>
      </c>
      <c r="L708" s="4">
        <f>Table1[[#This Row],[Total Score]]/Table1[[#This Row],[Minimum Mark]]</f>
        <v>0.86</v>
      </c>
      <c r="M708" s="70" t="str">
        <f>_xlfn.XLOOKUP(Table1[[#This Row],[Pass(%)]],O:O,P:P,,-1)</f>
        <v>B</v>
      </c>
    </row>
    <row r="709" spans="1:13" x14ac:dyDescent="0.35">
      <c r="A709" s="2" t="s">
        <v>8</v>
      </c>
      <c r="B709" s="2" t="s">
        <v>21</v>
      </c>
      <c r="C709" s="6" t="s">
        <v>14</v>
      </c>
      <c r="D709" s="6" t="s">
        <v>11</v>
      </c>
      <c r="E709" s="6" t="s">
        <v>12</v>
      </c>
      <c r="F709" s="6">
        <v>63</v>
      </c>
      <c r="G709" s="6">
        <v>64</v>
      </c>
      <c r="H709" s="6">
        <v>67</v>
      </c>
      <c r="I709" s="2">
        <f t="shared" si="21"/>
        <v>194</v>
      </c>
      <c r="J709" s="8">
        <f>AVERAGE(Table1[[#This Row],[math score]:[writing score]])</f>
        <v>64.666666666666671</v>
      </c>
      <c r="K709" s="2">
        <f t="shared" si="20"/>
        <v>300</v>
      </c>
      <c r="L709" s="4">
        <f>Table1[[#This Row],[Total Score]]/Table1[[#This Row],[Minimum Mark]]</f>
        <v>0.64666666666666661</v>
      </c>
      <c r="M709" s="70" t="str">
        <f>_xlfn.XLOOKUP(Table1[[#This Row],[Pass(%)]],O:O,P:P,,-1)</f>
        <v>D+</v>
      </c>
    </row>
    <row r="710" spans="1:13" x14ac:dyDescent="0.35">
      <c r="A710" s="2" t="s">
        <v>8</v>
      </c>
      <c r="B710" s="2" t="s">
        <v>9</v>
      </c>
      <c r="C710" s="6" t="s">
        <v>23</v>
      </c>
      <c r="D710" s="6" t="s">
        <v>20</v>
      </c>
      <c r="E710" s="6" t="s">
        <v>15</v>
      </c>
      <c r="F710" s="6">
        <v>59</v>
      </c>
      <c r="G710" s="6">
        <v>63</v>
      </c>
      <c r="H710" s="6">
        <v>64</v>
      </c>
      <c r="I710" s="2">
        <f t="shared" si="21"/>
        <v>186</v>
      </c>
      <c r="J710" s="8">
        <f>AVERAGE(Table1[[#This Row],[math score]:[writing score]])</f>
        <v>62</v>
      </c>
      <c r="K710" s="2">
        <f t="shared" ref="K710:K773" si="22">3*100</f>
        <v>300</v>
      </c>
      <c r="L710" s="4">
        <f>Table1[[#This Row],[Total Score]]/Table1[[#This Row],[Minimum Mark]]</f>
        <v>0.62</v>
      </c>
      <c r="M710" s="70" t="str">
        <f>_xlfn.XLOOKUP(Table1[[#This Row],[Pass(%)]],O:O,P:P,,-1)</f>
        <v>D+</v>
      </c>
    </row>
    <row r="711" spans="1:13" x14ac:dyDescent="0.35">
      <c r="A711" s="2" t="s">
        <v>17</v>
      </c>
      <c r="B711" s="2" t="s">
        <v>18</v>
      </c>
      <c r="C711" s="6" t="s">
        <v>10</v>
      </c>
      <c r="D711" s="6" t="s">
        <v>20</v>
      </c>
      <c r="E711" s="6" t="s">
        <v>12</v>
      </c>
      <c r="F711" s="6">
        <v>62</v>
      </c>
      <c r="G711" s="6">
        <v>72</v>
      </c>
      <c r="H711" s="6">
        <v>65</v>
      </c>
      <c r="I711" s="2">
        <f t="shared" ref="I711:I774" si="23">SUM(F711:H711)</f>
        <v>199</v>
      </c>
      <c r="J711" s="8">
        <f>AVERAGE(Table1[[#This Row],[math score]:[writing score]])</f>
        <v>66.333333333333329</v>
      </c>
      <c r="K711" s="2">
        <f t="shared" si="22"/>
        <v>300</v>
      </c>
      <c r="L711" s="4">
        <f>Table1[[#This Row],[Total Score]]/Table1[[#This Row],[Minimum Mark]]</f>
        <v>0.66333333333333333</v>
      </c>
      <c r="M711" s="70" t="str">
        <f>_xlfn.XLOOKUP(Table1[[#This Row],[Pass(%)]],O:O,P:P,,-1)</f>
        <v>D+</v>
      </c>
    </row>
    <row r="712" spans="1:13" x14ac:dyDescent="0.35">
      <c r="A712" s="2" t="s">
        <v>17</v>
      </c>
      <c r="B712" s="2" t="s">
        <v>21</v>
      </c>
      <c r="C712" s="6" t="s">
        <v>22</v>
      </c>
      <c r="D712" s="6" t="s">
        <v>11</v>
      </c>
      <c r="E712" s="6" t="s">
        <v>12</v>
      </c>
      <c r="F712" s="6">
        <v>46</v>
      </c>
      <c r="G712" s="6">
        <v>34</v>
      </c>
      <c r="H712" s="6">
        <v>36</v>
      </c>
      <c r="I712" s="2">
        <f t="shared" si="23"/>
        <v>116</v>
      </c>
      <c r="J712" s="8">
        <f>AVERAGE(Table1[[#This Row],[math score]:[writing score]])</f>
        <v>38.666666666666664</v>
      </c>
      <c r="K712" s="2">
        <f t="shared" si="22"/>
        <v>300</v>
      </c>
      <c r="L712" s="4">
        <f>Table1[[#This Row],[Total Score]]/Table1[[#This Row],[Minimum Mark]]</f>
        <v>0.38666666666666666</v>
      </c>
      <c r="M712" s="70" t="str">
        <f>_xlfn.XLOOKUP(Table1[[#This Row],[Pass(%)]],O:O,P:P,,-1)</f>
        <v>D-</v>
      </c>
    </row>
    <row r="713" spans="1:13" x14ac:dyDescent="0.35">
      <c r="A713" s="2" t="s">
        <v>17</v>
      </c>
      <c r="B713" s="2" t="s">
        <v>13</v>
      </c>
      <c r="C713" s="6" t="s">
        <v>14</v>
      </c>
      <c r="D713" s="6" t="s">
        <v>11</v>
      </c>
      <c r="E713" s="6" t="s">
        <v>12</v>
      </c>
      <c r="F713" s="6">
        <v>66</v>
      </c>
      <c r="G713" s="6">
        <v>59</v>
      </c>
      <c r="H713" s="6">
        <v>52</v>
      </c>
      <c r="I713" s="2">
        <f t="shared" si="23"/>
        <v>177</v>
      </c>
      <c r="J713" s="8">
        <f>AVERAGE(Table1[[#This Row],[math score]:[writing score]])</f>
        <v>59</v>
      </c>
      <c r="K713" s="2">
        <f t="shared" si="22"/>
        <v>300</v>
      </c>
      <c r="L713" s="4">
        <f>Table1[[#This Row],[Total Score]]/Table1[[#This Row],[Minimum Mark]]</f>
        <v>0.59</v>
      </c>
      <c r="M713" s="70" t="str">
        <f>_xlfn.XLOOKUP(Table1[[#This Row],[Pass(%)]],O:O,P:P,,-1)</f>
        <v>D+</v>
      </c>
    </row>
    <row r="714" spans="1:13" x14ac:dyDescent="0.35">
      <c r="A714" s="2" t="s">
        <v>17</v>
      </c>
      <c r="B714" s="2" t="s">
        <v>21</v>
      </c>
      <c r="C714" s="6" t="s">
        <v>22</v>
      </c>
      <c r="D714" s="6" t="s">
        <v>11</v>
      </c>
      <c r="E714" s="6" t="s">
        <v>12</v>
      </c>
      <c r="F714" s="6">
        <v>89</v>
      </c>
      <c r="G714" s="6">
        <v>87</v>
      </c>
      <c r="H714" s="6">
        <v>79</v>
      </c>
      <c r="I714" s="2">
        <f t="shared" si="23"/>
        <v>255</v>
      </c>
      <c r="J714" s="8">
        <f>AVERAGE(Table1[[#This Row],[math score]:[writing score]])</f>
        <v>85</v>
      </c>
      <c r="K714" s="2">
        <f t="shared" si="22"/>
        <v>300</v>
      </c>
      <c r="L714" s="4">
        <f>Table1[[#This Row],[Total Score]]/Table1[[#This Row],[Minimum Mark]]</f>
        <v>0.85</v>
      </c>
      <c r="M714" s="70" t="str">
        <f>_xlfn.XLOOKUP(Table1[[#This Row],[Pass(%)]],O:O,P:P,,-1)</f>
        <v>B</v>
      </c>
    </row>
    <row r="715" spans="1:13" ht="20.5" x14ac:dyDescent="0.8">
      <c r="A715" s="3" t="s">
        <v>8</v>
      </c>
      <c r="B715" s="3" t="s">
        <v>21</v>
      </c>
      <c r="C715" s="7" t="s">
        <v>19</v>
      </c>
      <c r="D715" s="7" t="s">
        <v>20</v>
      </c>
      <c r="E715" s="7" t="s">
        <v>15</v>
      </c>
      <c r="F715" s="7">
        <v>42</v>
      </c>
      <c r="G715" s="7">
        <v>61</v>
      </c>
      <c r="H715" s="7">
        <v>58</v>
      </c>
      <c r="I715" s="3">
        <f t="shared" si="23"/>
        <v>161</v>
      </c>
      <c r="J715" s="14">
        <f>AVERAGE(Table1[[#This Row],[math score]:[writing score]])</f>
        <v>53.666666666666664</v>
      </c>
      <c r="K715" s="3">
        <f t="shared" si="22"/>
        <v>300</v>
      </c>
      <c r="L715" s="5">
        <f>Table1[[#This Row],[Total Score]]/Table1[[#This Row],[Minimum Mark]]</f>
        <v>0.53666666666666663</v>
      </c>
      <c r="M715" s="71" t="str">
        <f>_xlfn.XLOOKUP(Table1[[#This Row],[Pass(%)]],O:O,P:P,,-1)</f>
        <v>D+</v>
      </c>
    </row>
    <row r="716" spans="1:13" x14ac:dyDescent="0.35">
      <c r="A716" s="2" t="s">
        <v>17</v>
      </c>
      <c r="B716" s="2" t="s">
        <v>13</v>
      </c>
      <c r="C716" s="6" t="s">
        <v>14</v>
      </c>
      <c r="D716" s="6" t="s">
        <v>11</v>
      </c>
      <c r="E716" s="6" t="s">
        <v>15</v>
      </c>
      <c r="F716" s="6">
        <v>93</v>
      </c>
      <c r="G716" s="6">
        <v>84</v>
      </c>
      <c r="H716" s="6">
        <v>90</v>
      </c>
      <c r="I716" s="2">
        <f t="shared" si="23"/>
        <v>267</v>
      </c>
      <c r="J716" s="8">
        <f>AVERAGE(Table1[[#This Row],[math score]:[writing score]])</f>
        <v>89</v>
      </c>
      <c r="K716" s="2">
        <f t="shared" si="22"/>
        <v>300</v>
      </c>
      <c r="L716" s="4">
        <f>Table1[[#This Row],[Total Score]]/Table1[[#This Row],[Minimum Mark]]</f>
        <v>0.89</v>
      </c>
      <c r="M716" s="70" t="str">
        <f>_xlfn.XLOOKUP(Table1[[#This Row],[Pass(%)]],O:O,P:P,,-1)</f>
        <v>B+</v>
      </c>
    </row>
    <row r="717" spans="1:13" x14ac:dyDescent="0.35">
      <c r="A717" s="2" t="s">
        <v>8</v>
      </c>
      <c r="B717" s="2" t="s">
        <v>24</v>
      </c>
      <c r="C717" s="6" t="s">
        <v>23</v>
      </c>
      <c r="D717" s="6" t="s">
        <v>11</v>
      </c>
      <c r="E717" s="6" t="s">
        <v>15</v>
      </c>
      <c r="F717" s="6">
        <v>80</v>
      </c>
      <c r="G717" s="6">
        <v>85</v>
      </c>
      <c r="H717" s="6">
        <v>85</v>
      </c>
      <c r="I717" s="2">
        <f t="shared" si="23"/>
        <v>250</v>
      </c>
      <c r="J717" s="8">
        <f>AVERAGE(Table1[[#This Row],[math score]:[writing score]])</f>
        <v>83.333333333333329</v>
      </c>
      <c r="K717" s="2">
        <f t="shared" si="22"/>
        <v>300</v>
      </c>
      <c r="L717" s="4">
        <f>Table1[[#This Row],[Total Score]]/Table1[[#This Row],[Minimum Mark]]</f>
        <v>0.83333333333333337</v>
      </c>
      <c r="M717" s="70" t="str">
        <f>_xlfn.XLOOKUP(Table1[[#This Row],[Pass(%)]],O:O,P:P,,-1)</f>
        <v>B</v>
      </c>
    </row>
    <row r="718" spans="1:13" x14ac:dyDescent="0.35">
      <c r="A718" s="2" t="s">
        <v>8</v>
      </c>
      <c r="B718" s="2" t="s">
        <v>21</v>
      </c>
      <c r="C718" s="6" t="s">
        <v>14</v>
      </c>
      <c r="D718" s="6" t="s">
        <v>11</v>
      </c>
      <c r="E718" s="6" t="s">
        <v>12</v>
      </c>
      <c r="F718" s="6">
        <v>98</v>
      </c>
      <c r="G718" s="6">
        <v>100</v>
      </c>
      <c r="H718" s="6">
        <v>99</v>
      </c>
      <c r="I718" s="2">
        <f t="shared" si="23"/>
        <v>297</v>
      </c>
      <c r="J718" s="8">
        <f>AVERAGE(Table1[[#This Row],[math score]:[writing score]])</f>
        <v>99</v>
      </c>
      <c r="K718" s="2">
        <f t="shared" si="22"/>
        <v>300</v>
      </c>
      <c r="L718" s="4">
        <f>Table1[[#This Row],[Total Score]]/Table1[[#This Row],[Minimum Mark]]</f>
        <v>0.99</v>
      </c>
      <c r="M718" s="70" t="str">
        <f>_xlfn.XLOOKUP(Table1[[#This Row],[Pass(%)]],O:O,P:P,,-1)</f>
        <v>A+</v>
      </c>
    </row>
    <row r="719" spans="1:13" x14ac:dyDescent="0.35">
      <c r="A719" s="2" t="s">
        <v>17</v>
      </c>
      <c r="B719" s="2" t="s">
        <v>21</v>
      </c>
      <c r="C719" s="6" t="s">
        <v>16</v>
      </c>
      <c r="D719" s="6" t="s">
        <v>11</v>
      </c>
      <c r="E719" s="6" t="s">
        <v>12</v>
      </c>
      <c r="F719" s="6">
        <v>81</v>
      </c>
      <c r="G719" s="6">
        <v>81</v>
      </c>
      <c r="H719" s="6">
        <v>84</v>
      </c>
      <c r="I719" s="2">
        <f t="shared" si="23"/>
        <v>246</v>
      </c>
      <c r="J719" s="8">
        <f>AVERAGE(Table1[[#This Row],[math score]:[writing score]])</f>
        <v>82</v>
      </c>
      <c r="K719" s="2">
        <f t="shared" si="22"/>
        <v>300</v>
      </c>
      <c r="L719" s="4">
        <f>Table1[[#This Row],[Total Score]]/Table1[[#This Row],[Minimum Mark]]</f>
        <v>0.82</v>
      </c>
      <c r="M719" s="70" t="str">
        <f>_xlfn.XLOOKUP(Table1[[#This Row],[Pass(%)]],O:O,P:P,,-1)</f>
        <v>B-</v>
      </c>
    </row>
    <row r="720" spans="1:13" x14ac:dyDescent="0.35">
      <c r="A720" s="2" t="s">
        <v>8</v>
      </c>
      <c r="B720" s="2" t="s">
        <v>9</v>
      </c>
      <c r="C720" s="6" t="s">
        <v>23</v>
      </c>
      <c r="D720" s="6" t="s">
        <v>11</v>
      </c>
      <c r="E720" s="6" t="s">
        <v>15</v>
      </c>
      <c r="F720" s="6">
        <v>60</v>
      </c>
      <c r="G720" s="6">
        <v>70</v>
      </c>
      <c r="H720" s="6">
        <v>74</v>
      </c>
      <c r="I720" s="2">
        <f t="shared" si="23"/>
        <v>204</v>
      </c>
      <c r="J720" s="8">
        <f>AVERAGE(Table1[[#This Row],[math score]:[writing score]])</f>
        <v>68</v>
      </c>
      <c r="K720" s="2">
        <f t="shared" si="22"/>
        <v>300</v>
      </c>
      <c r="L720" s="4">
        <f>Table1[[#This Row],[Total Score]]/Table1[[#This Row],[Minimum Mark]]</f>
        <v>0.68</v>
      </c>
      <c r="M720" s="70" t="str">
        <f>_xlfn.XLOOKUP(Table1[[#This Row],[Pass(%)]],O:O,P:P,,-1)</f>
        <v>D+</v>
      </c>
    </row>
    <row r="721" spans="1:13" ht="20.5" x14ac:dyDescent="0.8">
      <c r="A721" s="3" t="s">
        <v>8</v>
      </c>
      <c r="B721" s="3" t="s">
        <v>9</v>
      </c>
      <c r="C721" s="7" t="s">
        <v>19</v>
      </c>
      <c r="D721" s="7" t="s">
        <v>20</v>
      </c>
      <c r="E721" s="7" t="s">
        <v>15</v>
      </c>
      <c r="F721" s="7">
        <v>76</v>
      </c>
      <c r="G721" s="7">
        <v>94</v>
      </c>
      <c r="H721" s="7">
        <v>87</v>
      </c>
      <c r="I721" s="3">
        <f t="shared" si="23"/>
        <v>257</v>
      </c>
      <c r="J721" s="14">
        <f>AVERAGE(Table1[[#This Row],[math score]:[writing score]])</f>
        <v>85.666666666666671</v>
      </c>
      <c r="K721" s="3">
        <f t="shared" si="22"/>
        <v>300</v>
      </c>
      <c r="L721" s="5">
        <f>Table1[[#This Row],[Total Score]]/Table1[[#This Row],[Minimum Mark]]</f>
        <v>0.85666666666666669</v>
      </c>
      <c r="M721" s="71" t="str">
        <f>_xlfn.XLOOKUP(Table1[[#This Row],[Pass(%)]],O:O,P:P,,-1)</f>
        <v>B</v>
      </c>
    </row>
    <row r="722" spans="1:13" ht="20.5" x14ac:dyDescent="0.8">
      <c r="A722" s="3" t="s">
        <v>17</v>
      </c>
      <c r="B722" s="3" t="s">
        <v>13</v>
      </c>
      <c r="C722" s="7" t="s">
        <v>19</v>
      </c>
      <c r="D722" s="7" t="s">
        <v>11</v>
      </c>
      <c r="E722" s="7" t="s">
        <v>15</v>
      </c>
      <c r="F722" s="7">
        <v>73</v>
      </c>
      <c r="G722" s="7">
        <v>78</v>
      </c>
      <c r="H722" s="7">
        <v>72</v>
      </c>
      <c r="I722" s="3">
        <f t="shared" si="23"/>
        <v>223</v>
      </c>
      <c r="J722" s="14">
        <f>AVERAGE(Table1[[#This Row],[math score]:[writing score]])</f>
        <v>74.333333333333329</v>
      </c>
      <c r="K722" s="3">
        <f t="shared" si="22"/>
        <v>300</v>
      </c>
      <c r="L722" s="5">
        <f>Table1[[#This Row],[Total Score]]/Table1[[#This Row],[Minimum Mark]]</f>
        <v>0.74333333333333329</v>
      </c>
      <c r="M722" s="71" t="str">
        <f>_xlfn.XLOOKUP(Table1[[#This Row],[Pass(%)]],O:O,P:P,,-1)</f>
        <v>C</v>
      </c>
    </row>
    <row r="723" spans="1:13" ht="20.5" x14ac:dyDescent="0.8">
      <c r="A723" s="3" t="s">
        <v>8</v>
      </c>
      <c r="B723" s="3" t="s">
        <v>13</v>
      </c>
      <c r="C723" s="7" t="s">
        <v>19</v>
      </c>
      <c r="D723" s="7" t="s">
        <v>11</v>
      </c>
      <c r="E723" s="7" t="s">
        <v>15</v>
      </c>
      <c r="F723" s="7">
        <v>96</v>
      </c>
      <c r="G723" s="7">
        <v>96</v>
      </c>
      <c r="H723" s="7">
        <v>99</v>
      </c>
      <c r="I723" s="3">
        <f t="shared" si="23"/>
        <v>291</v>
      </c>
      <c r="J723" s="14">
        <f>AVERAGE(Table1[[#This Row],[math score]:[writing score]])</f>
        <v>97</v>
      </c>
      <c r="K723" s="3">
        <f t="shared" si="22"/>
        <v>300</v>
      </c>
      <c r="L723" s="5">
        <f>Table1[[#This Row],[Total Score]]/Table1[[#This Row],[Minimum Mark]]</f>
        <v>0.97</v>
      </c>
      <c r="M723" s="71" t="str">
        <f>_xlfn.XLOOKUP(Table1[[#This Row],[Pass(%)]],O:O,P:P,,-1)</f>
        <v>A+</v>
      </c>
    </row>
    <row r="724" spans="1:13" x14ac:dyDescent="0.35">
      <c r="A724" s="2" t="s">
        <v>8</v>
      </c>
      <c r="B724" s="2" t="s">
        <v>13</v>
      </c>
      <c r="C724" s="6" t="s">
        <v>22</v>
      </c>
      <c r="D724" s="6" t="s">
        <v>11</v>
      </c>
      <c r="E724" s="6" t="s">
        <v>12</v>
      </c>
      <c r="F724" s="6">
        <v>76</v>
      </c>
      <c r="G724" s="6">
        <v>76</v>
      </c>
      <c r="H724" s="6">
        <v>74</v>
      </c>
      <c r="I724" s="2">
        <f t="shared" si="23"/>
        <v>226</v>
      </c>
      <c r="J724" s="8">
        <f>AVERAGE(Table1[[#This Row],[math score]:[writing score]])</f>
        <v>75.333333333333329</v>
      </c>
      <c r="K724" s="2">
        <f t="shared" si="22"/>
        <v>300</v>
      </c>
      <c r="L724" s="4">
        <f>Table1[[#This Row],[Total Score]]/Table1[[#This Row],[Minimum Mark]]</f>
        <v>0.7533333333333333</v>
      </c>
      <c r="M724" s="70" t="str">
        <f>_xlfn.XLOOKUP(Table1[[#This Row],[Pass(%)]],O:O,P:P,,-1)</f>
        <v>C</v>
      </c>
    </row>
    <row r="725" spans="1:13" ht="20.5" x14ac:dyDescent="0.8">
      <c r="A725" s="3" t="s">
        <v>17</v>
      </c>
      <c r="B725" s="3" t="s">
        <v>24</v>
      </c>
      <c r="C725" s="7" t="s">
        <v>19</v>
      </c>
      <c r="D725" s="7" t="s">
        <v>20</v>
      </c>
      <c r="E725" s="7" t="s">
        <v>15</v>
      </c>
      <c r="F725" s="7">
        <v>91</v>
      </c>
      <c r="G725" s="7">
        <v>73</v>
      </c>
      <c r="H725" s="7">
        <v>80</v>
      </c>
      <c r="I725" s="3">
        <f t="shared" si="23"/>
        <v>244</v>
      </c>
      <c r="J725" s="14">
        <f>AVERAGE(Table1[[#This Row],[math score]:[writing score]])</f>
        <v>81.333333333333329</v>
      </c>
      <c r="K725" s="3">
        <f t="shared" si="22"/>
        <v>300</v>
      </c>
      <c r="L725" s="5">
        <f>Table1[[#This Row],[Total Score]]/Table1[[#This Row],[Minimum Mark]]</f>
        <v>0.81333333333333335</v>
      </c>
      <c r="M725" s="71" t="str">
        <f>_xlfn.XLOOKUP(Table1[[#This Row],[Pass(%)]],O:O,P:P,,-1)</f>
        <v>B-</v>
      </c>
    </row>
    <row r="726" spans="1:13" x14ac:dyDescent="0.35">
      <c r="A726" s="2" t="s">
        <v>8</v>
      </c>
      <c r="B726" s="2" t="s">
        <v>13</v>
      </c>
      <c r="C726" s="6" t="s">
        <v>14</v>
      </c>
      <c r="D726" s="6" t="s">
        <v>20</v>
      </c>
      <c r="E726" s="6" t="s">
        <v>12</v>
      </c>
      <c r="F726" s="6">
        <v>62</v>
      </c>
      <c r="G726" s="6">
        <v>72</v>
      </c>
      <c r="H726" s="6">
        <v>70</v>
      </c>
      <c r="I726" s="2">
        <f t="shared" si="23"/>
        <v>204</v>
      </c>
      <c r="J726" s="8">
        <f>AVERAGE(Table1[[#This Row],[math score]:[writing score]])</f>
        <v>68</v>
      </c>
      <c r="K726" s="2">
        <f t="shared" si="22"/>
        <v>300</v>
      </c>
      <c r="L726" s="4">
        <f>Table1[[#This Row],[Total Score]]/Table1[[#This Row],[Minimum Mark]]</f>
        <v>0.68</v>
      </c>
      <c r="M726" s="70" t="str">
        <f>_xlfn.XLOOKUP(Table1[[#This Row],[Pass(%)]],O:O,P:P,,-1)</f>
        <v>D+</v>
      </c>
    </row>
    <row r="727" spans="1:13" x14ac:dyDescent="0.35">
      <c r="A727" s="2" t="s">
        <v>17</v>
      </c>
      <c r="B727" s="2" t="s">
        <v>21</v>
      </c>
      <c r="C727" s="6" t="s">
        <v>23</v>
      </c>
      <c r="D727" s="6" t="s">
        <v>20</v>
      </c>
      <c r="E727" s="6" t="s">
        <v>15</v>
      </c>
      <c r="F727" s="6">
        <v>55</v>
      </c>
      <c r="G727" s="6">
        <v>59</v>
      </c>
      <c r="H727" s="6">
        <v>59</v>
      </c>
      <c r="I727" s="2">
        <f t="shared" si="23"/>
        <v>173</v>
      </c>
      <c r="J727" s="8">
        <f>AVERAGE(Table1[[#This Row],[math score]:[writing score]])</f>
        <v>57.666666666666664</v>
      </c>
      <c r="K727" s="2">
        <f t="shared" si="22"/>
        <v>300</v>
      </c>
      <c r="L727" s="4">
        <f>Table1[[#This Row],[Total Score]]/Table1[[#This Row],[Minimum Mark]]</f>
        <v>0.57666666666666666</v>
      </c>
      <c r="M727" s="70" t="str">
        <f>_xlfn.XLOOKUP(Table1[[#This Row],[Pass(%)]],O:O,P:P,,-1)</f>
        <v>D+</v>
      </c>
    </row>
    <row r="728" spans="1:13" x14ac:dyDescent="0.35">
      <c r="A728" s="2" t="s">
        <v>8</v>
      </c>
      <c r="B728" s="2" t="s">
        <v>9</v>
      </c>
      <c r="C728" s="6" t="s">
        <v>23</v>
      </c>
      <c r="D728" s="6" t="s">
        <v>20</v>
      </c>
      <c r="E728" s="6" t="s">
        <v>15</v>
      </c>
      <c r="F728" s="6">
        <v>74</v>
      </c>
      <c r="G728" s="6">
        <v>90</v>
      </c>
      <c r="H728" s="6">
        <v>88</v>
      </c>
      <c r="I728" s="2">
        <f t="shared" si="23"/>
        <v>252</v>
      </c>
      <c r="J728" s="8">
        <f>AVERAGE(Table1[[#This Row],[math score]:[writing score]])</f>
        <v>84</v>
      </c>
      <c r="K728" s="2">
        <f t="shared" si="22"/>
        <v>300</v>
      </c>
      <c r="L728" s="4">
        <f>Table1[[#This Row],[Total Score]]/Table1[[#This Row],[Minimum Mark]]</f>
        <v>0.84</v>
      </c>
      <c r="M728" s="70" t="str">
        <f>_xlfn.XLOOKUP(Table1[[#This Row],[Pass(%)]],O:O,P:P,,-1)</f>
        <v>B</v>
      </c>
    </row>
    <row r="729" spans="1:13" x14ac:dyDescent="0.35">
      <c r="A729" s="2" t="s">
        <v>17</v>
      </c>
      <c r="B729" s="2" t="s">
        <v>13</v>
      </c>
      <c r="C729" s="6" t="s">
        <v>22</v>
      </c>
      <c r="D729" s="6" t="s">
        <v>11</v>
      </c>
      <c r="E729" s="6" t="s">
        <v>12</v>
      </c>
      <c r="F729" s="6">
        <v>50</v>
      </c>
      <c r="G729" s="6">
        <v>48</v>
      </c>
      <c r="H729" s="6">
        <v>42</v>
      </c>
      <c r="I729" s="2">
        <f t="shared" si="23"/>
        <v>140</v>
      </c>
      <c r="J729" s="8">
        <f>AVERAGE(Table1[[#This Row],[math score]:[writing score]])</f>
        <v>46.666666666666664</v>
      </c>
      <c r="K729" s="2">
        <f t="shared" si="22"/>
        <v>300</v>
      </c>
      <c r="L729" s="4">
        <f>Table1[[#This Row],[Total Score]]/Table1[[#This Row],[Minimum Mark]]</f>
        <v>0.46666666666666667</v>
      </c>
      <c r="M729" s="70" t="str">
        <f>_xlfn.XLOOKUP(Table1[[#This Row],[Pass(%)]],O:O,P:P,,-1)</f>
        <v>D</v>
      </c>
    </row>
    <row r="730" spans="1:13" x14ac:dyDescent="0.35">
      <c r="A730" s="2" t="s">
        <v>17</v>
      </c>
      <c r="B730" s="2" t="s">
        <v>9</v>
      </c>
      <c r="C730" s="6" t="s">
        <v>14</v>
      </c>
      <c r="D730" s="6" t="s">
        <v>11</v>
      </c>
      <c r="E730" s="6" t="s">
        <v>12</v>
      </c>
      <c r="F730" s="6">
        <v>47</v>
      </c>
      <c r="G730" s="6">
        <v>43</v>
      </c>
      <c r="H730" s="6">
        <v>41</v>
      </c>
      <c r="I730" s="2">
        <f t="shared" si="23"/>
        <v>131</v>
      </c>
      <c r="J730" s="8">
        <f>AVERAGE(Table1[[#This Row],[math score]:[writing score]])</f>
        <v>43.666666666666664</v>
      </c>
      <c r="K730" s="2">
        <f t="shared" si="22"/>
        <v>300</v>
      </c>
      <c r="L730" s="4">
        <f>Table1[[#This Row],[Total Score]]/Table1[[#This Row],[Minimum Mark]]</f>
        <v>0.43666666666666665</v>
      </c>
      <c r="M730" s="70" t="str">
        <f>_xlfn.XLOOKUP(Table1[[#This Row],[Pass(%)]],O:O,P:P,,-1)</f>
        <v>D</v>
      </c>
    </row>
    <row r="731" spans="1:13" x14ac:dyDescent="0.35">
      <c r="A731" s="2" t="s">
        <v>17</v>
      </c>
      <c r="B731" s="2" t="s">
        <v>24</v>
      </c>
      <c r="C731" s="6" t="s">
        <v>14</v>
      </c>
      <c r="D731" s="6" t="s">
        <v>11</v>
      </c>
      <c r="E731" s="6" t="s">
        <v>15</v>
      </c>
      <c r="F731" s="6">
        <v>81</v>
      </c>
      <c r="G731" s="6">
        <v>74</v>
      </c>
      <c r="H731" s="6">
        <v>71</v>
      </c>
      <c r="I731" s="2">
        <f t="shared" si="23"/>
        <v>226</v>
      </c>
      <c r="J731" s="8">
        <f>AVERAGE(Table1[[#This Row],[math score]:[writing score]])</f>
        <v>75.333333333333329</v>
      </c>
      <c r="K731" s="2">
        <f t="shared" si="22"/>
        <v>300</v>
      </c>
      <c r="L731" s="4">
        <f>Table1[[#This Row],[Total Score]]/Table1[[#This Row],[Minimum Mark]]</f>
        <v>0.7533333333333333</v>
      </c>
      <c r="M731" s="70" t="str">
        <f>_xlfn.XLOOKUP(Table1[[#This Row],[Pass(%)]],O:O,P:P,,-1)</f>
        <v>C</v>
      </c>
    </row>
    <row r="732" spans="1:13" ht="20.5" x14ac:dyDescent="0.8">
      <c r="A732" s="3" t="s">
        <v>8</v>
      </c>
      <c r="B732" s="3" t="s">
        <v>24</v>
      </c>
      <c r="C732" s="7" t="s">
        <v>19</v>
      </c>
      <c r="D732" s="7" t="s">
        <v>11</v>
      </c>
      <c r="E732" s="7" t="s">
        <v>15</v>
      </c>
      <c r="F732" s="7">
        <v>65</v>
      </c>
      <c r="G732" s="7">
        <v>75</v>
      </c>
      <c r="H732" s="7">
        <v>77</v>
      </c>
      <c r="I732" s="3">
        <f t="shared" si="23"/>
        <v>217</v>
      </c>
      <c r="J732" s="14">
        <f>AVERAGE(Table1[[#This Row],[math score]:[writing score]])</f>
        <v>72.333333333333329</v>
      </c>
      <c r="K732" s="3">
        <f t="shared" si="22"/>
        <v>300</v>
      </c>
      <c r="L732" s="5">
        <f>Table1[[#This Row],[Total Score]]/Table1[[#This Row],[Minimum Mark]]</f>
        <v>0.72333333333333338</v>
      </c>
      <c r="M732" s="71" t="str">
        <f>_xlfn.XLOOKUP(Table1[[#This Row],[Pass(%)]],O:O,P:P,,-1)</f>
        <v>C-</v>
      </c>
    </row>
    <row r="733" spans="1:13" x14ac:dyDescent="0.35">
      <c r="A733" s="2" t="s">
        <v>17</v>
      </c>
      <c r="B733" s="2" t="s">
        <v>24</v>
      </c>
      <c r="C733" s="6" t="s">
        <v>23</v>
      </c>
      <c r="D733" s="6" t="s">
        <v>11</v>
      </c>
      <c r="E733" s="6" t="s">
        <v>15</v>
      </c>
      <c r="F733" s="6">
        <v>68</v>
      </c>
      <c r="G733" s="6">
        <v>51</v>
      </c>
      <c r="H733" s="6">
        <v>57</v>
      </c>
      <c r="I733" s="2">
        <f t="shared" si="23"/>
        <v>176</v>
      </c>
      <c r="J733" s="8">
        <f>AVERAGE(Table1[[#This Row],[math score]:[writing score]])</f>
        <v>58.666666666666664</v>
      </c>
      <c r="K733" s="2">
        <f t="shared" si="22"/>
        <v>300</v>
      </c>
      <c r="L733" s="4">
        <f>Table1[[#This Row],[Total Score]]/Table1[[#This Row],[Minimum Mark]]</f>
        <v>0.58666666666666667</v>
      </c>
      <c r="M733" s="70" t="str">
        <f>_xlfn.XLOOKUP(Table1[[#This Row],[Pass(%)]],O:O,P:P,,-1)</f>
        <v>D+</v>
      </c>
    </row>
    <row r="734" spans="1:13" x14ac:dyDescent="0.35">
      <c r="A734" s="2" t="s">
        <v>8</v>
      </c>
      <c r="B734" s="2" t="s">
        <v>21</v>
      </c>
      <c r="C734" s="6" t="s">
        <v>22</v>
      </c>
      <c r="D734" s="6" t="s">
        <v>20</v>
      </c>
      <c r="E734" s="6" t="s">
        <v>12</v>
      </c>
      <c r="F734" s="6">
        <v>73</v>
      </c>
      <c r="G734" s="6">
        <v>92</v>
      </c>
      <c r="H734" s="6">
        <v>84</v>
      </c>
      <c r="I734" s="2">
        <f t="shared" si="23"/>
        <v>249</v>
      </c>
      <c r="J734" s="8">
        <f>AVERAGE(Table1[[#This Row],[math score]:[writing score]])</f>
        <v>83</v>
      </c>
      <c r="K734" s="2">
        <f t="shared" si="22"/>
        <v>300</v>
      </c>
      <c r="L734" s="4">
        <f>Table1[[#This Row],[Total Score]]/Table1[[#This Row],[Minimum Mark]]</f>
        <v>0.83</v>
      </c>
      <c r="M734" s="70" t="str">
        <f>_xlfn.XLOOKUP(Table1[[#This Row],[Pass(%)]],O:O,P:P,,-1)</f>
        <v>B</v>
      </c>
    </row>
    <row r="735" spans="1:13" x14ac:dyDescent="0.35">
      <c r="A735" s="2" t="s">
        <v>17</v>
      </c>
      <c r="B735" s="2" t="s">
        <v>13</v>
      </c>
      <c r="C735" s="6" t="s">
        <v>14</v>
      </c>
      <c r="D735" s="6" t="s">
        <v>11</v>
      </c>
      <c r="E735" s="6" t="s">
        <v>12</v>
      </c>
      <c r="F735" s="6">
        <v>53</v>
      </c>
      <c r="G735" s="6">
        <v>39</v>
      </c>
      <c r="H735" s="6">
        <v>37</v>
      </c>
      <c r="I735" s="2">
        <f t="shared" si="23"/>
        <v>129</v>
      </c>
      <c r="J735" s="8">
        <f>AVERAGE(Table1[[#This Row],[math score]:[writing score]])</f>
        <v>43</v>
      </c>
      <c r="K735" s="2">
        <f t="shared" si="22"/>
        <v>300</v>
      </c>
      <c r="L735" s="4">
        <f>Table1[[#This Row],[Total Score]]/Table1[[#This Row],[Minimum Mark]]</f>
        <v>0.43</v>
      </c>
      <c r="M735" s="70" t="str">
        <f>_xlfn.XLOOKUP(Table1[[#This Row],[Pass(%)]],O:O,P:P,,-1)</f>
        <v>D</v>
      </c>
    </row>
    <row r="736" spans="1:13" ht="20.5" x14ac:dyDescent="0.8">
      <c r="A736" s="3" t="s">
        <v>8</v>
      </c>
      <c r="B736" s="3" t="s">
        <v>9</v>
      </c>
      <c r="C736" s="7" t="s">
        <v>19</v>
      </c>
      <c r="D736" s="7" t="s">
        <v>20</v>
      </c>
      <c r="E736" s="7" t="s">
        <v>15</v>
      </c>
      <c r="F736" s="7">
        <v>68</v>
      </c>
      <c r="G736" s="7">
        <v>77</v>
      </c>
      <c r="H736" s="7">
        <v>80</v>
      </c>
      <c r="I736" s="3">
        <f t="shared" si="23"/>
        <v>225</v>
      </c>
      <c r="J736" s="14">
        <f>AVERAGE(Table1[[#This Row],[math score]:[writing score]])</f>
        <v>75</v>
      </c>
      <c r="K736" s="3">
        <f t="shared" si="22"/>
        <v>300</v>
      </c>
      <c r="L736" s="5">
        <f>Table1[[#This Row],[Total Score]]/Table1[[#This Row],[Minimum Mark]]</f>
        <v>0.75</v>
      </c>
      <c r="M736" s="71" t="str">
        <f>_xlfn.XLOOKUP(Table1[[#This Row],[Pass(%)]],O:O,P:P,,-1)</f>
        <v>C</v>
      </c>
    </row>
    <row r="737" spans="1:13" x14ac:dyDescent="0.35">
      <c r="A737" s="2" t="s">
        <v>17</v>
      </c>
      <c r="B737" s="2" t="s">
        <v>18</v>
      </c>
      <c r="C737" s="6" t="s">
        <v>23</v>
      </c>
      <c r="D737" s="6" t="s">
        <v>20</v>
      </c>
      <c r="E737" s="6" t="s">
        <v>12</v>
      </c>
      <c r="F737" s="6">
        <v>55</v>
      </c>
      <c r="G737" s="6">
        <v>46</v>
      </c>
      <c r="H737" s="6">
        <v>43</v>
      </c>
      <c r="I737" s="2">
        <f t="shared" si="23"/>
        <v>144</v>
      </c>
      <c r="J737" s="8">
        <f>AVERAGE(Table1[[#This Row],[math score]:[writing score]])</f>
        <v>48</v>
      </c>
      <c r="K737" s="2">
        <f t="shared" si="22"/>
        <v>300</v>
      </c>
      <c r="L737" s="4">
        <f>Table1[[#This Row],[Total Score]]/Table1[[#This Row],[Minimum Mark]]</f>
        <v>0.48</v>
      </c>
      <c r="M737" s="70" t="str">
        <f>_xlfn.XLOOKUP(Table1[[#This Row],[Pass(%)]],O:O,P:P,,-1)</f>
        <v>D</v>
      </c>
    </row>
    <row r="738" spans="1:13" x14ac:dyDescent="0.35">
      <c r="A738" s="2" t="s">
        <v>8</v>
      </c>
      <c r="B738" s="2" t="s">
        <v>13</v>
      </c>
      <c r="C738" s="6" t="s">
        <v>14</v>
      </c>
      <c r="D738" s="6" t="s">
        <v>11</v>
      </c>
      <c r="E738" s="6" t="s">
        <v>15</v>
      </c>
      <c r="F738" s="6">
        <v>87</v>
      </c>
      <c r="G738" s="6">
        <v>89</v>
      </c>
      <c r="H738" s="6">
        <v>94</v>
      </c>
      <c r="I738" s="2">
        <f t="shared" si="23"/>
        <v>270</v>
      </c>
      <c r="J738" s="8">
        <f>AVERAGE(Table1[[#This Row],[math score]:[writing score]])</f>
        <v>90</v>
      </c>
      <c r="K738" s="2">
        <f t="shared" si="22"/>
        <v>300</v>
      </c>
      <c r="L738" s="4">
        <f>Table1[[#This Row],[Total Score]]/Table1[[#This Row],[Minimum Mark]]</f>
        <v>0.9</v>
      </c>
      <c r="M738" s="70" t="str">
        <f>_xlfn.XLOOKUP(Table1[[#This Row],[Pass(%)]],O:O,P:P,,-1)</f>
        <v>A-</v>
      </c>
    </row>
    <row r="739" spans="1:13" x14ac:dyDescent="0.35">
      <c r="A739" s="2" t="s">
        <v>17</v>
      </c>
      <c r="B739" s="2" t="s">
        <v>21</v>
      </c>
      <c r="C739" s="6" t="s">
        <v>23</v>
      </c>
      <c r="D739" s="6" t="s">
        <v>11</v>
      </c>
      <c r="E739" s="6" t="s">
        <v>12</v>
      </c>
      <c r="F739" s="6">
        <v>55</v>
      </c>
      <c r="G739" s="6">
        <v>47</v>
      </c>
      <c r="H739" s="6">
        <v>44</v>
      </c>
      <c r="I739" s="2">
        <f t="shared" si="23"/>
        <v>146</v>
      </c>
      <c r="J739" s="8">
        <f>AVERAGE(Table1[[#This Row],[math score]:[writing score]])</f>
        <v>48.666666666666664</v>
      </c>
      <c r="K739" s="2">
        <f t="shared" si="22"/>
        <v>300</v>
      </c>
      <c r="L739" s="4">
        <f>Table1[[#This Row],[Total Score]]/Table1[[#This Row],[Minimum Mark]]</f>
        <v>0.48666666666666669</v>
      </c>
      <c r="M739" s="70" t="str">
        <f>_xlfn.XLOOKUP(Table1[[#This Row],[Pass(%)]],O:O,P:P,,-1)</f>
        <v>D</v>
      </c>
    </row>
    <row r="740" spans="1:13" x14ac:dyDescent="0.35">
      <c r="A740" s="2" t="s">
        <v>8</v>
      </c>
      <c r="B740" s="2" t="s">
        <v>24</v>
      </c>
      <c r="C740" s="6" t="s">
        <v>14</v>
      </c>
      <c r="D740" s="6" t="s">
        <v>20</v>
      </c>
      <c r="E740" s="6" t="s">
        <v>12</v>
      </c>
      <c r="F740" s="6">
        <v>53</v>
      </c>
      <c r="G740" s="6">
        <v>58</v>
      </c>
      <c r="H740" s="6">
        <v>57</v>
      </c>
      <c r="I740" s="2">
        <f t="shared" si="23"/>
        <v>168</v>
      </c>
      <c r="J740" s="8">
        <f>AVERAGE(Table1[[#This Row],[math score]:[writing score]])</f>
        <v>56</v>
      </c>
      <c r="K740" s="2">
        <f t="shared" si="22"/>
        <v>300</v>
      </c>
      <c r="L740" s="4">
        <f>Table1[[#This Row],[Total Score]]/Table1[[#This Row],[Minimum Mark]]</f>
        <v>0.56000000000000005</v>
      </c>
      <c r="M740" s="70" t="str">
        <f>_xlfn.XLOOKUP(Table1[[#This Row],[Pass(%)]],O:O,P:P,,-1)</f>
        <v>D+</v>
      </c>
    </row>
    <row r="741" spans="1:13" x14ac:dyDescent="0.35">
      <c r="A741" s="2" t="s">
        <v>17</v>
      </c>
      <c r="B741" s="2" t="s">
        <v>13</v>
      </c>
      <c r="C741" s="6" t="s">
        <v>16</v>
      </c>
      <c r="D741" s="6" t="s">
        <v>11</v>
      </c>
      <c r="E741" s="6" t="s">
        <v>12</v>
      </c>
      <c r="F741" s="6">
        <v>67</v>
      </c>
      <c r="G741" s="6">
        <v>57</v>
      </c>
      <c r="H741" s="6">
        <v>59</v>
      </c>
      <c r="I741" s="2">
        <f t="shared" si="23"/>
        <v>183</v>
      </c>
      <c r="J741" s="8">
        <f>AVERAGE(Table1[[#This Row],[math score]:[writing score]])</f>
        <v>61</v>
      </c>
      <c r="K741" s="2">
        <f t="shared" si="22"/>
        <v>300</v>
      </c>
      <c r="L741" s="4">
        <f>Table1[[#This Row],[Total Score]]/Table1[[#This Row],[Minimum Mark]]</f>
        <v>0.61</v>
      </c>
      <c r="M741" s="70" t="str">
        <f>_xlfn.XLOOKUP(Table1[[#This Row],[Pass(%)]],O:O,P:P,,-1)</f>
        <v>D+</v>
      </c>
    </row>
    <row r="742" spans="1:13" ht="20.5" x14ac:dyDescent="0.8">
      <c r="A742" s="3" t="s">
        <v>17</v>
      </c>
      <c r="B742" s="3" t="s">
        <v>13</v>
      </c>
      <c r="C742" s="7" t="s">
        <v>19</v>
      </c>
      <c r="D742" s="7" t="s">
        <v>11</v>
      </c>
      <c r="E742" s="7" t="s">
        <v>12</v>
      </c>
      <c r="F742" s="7">
        <v>92</v>
      </c>
      <c r="G742" s="7">
        <v>79</v>
      </c>
      <c r="H742" s="7">
        <v>84</v>
      </c>
      <c r="I742" s="3">
        <f t="shared" si="23"/>
        <v>255</v>
      </c>
      <c r="J742" s="14">
        <f>AVERAGE(Table1[[#This Row],[math score]:[writing score]])</f>
        <v>85</v>
      </c>
      <c r="K742" s="3">
        <f t="shared" si="22"/>
        <v>300</v>
      </c>
      <c r="L742" s="5">
        <f>Table1[[#This Row],[Total Score]]/Table1[[#This Row],[Minimum Mark]]</f>
        <v>0.85</v>
      </c>
      <c r="M742" s="71" t="str">
        <f>_xlfn.XLOOKUP(Table1[[#This Row],[Pass(%)]],O:O,P:P,,-1)</f>
        <v>B</v>
      </c>
    </row>
    <row r="743" spans="1:13" x14ac:dyDescent="0.35">
      <c r="A743" s="2" t="s">
        <v>8</v>
      </c>
      <c r="B743" s="2" t="s">
        <v>9</v>
      </c>
      <c r="C743" s="6" t="s">
        <v>14</v>
      </c>
      <c r="D743" s="6" t="s">
        <v>20</v>
      </c>
      <c r="E743" s="6" t="s">
        <v>15</v>
      </c>
      <c r="F743" s="6">
        <v>53</v>
      </c>
      <c r="G743" s="6">
        <v>66</v>
      </c>
      <c r="H743" s="6">
        <v>73</v>
      </c>
      <c r="I743" s="2">
        <f t="shared" si="23"/>
        <v>192</v>
      </c>
      <c r="J743" s="8">
        <f>AVERAGE(Table1[[#This Row],[math score]:[writing score]])</f>
        <v>64</v>
      </c>
      <c r="K743" s="2">
        <f t="shared" si="22"/>
        <v>300</v>
      </c>
      <c r="L743" s="4">
        <f>Table1[[#This Row],[Total Score]]/Table1[[#This Row],[Minimum Mark]]</f>
        <v>0.64</v>
      </c>
      <c r="M743" s="70" t="str">
        <f>_xlfn.XLOOKUP(Table1[[#This Row],[Pass(%)]],O:O,P:P,,-1)</f>
        <v>D+</v>
      </c>
    </row>
    <row r="744" spans="1:13" ht="20.5" x14ac:dyDescent="0.8">
      <c r="A744" s="3" t="s">
        <v>17</v>
      </c>
      <c r="B744" s="3" t="s">
        <v>21</v>
      </c>
      <c r="C744" s="7" t="s">
        <v>19</v>
      </c>
      <c r="D744" s="7" t="s">
        <v>11</v>
      </c>
      <c r="E744" s="7" t="s">
        <v>12</v>
      </c>
      <c r="F744" s="7">
        <v>81</v>
      </c>
      <c r="G744" s="7">
        <v>71</v>
      </c>
      <c r="H744" s="7">
        <v>73</v>
      </c>
      <c r="I744" s="3">
        <f t="shared" si="23"/>
        <v>225</v>
      </c>
      <c r="J744" s="14">
        <f>AVERAGE(Table1[[#This Row],[math score]:[writing score]])</f>
        <v>75</v>
      </c>
      <c r="K744" s="3">
        <f t="shared" si="22"/>
        <v>300</v>
      </c>
      <c r="L744" s="5">
        <f>Table1[[#This Row],[Total Score]]/Table1[[#This Row],[Minimum Mark]]</f>
        <v>0.75</v>
      </c>
      <c r="M744" s="71" t="str">
        <f>_xlfn.XLOOKUP(Table1[[#This Row],[Pass(%)]],O:O,P:P,,-1)</f>
        <v>C</v>
      </c>
    </row>
    <row r="745" spans="1:13" x14ac:dyDescent="0.35">
      <c r="A745" s="2" t="s">
        <v>17</v>
      </c>
      <c r="B745" s="2" t="s">
        <v>13</v>
      </c>
      <c r="C745" s="6" t="s">
        <v>22</v>
      </c>
      <c r="D745" s="6" t="s">
        <v>20</v>
      </c>
      <c r="E745" s="6" t="s">
        <v>12</v>
      </c>
      <c r="F745" s="6">
        <v>61</v>
      </c>
      <c r="G745" s="6">
        <v>60</v>
      </c>
      <c r="H745" s="6">
        <v>55</v>
      </c>
      <c r="I745" s="2">
        <f t="shared" si="23"/>
        <v>176</v>
      </c>
      <c r="J745" s="8">
        <f>AVERAGE(Table1[[#This Row],[math score]:[writing score]])</f>
        <v>58.666666666666664</v>
      </c>
      <c r="K745" s="2">
        <f t="shared" si="22"/>
        <v>300</v>
      </c>
      <c r="L745" s="4">
        <f>Table1[[#This Row],[Total Score]]/Table1[[#This Row],[Minimum Mark]]</f>
        <v>0.58666666666666667</v>
      </c>
      <c r="M745" s="70" t="str">
        <f>_xlfn.XLOOKUP(Table1[[#This Row],[Pass(%)]],O:O,P:P,,-1)</f>
        <v>D+</v>
      </c>
    </row>
    <row r="746" spans="1:13" x14ac:dyDescent="0.35">
      <c r="A746" s="2" t="s">
        <v>17</v>
      </c>
      <c r="B746" s="2" t="s">
        <v>21</v>
      </c>
      <c r="C746" s="6" t="s">
        <v>10</v>
      </c>
      <c r="D746" s="6" t="s">
        <v>11</v>
      </c>
      <c r="E746" s="6" t="s">
        <v>12</v>
      </c>
      <c r="F746" s="6">
        <v>80</v>
      </c>
      <c r="G746" s="6">
        <v>73</v>
      </c>
      <c r="H746" s="6">
        <v>72</v>
      </c>
      <c r="I746" s="2">
        <f t="shared" si="23"/>
        <v>225</v>
      </c>
      <c r="J746" s="8">
        <f>AVERAGE(Table1[[#This Row],[math score]:[writing score]])</f>
        <v>75</v>
      </c>
      <c r="K746" s="2">
        <f t="shared" si="22"/>
        <v>300</v>
      </c>
      <c r="L746" s="4">
        <f>Table1[[#This Row],[Total Score]]/Table1[[#This Row],[Minimum Mark]]</f>
        <v>0.75</v>
      </c>
      <c r="M746" s="70" t="str">
        <f>_xlfn.XLOOKUP(Table1[[#This Row],[Pass(%)]],O:O,P:P,,-1)</f>
        <v>C</v>
      </c>
    </row>
    <row r="747" spans="1:13" ht="20.5" x14ac:dyDescent="0.8">
      <c r="A747" s="3" t="s">
        <v>8</v>
      </c>
      <c r="B747" s="3" t="s">
        <v>18</v>
      </c>
      <c r="C747" s="7" t="s">
        <v>19</v>
      </c>
      <c r="D747" s="7" t="s">
        <v>20</v>
      </c>
      <c r="E747" s="7" t="s">
        <v>12</v>
      </c>
      <c r="F747" s="7">
        <v>37</v>
      </c>
      <c r="G747" s="7">
        <v>57</v>
      </c>
      <c r="H747" s="7">
        <v>56</v>
      </c>
      <c r="I747" s="3">
        <f t="shared" si="23"/>
        <v>150</v>
      </c>
      <c r="J747" s="14">
        <f>AVERAGE(Table1[[#This Row],[math score]:[writing score]])</f>
        <v>50</v>
      </c>
      <c r="K747" s="3">
        <f t="shared" si="22"/>
        <v>300</v>
      </c>
      <c r="L747" s="5">
        <f>Table1[[#This Row],[Total Score]]/Table1[[#This Row],[Minimum Mark]]</f>
        <v>0.5</v>
      </c>
      <c r="M747" s="71" t="str">
        <f>_xlfn.XLOOKUP(Table1[[#This Row],[Pass(%)]],O:O,P:P,,-1)</f>
        <v>D</v>
      </c>
    </row>
    <row r="748" spans="1:13" x14ac:dyDescent="0.35">
      <c r="A748" s="2" t="s">
        <v>8</v>
      </c>
      <c r="B748" s="2" t="s">
        <v>13</v>
      </c>
      <c r="C748" s="6" t="s">
        <v>22</v>
      </c>
      <c r="D748" s="6" t="s">
        <v>11</v>
      </c>
      <c r="E748" s="6" t="s">
        <v>12</v>
      </c>
      <c r="F748" s="6">
        <v>81</v>
      </c>
      <c r="G748" s="6">
        <v>84</v>
      </c>
      <c r="H748" s="6">
        <v>82</v>
      </c>
      <c r="I748" s="2">
        <f t="shared" si="23"/>
        <v>247</v>
      </c>
      <c r="J748" s="8">
        <f>AVERAGE(Table1[[#This Row],[math score]:[writing score]])</f>
        <v>82.333333333333329</v>
      </c>
      <c r="K748" s="2">
        <f t="shared" si="22"/>
        <v>300</v>
      </c>
      <c r="L748" s="4">
        <f>Table1[[#This Row],[Total Score]]/Table1[[#This Row],[Minimum Mark]]</f>
        <v>0.82333333333333336</v>
      </c>
      <c r="M748" s="70" t="str">
        <f>_xlfn.XLOOKUP(Table1[[#This Row],[Pass(%)]],O:O,P:P,,-1)</f>
        <v>B-</v>
      </c>
    </row>
    <row r="749" spans="1:13" ht="20.5" x14ac:dyDescent="0.8">
      <c r="A749" s="3" t="s">
        <v>8</v>
      </c>
      <c r="B749" s="3" t="s">
        <v>13</v>
      </c>
      <c r="C749" s="7" t="s">
        <v>19</v>
      </c>
      <c r="D749" s="7" t="s">
        <v>11</v>
      </c>
      <c r="E749" s="7" t="s">
        <v>15</v>
      </c>
      <c r="F749" s="7">
        <v>59</v>
      </c>
      <c r="G749" s="7">
        <v>73</v>
      </c>
      <c r="H749" s="7">
        <v>72</v>
      </c>
      <c r="I749" s="3">
        <f t="shared" si="23"/>
        <v>204</v>
      </c>
      <c r="J749" s="14">
        <f>AVERAGE(Table1[[#This Row],[math score]:[writing score]])</f>
        <v>68</v>
      </c>
      <c r="K749" s="3">
        <f t="shared" si="22"/>
        <v>300</v>
      </c>
      <c r="L749" s="5">
        <f>Table1[[#This Row],[Total Score]]/Table1[[#This Row],[Minimum Mark]]</f>
        <v>0.68</v>
      </c>
      <c r="M749" s="71" t="str">
        <f>_xlfn.XLOOKUP(Table1[[#This Row],[Pass(%)]],O:O,P:P,,-1)</f>
        <v>D+</v>
      </c>
    </row>
    <row r="750" spans="1:13" x14ac:dyDescent="0.35">
      <c r="A750" s="2" t="s">
        <v>17</v>
      </c>
      <c r="B750" s="2" t="s">
        <v>9</v>
      </c>
      <c r="C750" s="6" t="s">
        <v>14</v>
      </c>
      <c r="D750" s="6" t="s">
        <v>20</v>
      </c>
      <c r="E750" s="6" t="s">
        <v>12</v>
      </c>
      <c r="F750" s="6">
        <v>55</v>
      </c>
      <c r="G750" s="6">
        <v>55</v>
      </c>
      <c r="H750" s="6">
        <v>47</v>
      </c>
      <c r="I750" s="2">
        <f t="shared" si="23"/>
        <v>157</v>
      </c>
      <c r="J750" s="8">
        <f>AVERAGE(Table1[[#This Row],[math score]:[writing score]])</f>
        <v>52.333333333333336</v>
      </c>
      <c r="K750" s="2">
        <f t="shared" si="22"/>
        <v>300</v>
      </c>
      <c r="L750" s="4">
        <f>Table1[[#This Row],[Total Score]]/Table1[[#This Row],[Minimum Mark]]</f>
        <v>0.52333333333333332</v>
      </c>
      <c r="M750" s="70" t="str">
        <f>_xlfn.XLOOKUP(Table1[[#This Row],[Pass(%)]],O:O,P:P,,-1)</f>
        <v>D</v>
      </c>
    </row>
    <row r="751" spans="1:13" ht="20.5" x14ac:dyDescent="0.8">
      <c r="A751" s="3" t="s">
        <v>17</v>
      </c>
      <c r="B751" s="3" t="s">
        <v>21</v>
      </c>
      <c r="C751" s="7" t="s">
        <v>19</v>
      </c>
      <c r="D751" s="7" t="s">
        <v>11</v>
      </c>
      <c r="E751" s="7" t="s">
        <v>12</v>
      </c>
      <c r="F751" s="7">
        <v>72</v>
      </c>
      <c r="G751" s="7">
        <v>79</v>
      </c>
      <c r="H751" s="7">
        <v>74</v>
      </c>
      <c r="I751" s="3">
        <f t="shared" si="23"/>
        <v>225</v>
      </c>
      <c r="J751" s="14">
        <f>AVERAGE(Table1[[#This Row],[math score]:[writing score]])</f>
        <v>75</v>
      </c>
      <c r="K751" s="3">
        <f t="shared" si="22"/>
        <v>300</v>
      </c>
      <c r="L751" s="5">
        <f>Table1[[#This Row],[Total Score]]/Table1[[#This Row],[Minimum Mark]]</f>
        <v>0.75</v>
      </c>
      <c r="M751" s="71" t="str">
        <f>_xlfn.XLOOKUP(Table1[[#This Row],[Pass(%)]],O:O,P:P,,-1)</f>
        <v>C</v>
      </c>
    </row>
    <row r="752" spans="1:13" x14ac:dyDescent="0.35">
      <c r="A752" s="2" t="s">
        <v>17</v>
      </c>
      <c r="B752" s="2" t="s">
        <v>21</v>
      </c>
      <c r="C752" s="6" t="s">
        <v>22</v>
      </c>
      <c r="D752" s="6" t="s">
        <v>11</v>
      </c>
      <c r="E752" s="6" t="s">
        <v>12</v>
      </c>
      <c r="F752" s="6">
        <v>69</v>
      </c>
      <c r="G752" s="6">
        <v>75</v>
      </c>
      <c r="H752" s="6">
        <v>71</v>
      </c>
      <c r="I752" s="2">
        <f t="shared" si="23"/>
        <v>215</v>
      </c>
      <c r="J752" s="8">
        <f>AVERAGE(Table1[[#This Row],[math score]:[writing score]])</f>
        <v>71.666666666666671</v>
      </c>
      <c r="K752" s="2">
        <f t="shared" si="22"/>
        <v>300</v>
      </c>
      <c r="L752" s="4">
        <f>Table1[[#This Row],[Total Score]]/Table1[[#This Row],[Minimum Mark]]</f>
        <v>0.71666666666666667</v>
      </c>
      <c r="M752" s="70" t="str">
        <f>_xlfn.XLOOKUP(Table1[[#This Row],[Pass(%)]],O:O,P:P,,-1)</f>
        <v>C-</v>
      </c>
    </row>
    <row r="753" spans="1:13" x14ac:dyDescent="0.35">
      <c r="A753" s="2" t="s">
        <v>17</v>
      </c>
      <c r="B753" s="2" t="s">
        <v>13</v>
      </c>
      <c r="C753" s="6" t="s">
        <v>14</v>
      </c>
      <c r="D753" s="6" t="s">
        <v>11</v>
      </c>
      <c r="E753" s="6" t="s">
        <v>12</v>
      </c>
      <c r="F753" s="6">
        <v>69</v>
      </c>
      <c r="G753" s="6">
        <v>64</v>
      </c>
      <c r="H753" s="6">
        <v>68</v>
      </c>
      <c r="I753" s="2">
        <f t="shared" si="23"/>
        <v>201</v>
      </c>
      <c r="J753" s="8">
        <f>AVERAGE(Table1[[#This Row],[math score]:[writing score]])</f>
        <v>67</v>
      </c>
      <c r="K753" s="2">
        <f t="shared" si="22"/>
        <v>300</v>
      </c>
      <c r="L753" s="4">
        <f>Table1[[#This Row],[Total Score]]/Table1[[#This Row],[Minimum Mark]]</f>
        <v>0.67</v>
      </c>
      <c r="M753" s="70" t="str">
        <f>_xlfn.XLOOKUP(Table1[[#This Row],[Pass(%)]],O:O,P:P,,-1)</f>
        <v>D+</v>
      </c>
    </row>
    <row r="754" spans="1:13" x14ac:dyDescent="0.35">
      <c r="A754" s="2" t="s">
        <v>8</v>
      </c>
      <c r="B754" s="2" t="s">
        <v>13</v>
      </c>
      <c r="C754" s="6" t="s">
        <v>10</v>
      </c>
      <c r="D754" s="6" t="s">
        <v>20</v>
      </c>
      <c r="E754" s="6" t="s">
        <v>12</v>
      </c>
      <c r="F754" s="6">
        <v>50</v>
      </c>
      <c r="G754" s="6">
        <v>60</v>
      </c>
      <c r="H754" s="6">
        <v>59</v>
      </c>
      <c r="I754" s="2">
        <f t="shared" si="23"/>
        <v>169</v>
      </c>
      <c r="J754" s="8">
        <f>AVERAGE(Table1[[#This Row],[math score]:[writing score]])</f>
        <v>56.333333333333336</v>
      </c>
      <c r="K754" s="2">
        <f t="shared" si="22"/>
        <v>300</v>
      </c>
      <c r="L754" s="4">
        <f>Table1[[#This Row],[Total Score]]/Table1[[#This Row],[Minimum Mark]]</f>
        <v>0.56333333333333335</v>
      </c>
      <c r="M754" s="70" t="str">
        <f>_xlfn.XLOOKUP(Table1[[#This Row],[Pass(%)]],O:O,P:P,,-1)</f>
        <v>D+</v>
      </c>
    </row>
    <row r="755" spans="1:13" x14ac:dyDescent="0.35">
      <c r="A755" s="2" t="s">
        <v>17</v>
      </c>
      <c r="B755" s="2" t="s">
        <v>9</v>
      </c>
      <c r="C755" s="6" t="s">
        <v>14</v>
      </c>
      <c r="D755" s="6" t="s">
        <v>11</v>
      </c>
      <c r="E755" s="6" t="s">
        <v>15</v>
      </c>
      <c r="F755" s="6">
        <v>87</v>
      </c>
      <c r="G755" s="6">
        <v>84</v>
      </c>
      <c r="H755" s="6">
        <v>86</v>
      </c>
      <c r="I755" s="2">
        <f t="shared" si="23"/>
        <v>257</v>
      </c>
      <c r="J755" s="8">
        <f>AVERAGE(Table1[[#This Row],[math score]:[writing score]])</f>
        <v>85.666666666666671</v>
      </c>
      <c r="K755" s="2">
        <f t="shared" si="22"/>
        <v>300</v>
      </c>
      <c r="L755" s="4">
        <f>Table1[[#This Row],[Total Score]]/Table1[[#This Row],[Minimum Mark]]</f>
        <v>0.85666666666666669</v>
      </c>
      <c r="M755" s="70" t="str">
        <f>_xlfn.XLOOKUP(Table1[[#This Row],[Pass(%)]],O:O,P:P,,-1)</f>
        <v>B</v>
      </c>
    </row>
    <row r="756" spans="1:13" x14ac:dyDescent="0.35">
      <c r="A756" s="2" t="s">
        <v>17</v>
      </c>
      <c r="B756" s="2" t="s">
        <v>21</v>
      </c>
      <c r="C756" s="6" t="s">
        <v>23</v>
      </c>
      <c r="D756" s="6" t="s">
        <v>11</v>
      </c>
      <c r="E756" s="6" t="s">
        <v>15</v>
      </c>
      <c r="F756" s="6">
        <v>71</v>
      </c>
      <c r="G756" s="6">
        <v>69</v>
      </c>
      <c r="H756" s="6">
        <v>68</v>
      </c>
      <c r="I756" s="2">
        <f t="shared" si="23"/>
        <v>208</v>
      </c>
      <c r="J756" s="8">
        <f>AVERAGE(Table1[[#This Row],[math score]:[writing score]])</f>
        <v>69.333333333333329</v>
      </c>
      <c r="K756" s="2">
        <f t="shared" si="22"/>
        <v>300</v>
      </c>
      <c r="L756" s="4">
        <f>Table1[[#This Row],[Total Score]]/Table1[[#This Row],[Minimum Mark]]</f>
        <v>0.69333333333333336</v>
      </c>
      <c r="M756" s="70" t="str">
        <f>_xlfn.XLOOKUP(Table1[[#This Row],[Pass(%)]],O:O,P:P,,-1)</f>
        <v>D+</v>
      </c>
    </row>
    <row r="757" spans="1:13" x14ac:dyDescent="0.35">
      <c r="A757" s="2" t="s">
        <v>17</v>
      </c>
      <c r="B757" s="2" t="s">
        <v>24</v>
      </c>
      <c r="C757" s="6" t="s">
        <v>14</v>
      </c>
      <c r="D757" s="6" t="s">
        <v>11</v>
      </c>
      <c r="E757" s="6" t="s">
        <v>12</v>
      </c>
      <c r="F757" s="6">
        <v>68</v>
      </c>
      <c r="G757" s="6">
        <v>72</v>
      </c>
      <c r="H757" s="6">
        <v>65</v>
      </c>
      <c r="I757" s="2">
        <f t="shared" si="23"/>
        <v>205</v>
      </c>
      <c r="J757" s="8">
        <f>AVERAGE(Table1[[#This Row],[math score]:[writing score]])</f>
        <v>68.333333333333329</v>
      </c>
      <c r="K757" s="2">
        <f t="shared" si="22"/>
        <v>300</v>
      </c>
      <c r="L757" s="4">
        <f>Table1[[#This Row],[Total Score]]/Table1[[#This Row],[Minimum Mark]]</f>
        <v>0.68333333333333335</v>
      </c>
      <c r="M757" s="70" t="str">
        <f>_xlfn.XLOOKUP(Table1[[#This Row],[Pass(%)]],O:O,P:P,,-1)</f>
        <v>D+</v>
      </c>
    </row>
    <row r="758" spans="1:13" x14ac:dyDescent="0.35">
      <c r="A758" s="2" t="s">
        <v>17</v>
      </c>
      <c r="B758" s="2" t="s">
        <v>13</v>
      </c>
      <c r="C758" s="6" t="s">
        <v>16</v>
      </c>
      <c r="D758" s="6" t="s">
        <v>20</v>
      </c>
      <c r="E758" s="6" t="s">
        <v>15</v>
      </c>
      <c r="F758" s="6">
        <v>79</v>
      </c>
      <c r="G758" s="6">
        <v>77</v>
      </c>
      <c r="H758" s="6">
        <v>75</v>
      </c>
      <c r="I758" s="2">
        <f t="shared" si="23"/>
        <v>231</v>
      </c>
      <c r="J758" s="8">
        <f>AVERAGE(Table1[[#This Row],[math score]:[writing score]])</f>
        <v>77</v>
      </c>
      <c r="K758" s="2">
        <f t="shared" si="22"/>
        <v>300</v>
      </c>
      <c r="L758" s="4">
        <f>Table1[[#This Row],[Total Score]]/Table1[[#This Row],[Minimum Mark]]</f>
        <v>0.77</v>
      </c>
      <c r="M758" s="70" t="str">
        <f>_xlfn.XLOOKUP(Table1[[#This Row],[Pass(%)]],O:O,P:P,,-1)</f>
        <v>C+</v>
      </c>
    </row>
    <row r="759" spans="1:13" x14ac:dyDescent="0.35">
      <c r="A759" s="2" t="s">
        <v>8</v>
      </c>
      <c r="B759" s="2" t="s">
        <v>13</v>
      </c>
      <c r="C759" s="6" t="s">
        <v>23</v>
      </c>
      <c r="D759" s="6" t="s">
        <v>11</v>
      </c>
      <c r="E759" s="6" t="s">
        <v>15</v>
      </c>
      <c r="F759" s="6">
        <v>77</v>
      </c>
      <c r="G759" s="6">
        <v>90</v>
      </c>
      <c r="H759" s="6">
        <v>85</v>
      </c>
      <c r="I759" s="2">
        <f t="shared" si="23"/>
        <v>252</v>
      </c>
      <c r="J759" s="8">
        <f>AVERAGE(Table1[[#This Row],[math score]:[writing score]])</f>
        <v>84</v>
      </c>
      <c r="K759" s="2">
        <f t="shared" si="22"/>
        <v>300</v>
      </c>
      <c r="L759" s="4">
        <f>Table1[[#This Row],[Total Score]]/Table1[[#This Row],[Minimum Mark]]</f>
        <v>0.84</v>
      </c>
      <c r="M759" s="70" t="str">
        <f>_xlfn.XLOOKUP(Table1[[#This Row],[Pass(%)]],O:O,P:P,,-1)</f>
        <v>B</v>
      </c>
    </row>
    <row r="760" spans="1:13" ht="20.5" x14ac:dyDescent="0.8">
      <c r="A760" s="3" t="s">
        <v>17</v>
      </c>
      <c r="B760" s="3" t="s">
        <v>13</v>
      </c>
      <c r="C760" s="7" t="s">
        <v>19</v>
      </c>
      <c r="D760" s="7" t="s">
        <v>20</v>
      </c>
      <c r="E760" s="7" t="s">
        <v>12</v>
      </c>
      <c r="F760" s="7">
        <v>58</v>
      </c>
      <c r="G760" s="7">
        <v>55</v>
      </c>
      <c r="H760" s="7">
        <v>53</v>
      </c>
      <c r="I760" s="3">
        <f t="shared" si="23"/>
        <v>166</v>
      </c>
      <c r="J760" s="14">
        <f>AVERAGE(Table1[[#This Row],[math score]:[writing score]])</f>
        <v>55.333333333333336</v>
      </c>
      <c r="K760" s="3">
        <f t="shared" si="22"/>
        <v>300</v>
      </c>
      <c r="L760" s="5">
        <f>Table1[[#This Row],[Total Score]]/Table1[[#This Row],[Minimum Mark]]</f>
        <v>0.55333333333333334</v>
      </c>
      <c r="M760" s="71" t="str">
        <f>_xlfn.XLOOKUP(Table1[[#This Row],[Pass(%)]],O:O,P:P,,-1)</f>
        <v>D+</v>
      </c>
    </row>
    <row r="761" spans="1:13" ht="20.5" x14ac:dyDescent="0.8">
      <c r="A761" s="3" t="s">
        <v>8</v>
      </c>
      <c r="B761" s="3" t="s">
        <v>24</v>
      </c>
      <c r="C761" s="7" t="s">
        <v>19</v>
      </c>
      <c r="D761" s="7" t="s">
        <v>11</v>
      </c>
      <c r="E761" s="7" t="s">
        <v>12</v>
      </c>
      <c r="F761" s="7">
        <v>84</v>
      </c>
      <c r="G761" s="7">
        <v>95</v>
      </c>
      <c r="H761" s="7">
        <v>92</v>
      </c>
      <c r="I761" s="3">
        <f t="shared" si="23"/>
        <v>271</v>
      </c>
      <c r="J761" s="14">
        <f>AVERAGE(Table1[[#This Row],[math score]:[writing score]])</f>
        <v>90.333333333333329</v>
      </c>
      <c r="K761" s="3">
        <f t="shared" si="22"/>
        <v>300</v>
      </c>
      <c r="L761" s="5">
        <f>Table1[[#This Row],[Total Score]]/Table1[[#This Row],[Minimum Mark]]</f>
        <v>0.90333333333333332</v>
      </c>
      <c r="M761" s="71" t="str">
        <f>_xlfn.XLOOKUP(Table1[[#This Row],[Pass(%)]],O:O,P:P,,-1)</f>
        <v>A-</v>
      </c>
    </row>
    <row r="762" spans="1:13" x14ac:dyDescent="0.35">
      <c r="A762" s="2" t="s">
        <v>17</v>
      </c>
      <c r="B762" s="2" t="s">
        <v>21</v>
      </c>
      <c r="C762" s="6" t="s">
        <v>14</v>
      </c>
      <c r="D762" s="6" t="s">
        <v>11</v>
      </c>
      <c r="E762" s="6" t="s">
        <v>12</v>
      </c>
      <c r="F762" s="6">
        <v>55</v>
      </c>
      <c r="G762" s="6">
        <v>58</v>
      </c>
      <c r="H762" s="6">
        <v>52</v>
      </c>
      <c r="I762" s="2">
        <f t="shared" si="23"/>
        <v>165</v>
      </c>
      <c r="J762" s="8">
        <f>AVERAGE(Table1[[#This Row],[math score]:[writing score]])</f>
        <v>55</v>
      </c>
      <c r="K762" s="2">
        <f t="shared" si="22"/>
        <v>300</v>
      </c>
      <c r="L762" s="4">
        <f>Table1[[#This Row],[Total Score]]/Table1[[#This Row],[Minimum Mark]]</f>
        <v>0.55000000000000004</v>
      </c>
      <c r="M762" s="70" t="str">
        <f>_xlfn.XLOOKUP(Table1[[#This Row],[Pass(%)]],O:O,P:P,,-1)</f>
        <v>D+</v>
      </c>
    </row>
    <row r="763" spans="1:13" x14ac:dyDescent="0.35">
      <c r="A763" s="2" t="s">
        <v>17</v>
      </c>
      <c r="B763" s="2" t="s">
        <v>24</v>
      </c>
      <c r="C763" s="6" t="s">
        <v>10</v>
      </c>
      <c r="D763" s="6" t="s">
        <v>20</v>
      </c>
      <c r="E763" s="6" t="s">
        <v>15</v>
      </c>
      <c r="F763" s="6">
        <v>70</v>
      </c>
      <c r="G763" s="6">
        <v>68</v>
      </c>
      <c r="H763" s="6">
        <v>72</v>
      </c>
      <c r="I763" s="2">
        <f t="shared" si="23"/>
        <v>210</v>
      </c>
      <c r="J763" s="8">
        <f>AVERAGE(Table1[[#This Row],[math score]:[writing score]])</f>
        <v>70</v>
      </c>
      <c r="K763" s="2">
        <f t="shared" si="22"/>
        <v>300</v>
      </c>
      <c r="L763" s="4">
        <f>Table1[[#This Row],[Total Score]]/Table1[[#This Row],[Minimum Mark]]</f>
        <v>0.7</v>
      </c>
      <c r="M763" s="70" t="str">
        <f>_xlfn.XLOOKUP(Table1[[#This Row],[Pass(%)]],O:O,P:P,,-1)</f>
        <v>C-</v>
      </c>
    </row>
    <row r="764" spans="1:13" x14ac:dyDescent="0.35">
      <c r="A764" s="2" t="s">
        <v>8</v>
      </c>
      <c r="B764" s="2" t="s">
        <v>21</v>
      </c>
      <c r="C764" s="6" t="s">
        <v>14</v>
      </c>
      <c r="D764" s="6" t="s">
        <v>20</v>
      </c>
      <c r="E764" s="6" t="s">
        <v>15</v>
      </c>
      <c r="F764" s="6">
        <v>52</v>
      </c>
      <c r="G764" s="6">
        <v>59</v>
      </c>
      <c r="H764" s="6">
        <v>65</v>
      </c>
      <c r="I764" s="2">
        <f t="shared" si="23"/>
        <v>176</v>
      </c>
      <c r="J764" s="8">
        <f>AVERAGE(Table1[[#This Row],[math score]:[writing score]])</f>
        <v>58.666666666666664</v>
      </c>
      <c r="K764" s="2">
        <f t="shared" si="22"/>
        <v>300</v>
      </c>
      <c r="L764" s="4">
        <f>Table1[[#This Row],[Total Score]]/Table1[[#This Row],[Minimum Mark]]</f>
        <v>0.58666666666666667</v>
      </c>
      <c r="M764" s="70" t="str">
        <f>_xlfn.XLOOKUP(Table1[[#This Row],[Pass(%)]],O:O,P:P,,-1)</f>
        <v>D+</v>
      </c>
    </row>
    <row r="765" spans="1:13" x14ac:dyDescent="0.35">
      <c r="A765" s="2" t="s">
        <v>17</v>
      </c>
      <c r="B765" s="2" t="s">
        <v>9</v>
      </c>
      <c r="C765" s="6" t="s">
        <v>14</v>
      </c>
      <c r="D765" s="6" t="s">
        <v>11</v>
      </c>
      <c r="E765" s="6" t="s">
        <v>15</v>
      </c>
      <c r="F765" s="6">
        <v>69</v>
      </c>
      <c r="G765" s="6">
        <v>77</v>
      </c>
      <c r="H765" s="6">
        <v>77</v>
      </c>
      <c r="I765" s="2">
        <f t="shared" si="23"/>
        <v>223</v>
      </c>
      <c r="J765" s="8">
        <f>AVERAGE(Table1[[#This Row],[math score]:[writing score]])</f>
        <v>74.333333333333329</v>
      </c>
      <c r="K765" s="2">
        <f t="shared" si="22"/>
        <v>300</v>
      </c>
      <c r="L765" s="4">
        <f>Table1[[#This Row],[Total Score]]/Table1[[#This Row],[Minimum Mark]]</f>
        <v>0.74333333333333329</v>
      </c>
      <c r="M765" s="70" t="str">
        <f>_xlfn.XLOOKUP(Table1[[#This Row],[Pass(%)]],O:O,P:P,,-1)</f>
        <v>C</v>
      </c>
    </row>
    <row r="766" spans="1:13" x14ac:dyDescent="0.35">
      <c r="A766" s="2" t="s">
        <v>8</v>
      </c>
      <c r="B766" s="2" t="s">
        <v>13</v>
      </c>
      <c r="C766" s="6" t="s">
        <v>22</v>
      </c>
      <c r="D766" s="6" t="s">
        <v>20</v>
      </c>
      <c r="E766" s="6" t="s">
        <v>12</v>
      </c>
      <c r="F766" s="6">
        <v>53</v>
      </c>
      <c r="G766" s="6">
        <v>72</v>
      </c>
      <c r="H766" s="6">
        <v>64</v>
      </c>
      <c r="I766" s="2">
        <f t="shared" si="23"/>
        <v>189</v>
      </c>
      <c r="J766" s="8">
        <f>AVERAGE(Table1[[#This Row],[math score]:[writing score]])</f>
        <v>63</v>
      </c>
      <c r="K766" s="2">
        <f t="shared" si="22"/>
        <v>300</v>
      </c>
      <c r="L766" s="4">
        <f>Table1[[#This Row],[Total Score]]/Table1[[#This Row],[Minimum Mark]]</f>
        <v>0.63</v>
      </c>
      <c r="M766" s="70" t="str">
        <f>_xlfn.XLOOKUP(Table1[[#This Row],[Pass(%)]],O:O,P:P,,-1)</f>
        <v>D+</v>
      </c>
    </row>
    <row r="767" spans="1:13" x14ac:dyDescent="0.35">
      <c r="A767" s="2" t="s">
        <v>8</v>
      </c>
      <c r="B767" s="2" t="s">
        <v>21</v>
      </c>
      <c r="C767" s="6" t="s">
        <v>23</v>
      </c>
      <c r="D767" s="6" t="s">
        <v>11</v>
      </c>
      <c r="E767" s="6" t="s">
        <v>12</v>
      </c>
      <c r="F767" s="6">
        <v>48</v>
      </c>
      <c r="G767" s="6">
        <v>58</v>
      </c>
      <c r="H767" s="6">
        <v>54</v>
      </c>
      <c r="I767" s="2">
        <f t="shared" si="23"/>
        <v>160</v>
      </c>
      <c r="J767" s="8">
        <f>AVERAGE(Table1[[#This Row],[math score]:[writing score]])</f>
        <v>53.333333333333336</v>
      </c>
      <c r="K767" s="2">
        <f t="shared" si="22"/>
        <v>300</v>
      </c>
      <c r="L767" s="4">
        <f>Table1[[#This Row],[Total Score]]/Table1[[#This Row],[Minimum Mark]]</f>
        <v>0.53333333333333333</v>
      </c>
      <c r="M767" s="70" t="str">
        <f>_xlfn.XLOOKUP(Table1[[#This Row],[Pass(%)]],O:O,P:P,,-1)</f>
        <v>D+</v>
      </c>
    </row>
    <row r="768" spans="1:13" x14ac:dyDescent="0.35">
      <c r="A768" s="2" t="s">
        <v>17</v>
      </c>
      <c r="B768" s="2" t="s">
        <v>21</v>
      </c>
      <c r="C768" s="6" t="s">
        <v>23</v>
      </c>
      <c r="D768" s="6" t="s">
        <v>11</v>
      </c>
      <c r="E768" s="6" t="s">
        <v>15</v>
      </c>
      <c r="F768" s="6">
        <v>78</v>
      </c>
      <c r="G768" s="6">
        <v>81</v>
      </c>
      <c r="H768" s="6">
        <v>86</v>
      </c>
      <c r="I768" s="2">
        <f t="shared" si="23"/>
        <v>245</v>
      </c>
      <c r="J768" s="8">
        <f>AVERAGE(Table1[[#This Row],[math score]:[writing score]])</f>
        <v>81.666666666666671</v>
      </c>
      <c r="K768" s="2">
        <f t="shared" si="22"/>
        <v>300</v>
      </c>
      <c r="L768" s="4">
        <f>Table1[[#This Row],[Total Score]]/Table1[[#This Row],[Minimum Mark]]</f>
        <v>0.81666666666666665</v>
      </c>
      <c r="M768" s="70" t="str">
        <f>_xlfn.XLOOKUP(Table1[[#This Row],[Pass(%)]],O:O,P:P,,-1)</f>
        <v>B-</v>
      </c>
    </row>
    <row r="769" spans="1:13" x14ac:dyDescent="0.35">
      <c r="A769" s="2" t="s">
        <v>8</v>
      </c>
      <c r="B769" s="2" t="s">
        <v>9</v>
      </c>
      <c r="C769" s="6" t="s">
        <v>22</v>
      </c>
      <c r="D769" s="6" t="s">
        <v>11</v>
      </c>
      <c r="E769" s="6" t="s">
        <v>12</v>
      </c>
      <c r="F769" s="6">
        <v>62</v>
      </c>
      <c r="G769" s="6">
        <v>62</v>
      </c>
      <c r="H769" s="6">
        <v>63</v>
      </c>
      <c r="I769" s="2">
        <f t="shared" si="23"/>
        <v>187</v>
      </c>
      <c r="J769" s="8">
        <f>AVERAGE(Table1[[#This Row],[math score]:[writing score]])</f>
        <v>62.333333333333336</v>
      </c>
      <c r="K769" s="2">
        <f t="shared" si="22"/>
        <v>300</v>
      </c>
      <c r="L769" s="4">
        <f>Table1[[#This Row],[Total Score]]/Table1[[#This Row],[Minimum Mark]]</f>
        <v>0.62333333333333329</v>
      </c>
      <c r="M769" s="70" t="str">
        <f>_xlfn.XLOOKUP(Table1[[#This Row],[Pass(%)]],O:O,P:P,,-1)</f>
        <v>D+</v>
      </c>
    </row>
    <row r="770" spans="1:13" x14ac:dyDescent="0.35">
      <c r="A770" s="2" t="s">
        <v>17</v>
      </c>
      <c r="B770" s="2" t="s">
        <v>21</v>
      </c>
      <c r="C770" s="6" t="s">
        <v>14</v>
      </c>
      <c r="D770" s="6" t="s">
        <v>11</v>
      </c>
      <c r="E770" s="6" t="s">
        <v>12</v>
      </c>
      <c r="F770" s="6">
        <v>60</v>
      </c>
      <c r="G770" s="6">
        <v>63</v>
      </c>
      <c r="H770" s="6">
        <v>59</v>
      </c>
      <c r="I770" s="2">
        <f t="shared" si="23"/>
        <v>182</v>
      </c>
      <c r="J770" s="8">
        <f>AVERAGE(Table1[[#This Row],[math score]:[writing score]])</f>
        <v>60.666666666666664</v>
      </c>
      <c r="K770" s="2">
        <f t="shared" si="22"/>
        <v>300</v>
      </c>
      <c r="L770" s="4">
        <f>Table1[[#This Row],[Total Score]]/Table1[[#This Row],[Minimum Mark]]</f>
        <v>0.60666666666666669</v>
      </c>
      <c r="M770" s="70" t="str">
        <f>_xlfn.XLOOKUP(Table1[[#This Row],[Pass(%)]],O:O,P:P,,-1)</f>
        <v>D+</v>
      </c>
    </row>
    <row r="771" spans="1:13" x14ac:dyDescent="0.35">
      <c r="A771" s="2" t="s">
        <v>8</v>
      </c>
      <c r="B771" s="2" t="s">
        <v>9</v>
      </c>
      <c r="C771" s="6" t="s">
        <v>22</v>
      </c>
      <c r="D771" s="6" t="s">
        <v>11</v>
      </c>
      <c r="E771" s="6" t="s">
        <v>12</v>
      </c>
      <c r="F771" s="6">
        <v>74</v>
      </c>
      <c r="G771" s="6">
        <v>72</v>
      </c>
      <c r="H771" s="6">
        <v>72</v>
      </c>
      <c r="I771" s="2">
        <f t="shared" si="23"/>
        <v>218</v>
      </c>
      <c r="J771" s="8">
        <f>AVERAGE(Table1[[#This Row],[math score]:[writing score]])</f>
        <v>72.666666666666671</v>
      </c>
      <c r="K771" s="2">
        <f t="shared" si="22"/>
        <v>300</v>
      </c>
      <c r="L771" s="4">
        <f>Table1[[#This Row],[Total Score]]/Table1[[#This Row],[Minimum Mark]]</f>
        <v>0.72666666666666668</v>
      </c>
      <c r="M771" s="70" t="str">
        <f>_xlfn.XLOOKUP(Table1[[#This Row],[Pass(%)]],O:O,P:P,,-1)</f>
        <v>C-</v>
      </c>
    </row>
    <row r="772" spans="1:13" x14ac:dyDescent="0.35">
      <c r="A772" s="2" t="s">
        <v>8</v>
      </c>
      <c r="B772" s="2" t="s">
        <v>13</v>
      </c>
      <c r="C772" s="6" t="s">
        <v>22</v>
      </c>
      <c r="D772" s="6" t="s">
        <v>11</v>
      </c>
      <c r="E772" s="6" t="s">
        <v>15</v>
      </c>
      <c r="F772" s="6">
        <v>58</v>
      </c>
      <c r="G772" s="6">
        <v>75</v>
      </c>
      <c r="H772" s="6">
        <v>77</v>
      </c>
      <c r="I772" s="2">
        <f t="shared" si="23"/>
        <v>210</v>
      </c>
      <c r="J772" s="8">
        <f>AVERAGE(Table1[[#This Row],[math score]:[writing score]])</f>
        <v>70</v>
      </c>
      <c r="K772" s="2">
        <f t="shared" si="22"/>
        <v>300</v>
      </c>
      <c r="L772" s="4">
        <f>Table1[[#This Row],[Total Score]]/Table1[[#This Row],[Minimum Mark]]</f>
        <v>0.7</v>
      </c>
      <c r="M772" s="70" t="str">
        <f>_xlfn.XLOOKUP(Table1[[#This Row],[Pass(%)]],O:O,P:P,,-1)</f>
        <v>C-</v>
      </c>
    </row>
    <row r="773" spans="1:13" x14ac:dyDescent="0.35">
      <c r="A773" s="2" t="s">
        <v>17</v>
      </c>
      <c r="B773" s="2" t="s">
        <v>9</v>
      </c>
      <c r="C773" s="6" t="s">
        <v>22</v>
      </c>
      <c r="D773" s="6" t="s">
        <v>11</v>
      </c>
      <c r="E773" s="6" t="s">
        <v>15</v>
      </c>
      <c r="F773" s="6">
        <v>76</v>
      </c>
      <c r="G773" s="6">
        <v>62</v>
      </c>
      <c r="H773" s="6">
        <v>60</v>
      </c>
      <c r="I773" s="2">
        <f t="shared" si="23"/>
        <v>198</v>
      </c>
      <c r="J773" s="8">
        <f>AVERAGE(Table1[[#This Row],[math score]:[writing score]])</f>
        <v>66</v>
      </c>
      <c r="K773" s="2">
        <f t="shared" si="22"/>
        <v>300</v>
      </c>
      <c r="L773" s="4">
        <f>Table1[[#This Row],[Total Score]]/Table1[[#This Row],[Minimum Mark]]</f>
        <v>0.66</v>
      </c>
      <c r="M773" s="70" t="str">
        <f>_xlfn.XLOOKUP(Table1[[#This Row],[Pass(%)]],O:O,P:P,,-1)</f>
        <v>D+</v>
      </c>
    </row>
    <row r="774" spans="1:13" x14ac:dyDescent="0.35">
      <c r="A774" s="2" t="s">
        <v>8</v>
      </c>
      <c r="B774" s="2" t="s">
        <v>21</v>
      </c>
      <c r="C774" s="6" t="s">
        <v>23</v>
      </c>
      <c r="D774" s="6" t="s">
        <v>11</v>
      </c>
      <c r="E774" s="6" t="s">
        <v>12</v>
      </c>
      <c r="F774" s="6">
        <v>68</v>
      </c>
      <c r="G774" s="6">
        <v>71</v>
      </c>
      <c r="H774" s="6">
        <v>75</v>
      </c>
      <c r="I774" s="2">
        <f t="shared" si="23"/>
        <v>214</v>
      </c>
      <c r="J774" s="8">
        <f>AVERAGE(Table1[[#This Row],[math score]:[writing score]])</f>
        <v>71.333333333333329</v>
      </c>
      <c r="K774" s="2">
        <f t="shared" ref="K774:K837" si="24">3*100</f>
        <v>300</v>
      </c>
      <c r="L774" s="4">
        <f>Table1[[#This Row],[Total Score]]/Table1[[#This Row],[Minimum Mark]]</f>
        <v>0.71333333333333337</v>
      </c>
      <c r="M774" s="70" t="str">
        <f>_xlfn.XLOOKUP(Table1[[#This Row],[Pass(%)]],O:O,P:P,,-1)</f>
        <v>C-</v>
      </c>
    </row>
    <row r="775" spans="1:13" x14ac:dyDescent="0.35">
      <c r="A775" s="2" t="s">
        <v>17</v>
      </c>
      <c r="B775" s="2" t="s">
        <v>18</v>
      </c>
      <c r="C775" s="6" t="s">
        <v>14</v>
      </c>
      <c r="D775" s="6" t="s">
        <v>20</v>
      </c>
      <c r="E775" s="6" t="s">
        <v>12</v>
      </c>
      <c r="F775" s="6">
        <v>58</v>
      </c>
      <c r="G775" s="6">
        <v>60</v>
      </c>
      <c r="H775" s="6">
        <v>57</v>
      </c>
      <c r="I775" s="2">
        <f t="shared" ref="I775:I838" si="25">SUM(F775:H775)</f>
        <v>175</v>
      </c>
      <c r="J775" s="8">
        <f>AVERAGE(Table1[[#This Row],[math score]:[writing score]])</f>
        <v>58.333333333333336</v>
      </c>
      <c r="K775" s="2">
        <f t="shared" si="24"/>
        <v>300</v>
      </c>
      <c r="L775" s="4">
        <f>Table1[[#This Row],[Total Score]]/Table1[[#This Row],[Minimum Mark]]</f>
        <v>0.58333333333333337</v>
      </c>
      <c r="M775" s="70" t="str">
        <f>_xlfn.XLOOKUP(Table1[[#This Row],[Pass(%)]],O:O,P:P,,-1)</f>
        <v>D+</v>
      </c>
    </row>
    <row r="776" spans="1:13" x14ac:dyDescent="0.35">
      <c r="A776" s="2" t="s">
        <v>17</v>
      </c>
      <c r="B776" s="2" t="s">
        <v>9</v>
      </c>
      <c r="C776" s="6" t="s">
        <v>22</v>
      </c>
      <c r="D776" s="6" t="s">
        <v>11</v>
      </c>
      <c r="E776" s="6" t="s">
        <v>12</v>
      </c>
      <c r="F776" s="6">
        <v>52</v>
      </c>
      <c r="G776" s="6">
        <v>48</v>
      </c>
      <c r="H776" s="6">
        <v>49</v>
      </c>
      <c r="I776" s="2">
        <f t="shared" si="25"/>
        <v>149</v>
      </c>
      <c r="J776" s="8">
        <f>AVERAGE(Table1[[#This Row],[math score]:[writing score]])</f>
        <v>49.666666666666664</v>
      </c>
      <c r="K776" s="2">
        <f t="shared" si="24"/>
        <v>300</v>
      </c>
      <c r="L776" s="4">
        <f>Table1[[#This Row],[Total Score]]/Table1[[#This Row],[Minimum Mark]]</f>
        <v>0.49666666666666665</v>
      </c>
      <c r="M776" s="70" t="str">
        <f>_xlfn.XLOOKUP(Table1[[#This Row],[Pass(%)]],O:O,P:P,,-1)</f>
        <v>D</v>
      </c>
    </row>
    <row r="777" spans="1:13" x14ac:dyDescent="0.35">
      <c r="A777" s="2" t="s">
        <v>17</v>
      </c>
      <c r="B777" s="2" t="s">
        <v>21</v>
      </c>
      <c r="C777" s="6" t="s">
        <v>10</v>
      </c>
      <c r="D777" s="6" t="s">
        <v>11</v>
      </c>
      <c r="E777" s="6" t="s">
        <v>12</v>
      </c>
      <c r="F777" s="6">
        <v>75</v>
      </c>
      <c r="G777" s="6">
        <v>73</v>
      </c>
      <c r="H777" s="6">
        <v>74</v>
      </c>
      <c r="I777" s="2">
        <f t="shared" si="25"/>
        <v>222</v>
      </c>
      <c r="J777" s="8">
        <f>AVERAGE(Table1[[#This Row],[math score]:[writing score]])</f>
        <v>74</v>
      </c>
      <c r="K777" s="2">
        <f t="shared" si="24"/>
        <v>300</v>
      </c>
      <c r="L777" s="4">
        <f>Table1[[#This Row],[Total Score]]/Table1[[#This Row],[Minimum Mark]]</f>
        <v>0.74</v>
      </c>
      <c r="M777" s="70" t="str">
        <f>_xlfn.XLOOKUP(Table1[[#This Row],[Pass(%)]],O:O,P:P,,-1)</f>
        <v>C</v>
      </c>
    </row>
    <row r="778" spans="1:13" x14ac:dyDescent="0.35">
      <c r="A778" s="2" t="s">
        <v>8</v>
      </c>
      <c r="B778" s="2" t="s">
        <v>9</v>
      </c>
      <c r="C778" s="6" t="s">
        <v>23</v>
      </c>
      <c r="D778" s="6" t="s">
        <v>20</v>
      </c>
      <c r="E778" s="6" t="s">
        <v>15</v>
      </c>
      <c r="F778" s="6">
        <v>52</v>
      </c>
      <c r="G778" s="6">
        <v>67</v>
      </c>
      <c r="H778" s="6">
        <v>72</v>
      </c>
      <c r="I778" s="2">
        <f t="shared" si="25"/>
        <v>191</v>
      </c>
      <c r="J778" s="8">
        <f>AVERAGE(Table1[[#This Row],[math score]:[writing score]])</f>
        <v>63.666666666666664</v>
      </c>
      <c r="K778" s="2">
        <f t="shared" si="24"/>
        <v>300</v>
      </c>
      <c r="L778" s="4">
        <f>Table1[[#This Row],[Total Score]]/Table1[[#This Row],[Minimum Mark]]</f>
        <v>0.63666666666666671</v>
      </c>
      <c r="M778" s="70" t="str">
        <f>_xlfn.XLOOKUP(Table1[[#This Row],[Pass(%)]],O:O,P:P,,-1)</f>
        <v>D+</v>
      </c>
    </row>
    <row r="779" spans="1:13" x14ac:dyDescent="0.35">
      <c r="A779" s="2" t="s">
        <v>8</v>
      </c>
      <c r="B779" s="2" t="s">
        <v>13</v>
      </c>
      <c r="C779" s="6" t="s">
        <v>10</v>
      </c>
      <c r="D779" s="6" t="s">
        <v>20</v>
      </c>
      <c r="E779" s="6" t="s">
        <v>12</v>
      </c>
      <c r="F779" s="6">
        <v>62</v>
      </c>
      <c r="G779" s="6">
        <v>78</v>
      </c>
      <c r="H779" s="6">
        <v>79</v>
      </c>
      <c r="I779" s="2">
        <f t="shared" si="25"/>
        <v>219</v>
      </c>
      <c r="J779" s="8">
        <f>AVERAGE(Table1[[#This Row],[math score]:[writing score]])</f>
        <v>73</v>
      </c>
      <c r="K779" s="2">
        <f t="shared" si="24"/>
        <v>300</v>
      </c>
      <c r="L779" s="4">
        <f>Table1[[#This Row],[Total Score]]/Table1[[#This Row],[Minimum Mark]]</f>
        <v>0.73</v>
      </c>
      <c r="M779" s="70" t="str">
        <f>_xlfn.XLOOKUP(Table1[[#This Row],[Pass(%)]],O:O,P:P,,-1)</f>
        <v>C</v>
      </c>
    </row>
    <row r="780" spans="1:13" x14ac:dyDescent="0.35">
      <c r="A780" s="2" t="s">
        <v>17</v>
      </c>
      <c r="B780" s="2" t="s">
        <v>9</v>
      </c>
      <c r="C780" s="6" t="s">
        <v>14</v>
      </c>
      <c r="D780" s="6" t="s">
        <v>11</v>
      </c>
      <c r="E780" s="6" t="s">
        <v>12</v>
      </c>
      <c r="F780" s="6">
        <v>66</v>
      </c>
      <c r="G780" s="6">
        <v>65</v>
      </c>
      <c r="H780" s="6">
        <v>60</v>
      </c>
      <c r="I780" s="2">
        <f t="shared" si="25"/>
        <v>191</v>
      </c>
      <c r="J780" s="8">
        <f>AVERAGE(Table1[[#This Row],[math score]:[writing score]])</f>
        <v>63.666666666666664</v>
      </c>
      <c r="K780" s="2">
        <f t="shared" si="24"/>
        <v>300</v>
      </c>
      <c r="L780" s="4">
        <f>Table1[[#This Row],[Total Score]]/Table1[[#This Row],[Minimum Mark]]</f>
        <v>0.63666666666666671</v>
      </c>
      <c r="M780" s="70" t="str">
        <f>_xlfn.XLOOKUP(Table1[[#This Row],[Pass(%)]],O:O,P:P,,-1)</f>
        <v>D+</v>
      </c>
    </row>
    <row r="781" spans="1:13" x14ac:dyDescent="0.35">
      <c r="A781" s="2" t="s">
        <v>8</v>
      </c>
      <c r="B781" s="2" t="s">
        <v>9</v>
      </c>
      <c r="C781" s="6" t="s">
        <v>23</v>
      </c>
      <c r="D781" s="6" t="s">
        <v>20</v>
      </c>
      <c r="E781" s="6" t="s">
        <v>12</v>
      </c>
      <c r="F781" s="6">
        <v>49</v>
      </c>
      <c r="G781" s="6">
        <v>58</v>
      </c>
      <c r="H781" s="6">
        <v>55</v>
      </c>
      <c r="I781" s="2">
        <f t="shared" si="25"/>
        <v>162</v>
      </c>
      <c r="J781" s="8">
        <f>AVERAGE(Table1[[#This Row],[math score]:[writing score]])</f>
        <v>54</v>
      </c>
      <c r="K781" s="2">
        <f t="shared" si="24"/>
        <v>300</v>
      </c>
      <c r="L781" s="4">
        <f>Table1[[#This Row],[Total Score]]/Table1[[#This Row],[Minimum Mark]]</f>
        <v>0.54</v>
      </c>
      <c r="M781" s="70" t="str">
        <f>_xlfn.XLOOKUP(Table1[[#This Row],[Pass(%)]],O:O,P:P,,-1)</f>
        <v>D+</v>
      </c>
    </row>
    <row r="782" spans="1:13" x14ac:dyDescent="0.35">
      <c r="A782" s="2" t="s">
        <v>8</v>
      </c>
      <c r="B782" s="2" t="s">
        <v>9</v>
      </c>
      <c r="C782" s="6" t="s">
        <v>22</v>
      </c>
      <c r="D782" s="6" t="s">
        <v>11</v>
      </c>
      <c r="E782" s="6" t="s">
        <v>12</v>
      </c>
      <c r="F782" s="6">
        <v>66</v>
      </c>
      <c r="G782" s="6">
        <v>72</v>
      </c>
      <c r="H782" s="6">
        <v>70</v>
      </c>
      <c r="I782" s="2">
        <f t="shared" si="25"/>
        <v>208</v>
      </c>
      <c r="J782" s="8">
        <f>AVERAGE(Table1[[#This Row],[math score]:[writing score]])</f>
        <v>69.333333333333329</v>
      </c>
      <c r="K782" s="2">
        <f t="shared" si="24"/>
        <v>300</v>
      </c>
      <c r="L782" s="4">
        <f>Table1[[#This Row],[Total Score]]/Table1[[#This Row],[Minimum Mark]]</f>
        <v>0.69333333333333336</v>
      </c>
      <c r="M782" s="70" t="str">
        <f>_xlfn.XLOOKUP(Table1[[#This Row],[Pass(%)]],O:O,P:P,,-1)</f>
        <v>D+</v>
      </c>
    </row>
    <row r="783" spans="1:13" x14ac:dyDescent="0.35">
      <c r="A783" s="2" t="s">
        <v>8</v>
      </c>
      <c r="B783" s="2" t="s">
        <v>13</v>
      </c>
      <c r="C783" s="6" t="s">
        <v>14</v>
      </c>
      <c r="D783" s="6" t="s">
        <v>20</v>
      </c>
      <c r="E783" s="6" t="s">
        <v>12</v>
      </c>
      <c r="F783" s="6">
        <v>35</v>
      </c>
      <c r="G783" s="6">
        <v>44</v>
      </c>
      <c r="H783" s="6">
        <v>43</v>
      </c>
      <c r="I783" s="2">
        <f t="shared" si="25"/>
        <v>122</v>
      </c>
      <c r="J783" s="8">
        <f>AVERAGE(Table1[[#This Row],[math score]:[writing score]])</f>
        <v>40.666666666666664</v>
      </c>
      <c r="K783" s="2">
        <f t="shared" si="24"/>
        <v>300</v>
      </c>
      <c r="L783" s="4">
        <f>Table1[[#This Row],[Total Score]]/Table1[[#This Row],[Minimum Mark]]</f>
        <v>0.40666666666666668</v>
      </c>
      <c r="M783" s="70" t="str">
        <f>_xlfn.XLOOKUP(Table1[[#This Row],[Pass(%)]],O:O,P:P,,-1)</f>
        <v>D</v>
      </c>
    </row>
    <row r="784" spans="1:13" x14ac:dyDescent="0.35">
      <c r="A784" s="2" t="s">
        <v>8</v>
      </c>
      <c r="B784" s="2" t="s">
        <v>18</v>
      </c>
      <c r="C784" s="6" t="s">
        <v>14</v>
      </c>
      <c r="D784" s="6" t="s">
        <v>11</v>
      </c>
      <c r="E784" s="6" t="s">
        <v>15</v>
      </c>
      <c r="F784" s="6">
        <v>72</v>
      </c>
      <c r="G784" s="6">
        <v>79</v>
      </c>
      <c r="H784" s="6">
        <v>82</v>
      </c>
      <c r="I784" s="2">
        <f t="shared" si="25"/>
        <v>233</v>
      </c>
      <c r="J784" s="8">
        <f>AVERAGE(Table1[[#This Row],[math score]:[writing score]])</f>
        <v>77.666666666666671</v>
      </c>
      <c r="K784" s="2">
        <f t="shared" si="24"/>
        <v>300</v>
      </c>
      <c r="L784" s="4">
        <f>Table1[[#This Row],[Total Score]]/Table1[[#This Row],[Minimum Mark]]</f>
        <v>0.77666666666666662</v>
      </c>
      <c r="M784" s="70" t="str">
        <f>_xlfn.XLOOKUP(Table1[[#This Row],[Pass(%)]],O:O,P:P,,-1)</f>
        <v>C+</v>
      </c>
    </row>
    <row r="785" spans="1:13" ht="20.5" x14ac:dyDescent="0.8">
      <c r="A785" s="3" t="s">
        <v>17</v>
      </c>
      <c r="B785" s="3" t="s">
        <v>24</v>
      </c>
      <c r="C785" s="7" t="s">
        <v>19</v>
      </c>
      <c r="D785" s="7" t="s">
        <v>11</v>
      </c>
      <c r="E785" s="7" t="s">
        <v>15</v>
      </c>
      <c r="F785" s="7">
        <v>94</v>
      </c>
      <c r="G785" s="7">
        <v>85</v>
      </c>
      <c r="H785" s="7">
        <v>82</v>
      </c>
      <c r="I785" s="3">
        <f t="shared" si="25"/>
        <v>261</v>
      </c>
      <c r="J785" s="14">
        <f>AVERAGE(Table1[[#This Row],[math score]:[writing score]])</f>
        <v>87</v>
      </c>
      <c r="K785" s="3">
        <f t="shared" si="24"/>
        <v>300</v>
      </c>
      <c r="L785" s="5">
        <f>Table1[[#This Row],[Total Score]]/Table1[[#This Row],[Minimum Mark]]</f>
        <v>0.87</v>
      </c>
      <c r="M785" s="71" t="str">
        <f>_xlfn.XLOOKUP(Table1[[#This Row],[Pass(%)]],O:O,P:P,,-1)</f>
        <v>B+</v>
      </c>
    </row>
    <row r="786" spans="1:13" ht="20.5" x14ac:dyDescent="0.8">
      <c r="A786" s="3" t="s">
        <v>8</v>
      </c>
      <c r="B786" s="3" t="s">
        <v>21</v>
      </c>
      <c r="C786" s="7" t="s">
        <v>19</v>
      </c>
      <c r="D786" s="7" t="s">
        <v>20</v>
      </c>
      <c r="E786" s="7" t="s">
        <v>12</v>
      </c>
      <c r="F786" s="7">
        <v>46</v>
      </c>
      <c r="G786" s="7">
        <v>56</v>
      </c>
      <c r="H786" s="7">
        <v>57</v>
      </c>
      <c r="I786" s="3">
        <f t="shared" si="25"/>
        <v>159</v>
      </c>
      <c r="J786" s="14">
        <f>AVERAGE(Table1[[#This Row],[math score]:[writing score]])</f>
        <v>53</v>
      </c>
      <c r="K786" s="3">
        <f t="shared" si="24"/>
        <v>300</v>
      </c>
      <c r="L786" s="5">
        <f>Table1[[#This Row],[Total Score]]/Table1[[#This Row],[Minimum Mark]]</f>
        <v>0.53</v>
      </c>
      <c r="M786" s="71" t="str">
        <f>_xlfn.XLOOKUP(Table1[[#This Row],[Pass(%)]],O:O,P:P,,-1)</f>
        <v>D+</v>
      </c>
    </row>
    <row r="787" spans="1:13" x14ac:dyDescent="0.35">
      <c r="A787" s="2" t="s">
        <v>8</v>
      </c>
      <c r="B787" s="2" t="s">
        <v>9</v>
      </c>
      <c r="C787" s="6" t="s">
        <v>16</v>
      </c>
      <c r="D787" s="6" t="s">
        <v>11</v>
      </c>
      <c r="E787" s="6" t="s">
        <v>12</v>
      </c>
      <c r="F787" s="6">
        <v>77</v>
      </c>
      <c r="G787" s="6">
        <v>90</v>
      </c>
      <c r="H787" s="6">
        <v>84</v>
      </c>
      <c r="I787" s="2">
        <f t="shared" si="25"/>
        <v>251</v>
      </c>
      <c r="J787" s="8">
        <f>AVERAGE(Table1[[#This Row],[math score]:[writing score]])</f>
        <v>83.666666666666671</v>
      </c>
      <c r="K787" s="2">
        <f t="shared" si="24"/>
        <v>300</v>
      </c>
      <c r="L787" s="4">
        <f>Table1[[#This Row],[Total Score]]/Table1[[#This Row],[Minimum Mark]]</f>
        <v>0.83666666666666667</v>
      </c>
      <c r="M787" s="70" t="str">
        <f>_xlfn.XLOOKUP(Table1[[#This Row],[Pass(%)]],O:O,P:P,,-1)</f>
        <v>B</v>
      </c>
    </row>
    <row r="788" spans="1:13" x14ac:dyDescent="0.35">
      <c r="A788" s="2" t="s">
        <v>8</v>
      </c>
      <c r="B788" s="2" t="s">
        <v>9</v>
      </c>
      <c r="C788" s="6" t="s">
        <v>22</v>
      </c>
      <c r="D788" s="6" t="s">
        <v>20</v>
      </c>
      <c r="E788" s="6" t="s">
        <v>15</v>
      </c>
      <c r="F788" s="6">
        <v>76</v>
      </c>
      <c r="G788" s="6">
        <v>85</v>
      </c>
      <c r="H788" s="6">
        <v>82</v>
      </c>
      <c r="I788" s="2">
        <f t="shared" si="25"/>
        <v>243</v>
      </c>
      <c r="J788" s="8">
        <f>AVERAGE(Table1[[#This Row],[math score]:[writing score]])</f>
        <v>81</v>
      </c>
      <c r="K788" s="2">
        <f t="shared" si="24"/>
        <v>300</v>
      </c>
      <c r="L788" s="4">
        <f>Table1[[#This Row],[Total Score]]/Table1[[#This Row],[Minimum Mark]]</f>
        <v>0.81</v>
      </c>
      <c r="M788" s="70" t="str">
        <f>_xlfn.XLOOKUP(Table1[[#This Row],[Pass(%)]],O:O,P:P,,-1)</f>
        <v>B-</v>
      </c>
    </row>
    <row r="789" spans="1:13" ht="20.5" x14ac:dyDescent="0.8">
      <c r="A789" s="3" t="s">
        <v>8</v>
      </c>
      <c r="B789" s="3" t="s">
        <v>13</v>
      </c>
      <c r="C789" s="7" t="s">
        <v>19</v>
      </c>
      <c r="D789" s="7" t="s">
        <v>11</v>
      </c>
      <c r="E789" s="7" t="s">
        <v>15</v>
      </c>
      <c r="F789" s="7">
        <v>52</v>
      </c>
      <c r="G789" s="7">
        <v>59</v>
      </c>
      <c r="H789" s="7">
        <v>62</v>
      </c>
      <c r="I789" s="3">
        <f t="shared" si="25"/>
        <v>173</v>
      </c>
      <c r="J789" s="14">
        <f>AVERAGE(Table1[[#This Row],[math score]:[writing score]])</f>
        <v>57.666666666666664</v>
      </c>
      <c r="K789" s="3">
        <f t="shared" si="24"/>
        <v>300</v>
      </c>
      <c r="L789" s="5">
        <f>Table1[[#This Row],[Total Score]]/Table1[[#This Row],[Minimum Mark]]</f>
        <v>0.57666666666666666</v>
      </c>
      <c r="M789" s="71" t="str">
        <f>_xlfn.XLOOKUP(Table1[[#This Row],[Pass(%)]],O:O,P:P,,-1)</f>
        <v>D+</v>
      </c>
    </row>
    <row r="790" spans="1:13" x14ac:dyDescent="0.35">
      <c r="A790" s="2" t="s">
        <v>17</v>
      </c>
      <c r="B790" s="2" t="s">
        <v>13</v>
      </c>
      <c r="C790" s="6" t="s">
        <v>10</v>
      </c>
      <c r="D790" s="6" t="s">
        <v>11</v>
      </c>
      <c r="E790" s="6" t="s">
        <v>15</v>
      </c>
      <c r="F790" s="6">
        <v>91</v>
      </c>
      <c r="G790" s="6">
        <v>81</v>
      </c>
      <c r="H790" s="6">
        <v>79</v>
      </c>
      <c r="I790" s="2">
        <f t="shared" si="25"/>
        <v>251</v>
      </c>
      <c r="J790" s="8">
        <f>AVERAGE(Table1[[#This Row],[math score]:[writing score]])</f>
        <v>83.666666666666671</v>
      </c>
      <c r="K790" s="2">
        <f t="shared" si="24"/>
        <v>300</v>
      </c>
      <c r="L790" s="4">
        <f>Table1[[#This Row],[Total Score]]/Table1[[#This Row],[Minimum Mark]]</f>
        <v>0.83666666666666667</v>
      </c>
      <c r="M790" s="70" t="str">
        <f>_xlfn.XLOOKUP(Table1[[#This Row],[Pass(%)]],O:O,P:P,,-1)</f>
        <v>B</v>
      </c>
    </row>
    <row r="791" spans="1:13" x14ac:dyDescent="0.35">
      <c r="A791" s="2" t="s">
        <v>8</v>
      </c>
      <c r="B791" s="2" t="s">
        <v>9</v>
      </c>
      <c r="C791" s="6" t="s">
        <v>23</v>
      </c>
      <c r="D791" s="6" t="s">
        <v>11</v>
      </c>
      <c r="E791" s="6" t="s">
        <v>15</v>
      </c>
      <c r="F791" s="6">
        <v>32</v>
      </c>
      <c r="G791" s="6">
        <v>51</v>
      </c>
      <c r="H791" s="6">
        <v>44</v>
      </c>
      <c r="I791" s="2">
        <f t="shared" si="25"/>
        <v>127</v>
      </c>
      <c r="J791" s="8">
        <f>AVERAGE(Table1[[#This Row],[math score]:[writing score]])</f>
        <v>42.333333333333336</v>
      </c>
      <c r="K791" s="2">
        <f t="shared" si="24"/>
        <v>300</v>
      </c>
      <c r="L791" s="4">
        <f>Table1[[#This Row],[Total Score]]/Table1[[#This Row],[Minimum Mark]]</f>
        <v>0.42333333333333334</v>
      </c>
      <c r="M791" s="70" t="str">
        <f>_xlfn.XLOOKUP(Table1[[#This Row],[Pass(%)]],O:O,P:P,,-1)</f>
        <v>D</v>
      </c>
    </row>
    <row r="792" spans="1:13" x14ac:dyDescent="0.35">
      <c r="A792" s="2" t="s">
        <v>8</v>
      </c>
      <c r="B792" s="2" t="s">
        <v>24</v>
      </c>
      <c r="C792" s="6" t="s">
        <v>23</v>
      </c>
      <c r="D792" s="6" t="s">
        <v>20</v>
      </c>
      <c r="E792" s="6" t="s">
        <v>12</v>
      </c>
      <c r="F792" s="6">
        <v>72</v>
      </c>
      <c r="G792" s="6">
        <v>79</v>
      </c>
      <c r="H792" s="6">
        <v>77</v>
      </c>
      <c r="I792" s="2">
        <f t="shared" si="25"/>
        <v>228</v>
      </c>
      <c r="J792" s="8">
        <f>AVERAGE(Table1[[#This Row],[math score]:[writing score]])</f>
        <v>76</v>
      </c>
      <c r="K792" s="2">
        <f t="shared" si="24"/>
        <v>300</v>
      </c>
      <c r="L792" s="4">
        <f>Table1[[#This Row],[Total Score]]/Table1[[#This Row],[Minimum Mark]]</f>
        <v>0.76</v>
      </c>
      <c r="M792" s="70" t="str">
        <f>_xlfn.XLOOKUP(Table1[[#This Row],[Pass(%)]],O:O,P:P,,-1)</f>
        <v>C</v>
      </c>
    </row>
    <row r="793" spans="1:13" x14ac:dyDescent="0.35">
      <c r="A793" s="2" t="s">
        <v>8</v>
      </c>
      <c r="B793" s="2" t="s">
        <v>9</v>
      </c>
      <c r="C793" s="6" t="s">
        <v>14</v>
      </c>
      <c r="D793" s="6" t="s">
        <v>11</v>
      </c>
      <c r="E793" s="6" t="s">
        <v>12</v>
      </c>
      <c r="F793" s="6">
        <v>19</v>
      </c>
      <c r="G793" s="6">
        <v>38</v>
      </c>
      <c r="H793" s="6">
        <v>32</v>
      </c>
      <c r="I793" s="2">
        <f t="shared" si="25"/>
        <v>89</v>
      </c>
      <c r="J793" s="8">
        <f>AVERAGE(Table1[[#This Row],[math score]:[writing score]])</f>
        <v>29.666666666666668</v>
      </c>
      <c r="K793" s="2">
        <f t="shared" si="24"/>
        <v>300</v>
      </c>
      <c r="L793" s="4">
        <f>Table1[[#This Row],[Total Score]]/Table1[[#This Row],[Minimum Mark]]</f>
        <v>0.29666666666666669</v>
      </c>
      <c r="M793" s="70" t="str">
        <f>_xlfn.XLOOKUP(Table1[[#This Row],[Pass(%)]],O:O,P:P,,-1)</f>
        <v>F</v>
      </c>
    </row>
    <row r="794" spans="1:13" ht="20.5" x14ac:dyDescent="0.8">
      <c r="A794" s="3" t="s">
        <v>17</v>
      </c>
      <c r="B794" s="3" t="s">
        <v>13</v>
      </c>
      <c r="C794" s="7" t="s">
        <v>19</v>
      </c>
      <c r="D794" s="7" t="s">
        <v>20</v>
      </c>
      <c r="E794" s="7" t="s">
        <v>12</v>
      </c>
      <c r="F794" s="7">
        <v>68</v>
      </c>
      <c r="G794" s="7">
        <v>65</v>
      </c>
      <c r="H794" s="7">
        <v>61</v>
      </c>
      <c r="I794" s="3">
        <f t="shared" si="25"/>
        <v>194</v>
      </c>
      <c r="J794" s="14">
        <f>AVERAGE(Table1[[#This Row],[math score]:[writing score]])</f>
        <v>64.666666666666671</v>
      </c>
      <c r="K794" s="3">
        <f t="shared" si="24"/>
        <v>300</v>
      </c>
      <c r="L794" s="5">
        <f>Table1[[#This Row],[Total Score]]/Table1[[#This Row],[Minimum Mark]]</f>
        <v>0.64666666666666661</v>
      </c>
      <c r="M794" s="71" t="str">
        <f>_xlfn.XLOOKUP(Table1[[#This Row],[Pass(%)]],O:O,P:P,,-1)</f>
        <v>D+</v>
      </c>
    </row>
    <row r="795" spans="1:13" x14ac:dyDescent="0.35">
      <c r="A795" s="2" t="s">
        <v>8</v>
      </c>
      <c r="B795" s="2" t="s">
        <v>13</v>
      </c>
      <c r="C795" s="6" t="s">
        <v>16</v>
      </c>
      <c r="D795" s="6" t="s">
        <v>20</v>
      </c>
      <c r="E795" s="6" t="s">
        <v>12</v>
      </c>
      <c r="F795" s="6">
        <v>52</v>
      </c>
      <c r="G795" s="6">
        <v>65</v>
      </c>
      <c r="H795" s="6">
        <v>61</v>
      </c>
      <c r="I795" s="2">
        <f t="shared" si="25"/>
        <v>178</v>
      </c>
      <c r="J795" s="8">
        <f>AVERAGE(Table1[[#This Row],[math score]:[writing score]])</f>
        <v>59.333333333333336</v>
      </c>
      <c r="K795" s="2">
        <f t="shared" si="24"/>
        <v>300</v>
      </c>
      <c r="L795" s="4">
        <f>Table1[[#This Row],[Total Score]]/Table1[[#This Row],[Minimum Mark]]</f>
        <v>0.59333333333333338</v>
      </c>
      <c r="M795" s="70" t="str">
        <f>_xlfn.XLOOKUP(Table1[[#This Row],[Pass(%)]],O:O,P:P,,-1)</f>
        <v>D+</v>
      </c>
    </row>
    <row r="796" spans="1:13" x14ac:dyDescent="0.35">
      <c r="A796" s="2" t="s">
        <v>8</v>
      </c>
      <c r="B796" s="2" t="s">
        <v>9</v>
      </c>
      <c r="C796" s="6" t="s">
        <v>22</v>
      </c>
      <c r="D796" s="6" t="s">
        <v>11</v>
      </c>
      <c r="E796" s="6" t="s">
        <v>12</v>
      </c>
      <c r="F796" s="6">
        <v>48</v>
      </c>
      <c r="G796" s="6">
        <v>62</v>
      </c>
      <c r="H796" s="6">
        <v>60</v>
      </c>
      <c r="I796" s="2">
        <f t="shared" si="25"/>
        <v>170</v>
      </c>
      <c r="J796" s="8">
        <f>AVERAGE(Table1[[#This Row],[math score]:[writing score]])</f>
        <v>56.666666666666664</v>
      </c>
      <c r="K796" s="2">
        <f t="shared" si="24"/>
        <v>300</v>
      </c>
      <c r="L796" s="4">
        <f>Table1[[#This Row],[Total Score]]/Table1[[#This Row],[Minimum Mark]]</f>
        <v>0.56666666666666665</v>
      </c>
      <c r="M796" s="70" t="str">
        <f>_xlfn.XLOOKUP(Table1[[#This Row],[Pass(%)]],O:O,P:P,,-1)</f>
        <v>D+</v>
      </c>
    </row>
    <row r="797" spans="1:13" x14ac:dyDescent="0.35">
      <c r="A797" s="2" t="s">
        <v>8</v>
      </c>
      <c r="B797" s="2" t="s">
        <v>21</v>
      </c>
      <c r="C797" s="6" t="s">
        <v>14</v>
      </c>
      <c r="D797" s="6" t="s">
        <v>20</v>
      </c>
      <c r="E797" s="6" t="s">
        <v>12</v>
      </c>
      <c r="F797" s="6">
        <v>60</v>
      </c>
      <c r="G797" s="6">
        <v>66</v>
      </c>
      <c r="H797" s="6">
        <v>70</v>
      </c>
      <c r="I797" s="2">
        <f t="shared" si="25"/>
        <v>196</v>
      </c>
      <c r="J797" s="8">
        <f>AVERAGE(Table1[[#This Row],[math score]:[writing score]])</f>
        <v>65.333333333333329</v>
      </c>
      <c r="K797" s="2">
        <f t="shared" si="24"/>
        <v>300</v>
      </c>
      <c r="L797" s="4">
        <f>Table1[[#This Row],[Total Score]]/Table1[[#This Row],[Minimum Mark]]</f>
        <v>0.65333333333333332</v>
      </c>
      <c r="M797" s="70" t="str">
        <f>_xlfn.XLOOKUP(Table1[[#This Row],[Pass(%)]],O:O,P:P,,-1)</f>
        <v>D+</v>
      </c>
    </row>
    <row r="798" spans="1:13" x14ac:dyDescent="0.35">
      <c r="A798" s="2" t="s">
        <v>17</v>
      </c>
      <c r="B798" s="2" t="s">
        <v>21</v>
      </c>
      <c r="C798" s="6" t="s">
        <v>22</v>
      </c>
      <c r="D798" s="6" t="s">
        <v>20</v>
      </c>
      <c r="E798" s="6" t="s">
        <v>12</v>
      </c>
      <c r="F798" s="6">
        <v>66</v>
      </c>
      <c r="G798" s="6">
        <v>74</v>
      </c>
      <c r="H798" s="6">
        <v>69</v>
      </c>
      <c r="I798" s="2">
        <f t="shared" si="25"/>
        <v>209</v>
      </c>
      <c r="J798" s="8">
        <f>AVERAGE(Table1[[#This Row],[math score]:[writing score]])</f>
        <v>69.666666666666671</v>
      </c>
      <c r="K798" s="2">
        <f t="shared" si="24"/>
        <v>300</v>
      </c>
      <c r="L798" s="4">
        <f>Table1[[#This Row],[Total Score]]/Table1[[#This Row],[Minimum Mark]]</f>
        <v>0.69666666666666666</v>
      </c>
      <c r="M798" s="70" t="str">
        <f>_xlfn.XLOOKUP(Table1[[#This Row],[Pass(%)]],O:O,P:P,,-1)</f>
        <v>D+</v>
      </c>
    </row>
    <row r="799" spans="1:13" x14ac:dyDescent="0.35">
      <c r="A799" s="2" t="s">
        <v>17</v>
      </c>
      <c r="B799" s="2" t="s">
        <v>24</v>
      </c>
      <c r="C799" s="6" t="s">
        <v>23</v>
      </c>
      <c r="D799" s="6" t="s">
        <v>11</v>
      </c>
      <c r="E799" s="6" t="s">
        <v>15</v>
      </c>
      <c r="F799" s="6">
        <v>89</v>
      </c>
      <c r="G799" s="6">
        <v>84</v>
      </c>
      <c r="H799" s="6">
        <v>77</v>
      </c>
      <c r="I799" s="2">
        <f t="shared" si="25"/>
        <v>250</v>
      </c>
      <c r="J799" s="8">
        <f>AVERAGE(Table1[[#This Row],[math score]:[writing score]])</f>
        <v>83.333333333333329</v>
      </c>
      <c r="K799" s="2">
        <f t="shared" si="24"/>
        <v>300</v>
      </c>
      <c r="L799" s="4">
        <f>Table1[[#This Row],[Total Score]]/Table1[[#This Row],[Minimum Mark]]</f>
        <v>0.83333333333333337</v>
      </c>
      <c r="M799" s="70" t="str">
        <f>_xlfn.XLOOKUP(Table1[[#This Row],[Pass(%)]],O:O,P:P,,-1)</f>
        <v>B</v>
      </c>
    </row>
    <row r="800" spans="1:13" x14ac:dyDescent="0.35">
      <c r="A800" s="2" t="s">
        <v>8</v>
      </c>
      <c r="B800" s="2" t="s">
        <v>9</v>
      </c>
      <c r="C800" s="6" t="s">
        <v>22</v>
      </c>
      <c r="D800" s="6" t="s">
        <v>11</v>
      </c>
      <c r="E800" s="6" t="s">
        <v>12</v>
      </c>
      <c r="F800" s="6">
        <v>42</v>
      </c>
      <c r="G800" s="6">
        <v>52</v>
      </c>
      <c r="H800" s="6">
        <v>51</v>
      </c>
      <c r="I800" s="2">
        <f t="shared" si="25"/>
        <v>145</v>
      </c>
      <c r="J800" s="8">
        <f>AVERAGE(Table1[[#This Row],[math score]:[writing score]])</f>
        <v>48.333333333333336</v>
      </c>
      <c r="K800" s="2">
        <f t="shared" si="24"/>
        <v>300</v>
      </c>
      <c r="L800" s="4">
        <f>Table1[[#This Row],[Total Score]]/Table1[[#This Row],[Minimum Mark]]</f>
        <v>0.48333333333333334</v>
      </c>
      <c r="M800" s="70" t="str">
        <f>_xlfn.XLOOKUP(Table1[[#This Row],[Pass(%)]],O:O,P:P,,-1)</f>
        <v>D</v>
      </c>
    </row>
    <row r="801" spans="1:13" ht="20.5" x14ac:dyDescent="0.8">
      <c r="A801" s="3" t="s">
        <v>8</v>
      </c>
      <c r="B801" s="3" t="s">
        <v>24</v>
      </c>
      <c r="C801" s="7" t="s">
        <v>19</v>
      </c>
      <c r="D801" s="7" t="s">
        <v>20</v>
      </c>
      <c r="E801" s="7" t="s">
        <v>15</v>
      </c>
      <c r="F801" s="7">
        <v>57</v>
      </c>
      <c r="G801" s="7">
        <v>68</v>
      </c>
      <c r="H801" s="7">
        <v>73</v>
      </c>
      <c r="I801" s="3">
        <f t="shared" si="25"/>
        <v>198</v>
      </c>
      <c r="J801" s="14">
        <f>AVERAGE(Table1[[#This Row],[math score]:[writing score]])</f>
        <v>66</v>
      </c>
      <c r="K801" s="3">
        <f t="shared" si="24"/>
        <v>300</v>
      </c>
      <c r="L801" s="5">
        <f>Table1[[#This Row],[Total Score]]/Table1[[#This Row],[Minimum Mark]]</f>
        <v>0.66</v>
      </c>
      <c r="M801" s="71" t="str">
        <f>_xlfn.XLOOKUP(Table1[[#This Row],[Pass(%)]],O:O,P:P,,-1)</f>
        <v>D+</v>
      </c>
    </row>
    <row r="802" spans="1:13" x14ac:dyDescent="0.35">
      <c r="A802" s="2" t="s">
        <v>17</v>
      </c>
      <c r="B802" s="2" t="s">
        <v>21</v>
      </c>
      <c r="C802" s="6" t="s">
        <v>22</v>
      </c>
      <c r="D802" s="6" t="s">
        <v>11</v>
      </c>
      <c r="E802" s="6" t="s">
        <v>12</v>
      </c>
      <c r="F802" s="6">
        <v>70</v>
      </c>
      <c r="G802" s="6">
        <v>70</v>
      </c>
      <c r="H802" s="6">
        <v>70</v>
      </c>
      <c r="I802" s="2">
        <f t="shared" si="25"/>
        <v>210</v>
      </c>
      <c r="J802" s="8">
        <f>AVERAGE(Table1[[#This Row],[math score]:[writing score]])</f>
        <v>70</v>
      </c>
      <c r="K802" s="2">
        <f t="shared" si="24"/>
        <v>300</v>
      </c>
      <c r="L802" s="4">
        <f>Table1[[#This Row],[Total Score]]/Table1[[#This Row],[Minimum Mark]]</f>
        <v>0.7</v>
      </c>
      <c r="M802" s="70" t="str">
        <f>_xlfn.XLOOKUP(Table1[[#This Row],[Pass(%)]],O:O,P:P,,-1)</f>
        <v>C-</v>
      </c>
    </row>
    <row r="803" spans="1:13" ht="20.5" x14ac:dyDescent="0.8">
      <c r="A803" s="3" t="s">
        <v>8</v>
      </c>
      <c r="B803" s="3" t="s">
        <v>24</v>
      </c>
      <c r="C803" s="7" t="s">
        <v>19</v>
      </c>
      <c r="D803" s="7" t="s">
        <v>20</v>
      </c>
      <c r="E803" s="7" t="s">
        <v>12</v>
      </c>
      <c r="F803" s="7">
        <v>70</v>
      </c>
      <c r="G803" s="7">
        <v>84</v>
      </c>
      <c r="H803" s="7">
        <v>81</v>
      </c>
      <c r="I803" s="3">
        <f t="shared" si="25"/>
        <v>235</v>
      </c>
      <c r="J803" s="14">
        <f>AVERAGE(Table1[[#This Row],[math score]:[writing score]])</f>
        <v>78.333333333333329</v>
      </c>
      <c r="K803" s="3">
        <f t="shared" si="24"/>
        <v>300</v>
      </c>
      <c r="L803" s="5">
        <f>Table1[[#This Row],[Total Score]]/Table1[[#This Row],[Minimum Mark]]</f>
        <v>0.78333333333333333</v>
      </c>
      <c r="M803" s="71" t="str">
        <f>_xlfn.XLOOKUP(Table1[[#This Row],[Pass(%)]],O:O,P:P,,-1)</f>
        <v>C+</v>
      </c>
    </row>
    <row r="804" spans="1:13" x14ac:dyDescent="0.35">
      <c r="A804" s="2" t="s">
        <v>17</v>
      </c>
      <c r="B804" s="2" t="s">
        <v>24</v>
      </c>
      <c r="C804" s="6" t="s">
        <v>14</v>
      </c>
      <c r="D804" s="6" t="s">
        <v>11</v>
      </c>
      <c r="E804" s="6" t="s">
        <v>12</v>
      </c>
      <c r="F804" s="6">
        <v>69</v>
      </c>
      <c r="G804" s="6">
        <v>60</v>
      </c>
      <c r="H804" s="6">
        <v>54</v>
      </c>
      <c r="I804" s="2">
        <f t="shared" si="25"/>
        <v>183</v>
      </c>
      <c r="J804" s="8">
        <f>AVERAGE(Table1[[#This Row],[math score]:[writing score]])</f>
        <v>61</v>
      </c>
      <c r="K804" s="2">
        <f t="shared" si="24"/>
        <v>300</v>
      </c>
      <c r="L804" s="4">
        <f>Table1[[#This Row],[Total Score]]/Table1[[#This Row],[Minimum Mark]]</f>
        <v>0.61</v>
      </c>
      <c r="M804" s="70" t="str">
        <f>_xlfn.XLOOKUP(Table1[[#This Row],[Pass(%)]],O:O,P:P,,-1)</f>
        <v>D+</v>
      </c>
    </row>
    <row r="805" spans="1:13" ht="20.5" x14ac:dyDescent="0.8">
      <c r="A805" s="3" t="s">
        <v>8</v>
      </c>
      <c r="B805" s="3" t="s">
        <v>13</v>
      </c>
      <c r="C805" s="7" t="s">
        <v>19</v>
      </c>
      <c r="D805" s="7" t="s">
        <v>11</v>
      </c>
      <c r="E805" s="7" t="s">
        <v>12</v>
      </c>
      <c r="F805" s="7">
        <v>52</v>
      </c>
      <c r="G805" s="7">
        <v>55</v>
      </c>
      <c r="H805" s="7">
        <v>57</v>
      </c>
      <c r="I805" s="3">
        <f t="shared" si="25"/>
        <v>164</v>
      </c>
      <c r="J805" s="14">
        <f>AVERAGE(Table1[[#This Row],[math score]:[writing score]])</f>
        <v>54.666666666666664</v>
      </c>
      <c r="K805" s="3">
        <f t="shared" si="24"/>
        <v>300</v>
      </c>
      <c r="L805" s="5">
        <f>Table1[[#This Row],[Total Score]]/Table1[[#This Row],[Minimum Mark]]</f>
        <v>0.54666666666666663</v>
      </c>
      <c r="M805" s="71" t="str">
        <f>_xlfn.XLOOKUP(Table1[[#This Row],[Pass(%)]],O:O,P:P,,-1)</f>
        <v>D+</v>
      </c>
    </row>
    <row r="806" spans="1:13" x14ac:dyDescent="0.35">
      <c r="A806" s="2" t="s">
        <v>17</v>
      </c>
      <c r="B806" s="2" t="s">
        <v>13</v>
      </c>
      <c r="C806" s="6" t="s">
        <v>23</v>
      </c>
      <c r="D806" s="6" t="s">
        <v>11</v>
      </c>
      <c r="E806" s="6" t="s">
        <v>15</v>
      </c>
      <c r="F806" s="6">
        <v>67</v>
      </c>
      <c r="G806" s="6">
        <v>73</v>
      </c>
      <c r="H806" s="6">
        <v>68</v>
      </c>
      <c r="I806" s="2">
        <f t="shared" si="25"/>
        <v>208</v>
      </c>
      <c r="J806" s="8">
        <f>AVERAGE(Table1[[#This Row],[math score]:[writing score]])</f>
        <v>69.333333333333329</v>
      </c>
      <c r="K806" s="2">
        <f t="shared" si="24"/>
        <v>300</v>
      </c>
      <c r="L806" s="4">
        <f>Table1[[#This Row],[Total Score]]/Table1[[#This Row],[Minimum Mark]]</f>
        <v>0.69333333333333336</v>
      </c>
      <c r="M806" s="70" t="str">
        <f>_xlfn.XLOOKUP(Table1[[#This Row],[Pass(%)]],O:O,P:P,,-1)</f>
        <v>D+</v>
      </c>
    </row>
    <row r="807" spans="1:13" x14ac:dyDescent="0.35">
      <c r="A807" s="2" t="s">
        <v>17</v>
      </c>
      <c r="B807" s="2" t="s">
        <v>13</v>
      </c>
      <c r="C807" s="6" t="s">
        <v>23</v>
      </c>
      <c r="D807" s="6" t="s">
        <v>11</v>
      </c>
      <c r="E807" s="6" t="s">
        <v>15</v>
      </c>
      <c r="F807" s="6">
        <v>76</v>
      </c>
      <c r="G807" s="6">
        <v>80</v>
      </c>
      <c r="H807" s="6">
        <v>73</v>
      </c>
      <c r="I807" s="2">
        <f t="shared" si="25"/>
        <v>229</v>
      </c>
      <c r="J807" s="8">
        <f>AVERAGE(Table1[[#This Row],[math score]:[writing score]])</f>
        <v>76.333333333333329</v>
      </c>
      <c r="K807" s="2">
        <f t="shared" si="24"/>
        <v>300</v>
      </c>
      <c r="L807" s="4">
        <f>Table1[[#This Row],[Total Score]]/Table1[[#This Row],[Minimum Mark]]</f>
        <v>0.76333333333333331</v>
      </c>
      <c r="M807" s="70" t="str">
        <f>_xlfn.XLOOKUP(Table1[[#This Row],[Pass(%)]],O:O,P:P,,-1)</f>
        <v>C</v>
      </c>
    </row>
    <row r="808" spans="1:13" ht="20.5" x14ac:dyDescent="0.8">
      <c r="A808" s="3" t="s">
        <v>8</v>
      </c>
      <c r="B808" s="3" t="s">
        <v>24</v>
      </c>
      <c r="C808" s="7" t="s">
        <v>19</v>
      </c>
      <c r="D808" s="7" t="s">
        <v>11</v>
      </c>
      <c r="E808" s="7" t="s">
        <v>12</v>
      </c>
      <c r="F808" s="7">
        <v>87</v>
      </c>
      <c r="G808" s="7">
        <v>94</v>
      </c>
      <c r="H808" s="7">
        <v>95</v>
      </c>
      <c r="I808" s="3">
        <f t="shared" si="25"/>
        <v>276</v>
      </c>
      <c r="J808" s="14">
        <f>AVERAGE(Table1[[#This Row],[math score]:[writing score]])</f>
        <v>92</v>
      </c>
      <c r="K808" s="3">
        <f t="shared" si="24"/>
        <v>300</v>
      </c>
      <c r="L808" s="5">
        <f>Table1[[#This Row],[Total Score]]/Table1[[#This Row],[Minimum Mark]]</f>
        <v>0.92</v>
      </c>
      <c r="M808" s="71" t="str">
        <f>_xlfn.XLOOKUP(Table1[[#This Row],[Pass(%)]],O:O,P:P,,-1)</f>
        <v>A-</v>
      </c>
    </row>
    <row r="809" spans="1:13" x14ac:dyDescent="0.35">
      <c r="A809" s="2" t="s">
        <v>8</v>
      </c>
      <c r="B809" s="2" t="s">
        <v>9</v>
      </c>
      <c r="C809" s="6" t="s">
        <v>14</v>
      </c>
      <c r="D809" s="6" t="s">
        <v>11</v>
      </c>
      <c r="E809" s="6" t="s">
        <v>12</v>
      </c>
      <c r="F809" s="6">
        <v>82</v>
      </c>
      <c r="G809" s="6">
        <v>85</v>
      </c>
      <c r="H809" s="6">
        <v>87</v>
      </c>
      <c r="I809" s="2">
        <f t="shared" si="25"/>
        <v>254</v>
      </c>
      <c r="J809" s="8">
        <f>AVERAGE(Table1[[#This Row],[math score]:[writing score]])</f>
        <v>84.666666666666671</v>
      </c>
      <c r="K809" s="2">
        <f t="shared" si="24"/>
        <v>300</v>
      </c>
      <c r="L809" s="4">
        <f>Table1[[#This Row],[Total Score]]/Table1[[#This Row],[Minimum Mark]]</f>
        <v>0.84666666666666668</v>
      </c>
      <c r="M809" s="70" t="str">
        <f>_xlfn.XLOOKUP(Table1[[#This Row],[Pass(%)]],O:O,P:P,,-1)</f>
        <v>B</v>
      </c>
    </row>
    <row r="810" spans="1:13" x14ac:dyDescent="0.35">
      <c r="A810" s="2" t="s">
        <v>8</v>
      </c>
      <c r="B810" s="2" t="s">
        <v>13</v>
      </c>
      <c r="C810" s="6" t="s">
        <v>14</v>
      </c>
      <c r="D810" s="6" t="s">
        <v>11</v>
      </c>
      <c r="E810" s="6" t="s">
        <v>12</v>
      </c>
      <c r="F810" s="6">
        <v>73</v>
      </c>
      <c r="G810" s="6">
        <v>76</v>
      </c>
      <c r="H810" s="6">
        <v>78</v>
      </c>
      <c r="I810" s="2">
        <f t="shared" si="25"/>
        <v>227</v>
      </c>
      <c r="J810" s="8">
        <f>AVERAGE(Table1[[#This Row],[math score]:[writing score]])</f>
        <v>75.666666666666671</v>
      </c>
      <c r="K810" s="2">
        <f t="shared" si="24"/>
        <v>300</v>
      </c>
      <c r="L810" s="4">
        <f>Table1[[#This Row],[Total Score]]/Table1[[#This Row],[Minimum Mark]]</f>
        <v>0.75666666666666671</v>
      </c>
      <c r="M810" s="70" t="str">
        <f>_xlfn.XLOOKUP(Table1[[#This Row],[Pass(%)]],O:O,P:P,,-1)</f>
        <v>C</v>
      </c>
    </row>
    <row r="811" spans="1:13" x14ac:dyDescent="0.35">
      <c r="A811" s="2" t="s">
        <v>17</v>
      </c>
      <c r="B811" s="2" t="s">
        <v>18</v>
      </c>
      <c r="C811" s="6" t="s">
        <v>14</v>
      </c>
      <c r="D811" s="6" t="s">
        <v>20</v>
      </c>
      <c r="E811" s="6" t="s">
        <v>12</v>
      </c>
      <c r="F811" s="6">
        <v>75</v>
      </c>
      <c r="G811" s="6">
        <v>81</v>
      </c>
      <c r="H811" s="6">
        <v>74</v>
      </c>
      <c r="I811" s="2">
        <f t="shared" si="25"/>
        <v>230</v>
      </c>
      <c r="J811" s="8">
        <f>AVERAGE(Table1[[#This Row],[math score]:[writing score]])</f>
        <v>76.666666666666671</v>
      </c>
      <c r="K811" s="2">
        <f t="shared" si="24"/>
        <v>300</v>
      </c>
      <c r="L811" s="4">
        <f>Table1[[#This Row],[Total Score]]/Table1[[#This Row],[Minimum Mark]]</f>
        <v>0.76666666666666672</v>
      </c>
      <c r="M811" s="70" t="str">
        <f>_xlfn.XLOOKUP(Table1[[#This Row],[Pass(%)]],O:O,P:P,,-1)</f>
        <v>C</v>
      </c>
    </row>
    <row r="812" spans="1:13" x14ac:dyDescent="0.35">
      <c r="A812" s="2" t="s">
        <v>8</v>
      </c>
      <c r="B812" s="2" t="s">
        <v>21</v>
      </c>
      <c r="C812" s="6" t="s">
        <v>14</v>
      </c>
      <c r="D812" s="6" t="s">
        <v>20</v>
      </c>
      <c r="E812" s="6" t="s">
        <v>12</v>
      </c>
      <c r="F812" s="6">
        <v>64</v>
      </c>
      <c r="G812" s="6">
        <v>74</v>
      </c>
      <c r="H812" s="6">
        <v>75</v>
      </c>
      <c r="I812" s="2">
        <f t="shared" si="25"/>
        <v>213</v>
      </c>
      <c r="J812" s="8">
        <f>AVERAGE(Table1[[#This Row],[math score]:[writing score]])</f>
        <v>71</v>
      </c>
      <c r="K812" s="2">
        <f t="shared" si="24"/>
        <v>300</v>
      </c>
      <c r="L812" s="4">
        <f>Table1[[#This Row],[Total Score]]/Table1[[#This Row],[Minimum Mark]]</f>
        <v>0.71</v>
      </c>
      <c r="M812" s="70" t="str">
        <f>_xlfn.XLOOKUP(Table1[[#This Row],[Pass(%)]],O:O,P:P,,-1)</f>
        <v>C-</v>
      </c>
    </row>
    <row r="813" spans="1:13" x14ac:dyDescent="0.35">
      <c r="A813" s="2" t="s">
        <v>8</v>
      </c>
      <c r="B813" s="2" t="s">
        <v>24</v>
      </c>
      <c r="C813" s="6" t="s">
        <v>22</v>
      </c>
      <c r="D813" s="6" t="s">
        <v>20</v>
      </c>
      <c r="E813" s="6" t="s">
        <v>12</v>
      </c>
      <c r="F813" s="6">
        <v>41</v>
      </c>
      <c r="G813" s="6">
        <v>45</v>
      </c>
      <c r="H813" s="6">
        <v>40</v>
      </c>
      <c r="I813" s="2">
        <f t="shared" si="25"/>
        <v>126</v>
      </c>
      <c r="J813" s="8">
        <f>AVERAGE(Table1[[#This Row],[math score]:[writing score]])</f>
        <v>42</v>
      </c>
      <c r="K813" s="2">
        <f t="shared" si="24"/>
        <v>300</v>
      </c>
      <c r="L813" s="4">
        <f>Table1[[#This Row],[Total Score]]/Table1[[#This Row],[Minimum Mark]]</f>
        <v>0.42</v>
      </c>
      <c r="M813" s="70" t="str">
        <f>_xlfn.XLOOKUP(Table1[[#This Row],[Pass(%)]],O:O,P:P,,-1)</f>
        <v>D</v>
      </c>
    </row>
    <row r="814" spans="1:13" x14ac:dyDescent="0.35">
      <c r="A814" s="2" t="s">
        <v>17</v>
      </c>
      <c r="B814" s="2" t="s">
        <v>13</v>
      </c>
      <c r="C814" s="6" t="s">
        <v>22</v>
      </c>
      <c r="D814" s="6" t="s">
        <v>11</v>
      </c>
      <c r="E814" s="6" t="s">
        <v>12</v>
      </c>
      <c r="F814" s="6">
        <v>90</v>
      </c>
      <c r="G814" s="6">
        <v>75</v>
      </c>
      <c r="H814" s="6">
        <v>69</v>
      </c>
      <c r="I814" s="2">
        <f t="shared" si="25"/>
        <v>234</v>
      </c>
      <c r="J814" s="8">
        <f>AVERAGE(Table1[[#This Row],[math score]:[writing score]])</f>
        <v>78</v>
      </c>
      <c r="K814" s="2">
        <f t="shared" si="24"/>
        <v>300</v>
      </c>
      <c r="L814" s="4">
        <f>Table1[[#This Row],[Total Score]]/Table1[[#This Row],[Minimum Mark]]</f>
        <v>0.78</v>
      </c>
      <c r="M814" s="70" t="str">
        <f>_xlfn.XLOOKUP(Table1[[#This Row],[Pass(%)]],O:O,P:P,,-1)</f>
        <v>C+</v>
      </c>
    </row>
    <row r="815" spans="1:13" x14ac:dyDescent="0.35">
      <c r="A815" s="2" t="s">
        <v>17</v>
      </c>
      <c r="B815" s="2" t="s">
        <v>9</v>
      </c>
      <c r="C815" s="6" t="s">
        <v>10</v>
      </c>
      <c r="D815" s="6" t="s">
        <v>11</v>
      </c>
      <c r="E815" s="6" t="s">
        <v>12</v>
      </c>
      <c r="F815" s="6">
        <v>59</v>
      </c>
      <c r="G815" s="6">
        <v>54</v>
      </c>
      <c r="H815" s="6">
        <v>51</v>
      </c>
      <c r="I815" s="2">
        <f t="shared" si="25"/>
        <v>164</v>
      </c>
      <c r="J815" s="8">
        <f>AVERAGE(Table1[[#This Row],[math score]:[writing score]])</f>
        <v>54.666666666666664</v>
      </c>
      <c r="K815" s="2">
        <f t="shared" si="24"/>
        <v>300</v>
      </c>
      <c r="L815" s="4">
        <f>Table1[[#This Row],[Total Score]]/Table1[[#This Row],[Minimum Mark]]</f>
        <v>0.54666666666666663</v>
      </c>
      <c r="M815" s="70" t="str">
        <f>_xlfn.XLOOKUP(Table1[[#This Row],[Pass(%)]],O:O,P:P,,-1)</f>
        <v>D+</v>
      </c>
    </row>
    <row r="816" spans="1:13" x14ac:dyDescent="0.35">
      <c r="A816" s="2" t="s">
        <v>17</v>
      </c>
      <c r="B816" s="2" t="s">
        <v>18</v>
      </c>
      <c r="C816" s="6" t="s">
        <v>23</v>
      </c>
      <c r="D816" s="6" t="s">
        <v>11</v>
      </c>
      <c r="E816" s="6" t="s">
        <v>12</v>
      </c>
      <c r="F816" s="6">
        <v>51</v>
      </c>
      <c r="G816" s="6">
        <v>31</v>
      </c>
      <c r="H816" s="6">
        <v>36</v>
      </c>
      <c r="I816" s="2">
        <f t="shared" si="25"/>
        <v>118</v>
      </c>
      <c r="J816" s="8">
        <f>AVERAGE(Table1[[#This Row],[math score]:[writing score]])</f>
        <v>39.333333333333336</v>
      </c>
      <c r="K816" s="2">
        <f t="shared" si="24"/>
        <v>300</v>
      </c>
      <c r="L816" s="4">
        <f>Table1[[#This Row],[Total Score]]/Table1[[#This Row],[Minimum Mark]]</f>
        <v>0.39333333333333331</v>
      </c>
      <c r="M816" s="70" t="str">
        <f>_xlfn.XLOOKUP(Table1[[#This Row],[Pass(%)]],O:O,P:P,,-1)</f>
        <v>D-</v>
      </c>
    </row>
    <row r="817" spans="1:13" x14ac:dyDescent="0.35">
      <c r="A817" s="2" t="s">
        <v>17</v>
      </c>
      <c r="B817" s="2" t="s">
        <v>18</v>
      </c>
      <c r="C817" s="6" t="s">
        <v>22</v>
      </c>
      <c r="D817" s="6" t="s">
        <v>20</v>
      </c>
      <c r="E817" s="6" t="s">
        <v>12</v>
      </c>
      <c r="F817" s="6">
        <v>45</v>
      </c>
      <c r="G817" s="6">
        <v>47</v>
      </c>
      <c r="H817" s="6">
        <v>49</v>
      </c>
      <c r="I817" s="2">
        <f t="shared" si="25"/>
        <v>141</v>
      </c>
      <c r="J817" s="8">
        <f>AVERAGE(Table1[[#This Row],[math score]:[writing score]])</f>
        <v>47</v>
      </c>
      <c r="K817" s="2">
        <f t="shared" si="24"/>
        <v>300</v>
      </c>
      <c r="L817" s="4">
        <f>Table1[[#This Row],[Total Score]]/Table1[[#This Row],[Minimum Mark]]</f>
        <v>0.47</v>
      </c>
      <c r="M817" s="70" t="str">
        <f>_xlfn.XLOOKUP(Table1[[#This Row],[Pass(%)]],O:O,P:P,,-1)</f>
        <v>D</v>
      </c>
    </row>
    <row r="818" spans="1:13" x14ac:dyDescent="0.35">
      <c r="A818" s="2" t="s">
        <v>8</v>
      </c>
      <c r="B818" s="2" t="s">
        <v>13</v>
      </c>
      <c r="C818" s="6" t="s">
        <v>16</v>
      </c>
      <c r="D818" s="6" t="s">
        <v>11</v>
      </c>
      <c r="E818" s="6" t="s">
        <v>15</v>
      </c>
      <c r="F818" s="6">
        <v>54</v>
      </c>
      <c r="G818" s="6">
        <v>64</v>
      </c>
      <c r="H818" s="6">
        <v>67</v>
      </c>
      <c r="I818" s="2">
        <f t="shared" si="25"/>
        <v>185</v>
      </c>
      <c r="J818" s="8">
        <f>AVERAGE(Table1[[#This Row],[math score]:[writing score]])</f>
        <v>61.666666666666664</v>
      </c>
      <c r="K818" s="2">
        <f t="shared" si="24"/>
        <v>300</v>
      </c>
      <c r="L818" s="4">
        <f>Table1[[#This Row],[Total Score]]/Table1[[#This Row],[Minimum Mark]]</f>
        <v>0.6166666666666667</v>
      </c>
      <c r="M818" s="70" t="str">
        <f>_xlfn.XLOOKUP(Table1[[#This Row],[Pass(%)]],O:O,P:P,,-1)</f>
        <v>D+</v>
      </c>
    </row>
    <row r="819" spans="1:13" x14ac:dyDescent="0.35">
      <c r="A819" s="2" t="s">
        <v>17</v>
      </c>
      <c r="B819" s="2" t="s">
        <v>24</v>
      </c>
      <c r="C819" s="6" t="s">
        <v>23</v>
      </c>
      <c r="D819" s="6" t="s">
        <v>11</v>
      </c>
      <c r="E819" s="6" t="s">
        <v>15</v>
      </c>
      <c r="F819" s="6">
        <v>87</v>
      </c>
      <c r="G819" s="6">
        <v>84</v>
      </c>
      <c r="H819" s="6">
        <v>76</v>
      </c>
      <c r="I819" s="2">
        <f t="shared" si="25"/>
        <v>247</v>
      </c>
      <c r="J819" s="8">
        <f>AVERAGE(Table1[[#This Row],[math score]:[writing score]])</f>
        <v>82.333333333333329</v>
      </c>
      <c r="K819" s="2">
        <f t="shared" si="24"/>
        <v>300</v>
      </c>
      <c r="L819" s="4">
        <f>Table1[[#This Row],[Total Score]]/Table1[[#This Row],[Minimum Mark]]</f>
        <v>0.82333333333333336</v>
      </c>
      <c r="M819" s="70" t="str">
        <f>_xlfn.XLOOKUP(Table1[[#This Row],[Pass(%)]],O:O,P:P,,-1)</f>
        <v>B-</v>
      </c>
    </row>
    <row r="820" spans="1:13" x14ac:dyDescent="0.35">
      <c r="A820" s="2" t="s">
        <v>8</v>
      </c>
      <c r="B820" s="2" t="s">
        <v>13</v>
      </c>
      <c r="C820" s="6" t="s">
        <v>22</v>
      </c>
      <c r="D820" s="6" t="s">
        <v>11</v>
      </c>
      <c r="E820" s="6" t="s">
        <v>12</v>
      </c>
      <c r="F820" s="6">
        <v>72</v>
      </c>
      <c r="G820" s="6">
        <v>80</v>
      </c>
      <c r="H820" s="6">
        <v>83</v>
      </c>
      <c r="I820" s="2">
        <f t="shared" si="25"/>
        <v>235</v>
      </c>
      <c r="J820" s="8">
        <f>AVERAGE(Table1[[#This Row],[math score]:[writing score]])</f>
        <v>78.333333333333329</v>
      </c>
      <c r="K820" s="2">
        <f t="shared" si="24"/>
        <v>300</v>
      </c>
      <c r="L820" s="4">
        <f>Table1[[#This Row],[Total Score]]/Table1[[#This Row],[Minimum Mark]]</f>
        <v>0.78333333333333333</v>
      </c>
      <c r="M820" s="70" t="str">
        <f>_xlfn.XLOOKUP(Table1[[#This Row],[Pass(%)]],O:O,P:P,,-1)</f>
        <v>C+</v>
      </c>
    </row>
    <row r="821" spans="1:13" x14ac:dyDescent="0.35">
      <c r="A821" s="2" t="s">
        <v>17</v>
      </c>
      <c r="B821" s="2" t="s">
        <v>9</v>
      </c>
      <c r="C821" s="6" t="s">
        <v>23</v>
      </c>
      <c r="D821" s="6" t="s">
        <v>11</v>
      </c>
      <c r="E821" s="6" t="s">
        <v>15</v>
      </c>
      <c r="F821" s="6">
        <v>94</v>
      </c>
      <c r="G821" s="6">
        <v>86</v>
      </c>
      <c r="H821" s="6">
        <v>87</v>
      </c>
      <c r="I821" s="2">
        <f t="shared" si="25"/>
        <v>267</v>
      </c>
      <c r="J821" s="8">
        <f>AVERAGE(Table1[[#This Row],[math score]:[writing score]])</f>
        <v>89</v>
      </c>
      <c r="K821" s="2">
        <f t="shared" si="24"/>
        <v>300</v>
      </c>
      <c r="L821" s="4">
        <f>Table1[[#This Row],[Total Score]]/Table1[[#This Row],[Minimum Mark]]</f>
        <v>0.89</v>
      </c>
      <c r="M821" s="70" t="str">
        <f>_xlfn.XLOOKUP(Table1[[#This Row],[Pass(%)]],O:O,P:P,,-1)</f>
        <v>B+</v>
      </c>
    </row>
    <row r="822" spans="1:13" x14ac:dyDescent="0.35">
      <c r="A822" s="2" t="s">
        <v>8</v>
      </c>
      <c r="B822" s="2" t="s">
        <v>18</v>
      </c>
      <c r="C822" s="6" t="s">
        <v>10</v>
      </c>
      <c r="D822" s="6" t="s">
        <v>11</v>
      </c>
      <c r="E822" s="6" t="s">
        <v>12</v>
      </c>
      <c r="F822" s="6">
        <v>45</v>
      </c>
      <c r="G822" s="6">
        <v>59</v>
      </c>
      <c r="H822" s="6">
        <v>64</v>
      </c>
      <c r="I822" s="2">
        <f t="shared" si="25"/>
        <v>168</v>
      </c>
      <c r="J822" s="8">
        <f>AVERAGE(Table1[[#This Row],[math score]:[writing score]])</f>
        <v>56</v>
      </c>
      <c r="K822" s="2">
        <f t="shared" si="24"/>
        <v>300</v>
      </c>
      <c r="L822" s="4">
        <f>Table1[[#This Row],[Total Score]]/Table1[[#This Row],[Minimum Mark]]</f>
        <v>0.56000000000000005</v>
      </c>
      <c r="M822" s="70" t="str">
        <f>_xlfn.XLOOKUP(Table1[[#This Row],[Pass(%)]],O:O,P:P,,-1)</f>
        <v>D+</v>
      </c>
    </row>
    <row r="823" spans="1:13" x14ac:dyDescent="0.35">
      <c r="A823" s="2" t="s">
        <v>17</v>
      </c>
      <c r="B823" s="2" t="s">
        <v>21</v>
      </c>
      <c r="C823" s="6" t="s">
        <v>10</v>
      </c>
      <c r="D823" s="6" t="s">
        <v>20</v>
      </c>
      <c r="E823" s="6" t="s">
        <v>15</v>
      </c>
      <c r="F823" s="6">
        <v>61</v>
      </c>
      <c r="G823" s="6">
        <v>70</v>
      </c>
      <c r="H823" s="6">
        <v>76</v>
      </c>
      <c r="I823" s="2">
        <f t="shared" si="25"/>
        <v>207</v>
      </c>
      <c r="J823" s="8">
        <f>AVERAGE(Table1[[#This Row],[math score]:[writing score]])</f>
        <v>69</v>
      </c>
      <c r="K823" s="2">
        <f t="shared" si="24"/>
        <v>300</v>
      </c>
      <c r="L823" s="4">
        <f>Table1[[#This Row],[Total Score]]/Table1[[#This Row],[Minimum Mark]]</f>
        <v>0.69</v>
      </c>
      <c r="M823" s="70" t="str">
        <f>_xlfn.XLOOKUP(Table1[[#This Row],[Pass(%)]],O:O,P:P,,-1)</f>
        <v>D+</v>
      </c>
    </row>
    <row r="824" spans="1:13" x14ac:dyDescent="0.35">
      <c r="A824" s="2" t="s">
        <v>8</v>
      </c>
      <c r="B824" s="2" t="s">
        <v>9</v>
      </c>
      <c r="C824" s="6" t="s">
        <v>22</v>
      </c>
      <c r="D824" s="6" t="s">
        <v>20</v>
      </c>
      <c r="E824" s="6" t="s">
        <v>12</v>
      </c>
      <c r="F824" s="6">
        <v>60</v>
      </c>
      <c r="G824" s="6">
        <v>72</v>
      </c>
      <c r="H824" s="6">
        <v>68</v>
      </c>
      <c r="I824" s="2">
        <f t="shared" si="25"/>
        <v>200</v>
      </c>
      <c r="J824" s="8">
        <f>AVERAGE(Table1[[#This Row],[math score]:[writing score]])</f>
        <v>66.666666666666671</v>
      </c>
      <c r="K824" s="2">
        <f t="shared" si="24"/>
        <v>300</v>
      </c>
      <c r="L824" s="4">
        <f>Table1[[#This Row],[Total Score]]/Table1[[#This Row],[Minimum Mark]]</f>
        <v>0.66666666666666663</v>
      </c>
      <c r="M824" s="70" t="str">
        <f>_xlfn.XLOOKUP(Table1[[#This Row],[Pass(%)]],O:O,P:P,,-1)</f>
        <v>D+</v>
      </c>
    </row>
    <row r="825" spans="1:13" x14ac:dyDescent="0.35">
      <c r="A825" s="2" t="s">
        <v>8</v>
      </c>
      <c r="B825" s="2" t="s">
        <v>13</v>
      </c>
      <c r="C825" s="6" t="s">
        <v>23</v>
      </c>
      <c r="D825" s="6" t="s">
        <v>11</v>
      </c>
      <c r="E825" s="6" t="s">
        <v>12</v>
      </c>
      <c r="F825" s="6">
        <v>77</v>
      </c>
      <c r="G825" s="6">
        <v>91</v>
      </c>
      <c r="H825" s="6">
        <v>88</v>
      </c>
      <c r="I825" s="2">
        <f t="shared" si="25"/>
        <v>256</v>
      </c>
      <c r="J825" s="8">
        <f>AVERAGE(Table1[[#This Row],[math score]:[writing score]])</f>
        <v>85.333333333333329</v>
      </c>
      <c r="K825" s="2">
        <f t="shared" si="24"/>
        <v>300</v>
      </c>
      <c r="L825" s="4">
        <f>Table1[[#This Row],[Total Score]]/Table1[[#This Row],[Minimum Mark]]</f>
        <v>0.85333333333333339</v>
      </c>
      <c r="M825" s="70" t="str">
        <f>_xlfn.XLOOKUP(Table1[[#This Row],[Pass(%)]],O:O,P:P,,-1)</f>
        <v>B</v>
      </c>
    </row>
    <row r="826" spans="1:13" x14ac:dyDescent="0.35">
      <c r="A826" s="2" t="s">
        <v>8</v>
      </c>
      <c r="B826" s="2" t="s">
        <v>18</v>
      </c>
      <c r="C826" s="6" t="s">
        <v>23</v>
      </c>
      <c r="D826" s="6" t="s">
        <v>11</v>
      </c>
      <c r="E826" s="6" t="s">
        <v>15</v>
      </c>
      <c r="F826" s="6">
        <v>85</v>
      </c>
      <c r="G826" s="6">
        <v>90</v>
      </c>
      <c r="H826" s="6">
        <v>92</v>
      </c>
      <c r="I826" s="2">
        <f t="shared" si="25"/>
        <v>267</v>
      </c>
      <c r="J826" s="8">
        <f>AVERAGE(Table1[[#This Row],[math score]:[writing score]])</f>
        <v>89</v>
      </c>
      <c r="K826" s="2">
        <f t="shared" si="24"/>
        <v>300</v>
      </c>
      <c r="L826" s="4">
        <f>Table1[[#This Row],[Total Score]]/Table1[[#This Row],[Minimum Mark]]</f>
        <v>0.89</v>
      </c>
      <c r="M826" s="70" t="str">
        <f>_xlfn.XLOOKUP(Table1[[#This Row],[Pass(%)]],O:O,P:P,,-1)</f>
        <v>B+</v>
      </c>
    </row>
    <row r="827" spans="1:13" x14ac:dyDescent="0.35">
      <c r="A827" s="2" t="s">
        <v>8</v>
      </c>
      <c r="B827" s="2" t="s">
        <v>21</v>
      </c>
      <c r="C827" s="6" t="s">
        <v>10</v>
      </c>
      <c r="D827" s="6" t="s">
        <v>20</v>
      </c>
      <c r="E827" s="6" t="s">
        <v>12</v>
      </c>
      <c r="F827" s="6">
        <v>78</v>
      </c>
      <c r="G827" s="6">
        <v>90</v>
      </c>
      <c r="H827" s="6">
        <v>93</v>
      </c>
      <c r="I827" s="2">
        <f t="shared" si="25"/>
        <v>261</v>
      </c>
      <c r="J827" s="8">
        <f>AVERAGE(Table1[[#This Row],[math score]:[writing score]])</f>
        <v>87</v>
      </c>
      <c r="K827" s="2">
        <f t="shared" si="24"/>
        <v>300</v>
      </c>
      <c r="L827" s="4">
        <f>Table1[[#This Row],[Total Score]]/Table1[[#This Row],[Minimum Mark]]</f>
        <v>0.87</v>
      </c>
      <c r="M827" s="70" t="str">
        <f>_xlfn.XLOOKUP(Table1[[#This Row],[Pass(%)]],O:O,P:P,,-1)</f>
        <v>B+</v>
      </c>
    </row>
    <row r="828" spans="1:13" x14ac:dyDescent="0.35">
      <c r="A828" s="2" t="s">
        <v>17</v>
      </c>
      <c r="B828" s="2" t="s">
        <v>24</v>
      </c>
      <c r="C828" s="6" t="s">
        <v>14</v>
      </c>
      <c r="D828" s="6" t="s">
        <v>20</v>
      </c>
      <c r="E828" s="6" t="s">
        <v>15</v>
      </c>
      <c r="F828" s="6">
        <v>49</v>
      </c>
      <c r="G828" s="6">
        <v>52</v>
      </c>
      <c r="H828" s="6">
        <v>51</v>
      </c>
      <c r="I828" s="2">
        <f t="shared" si="25"/>
        <v>152</v>
      </c>
      <c r="J828" s="8">
        <f>AVERAGE(Table1[[#This Row],[math score]:[writing score]])</f>
        <v>50.666666666666664</v>
      </c>
      <c r="K828" s="2">
        <f t="shared" si="24"/>
        <v>300</v>
      </c>
      <c r="L828" s="4">
        <f>Table1[[#This Row],[Total Score]]/Table1[[#This Row],[Minimum Mark]]</f>
        <v>0.50666666666666671</v>
      </c>
      <c r="M828" s="70" t="str">
        <f>_xlfn.XLOOKUP(Table1[[#This Row],[Pass(%)]],O:O,P:P,,-1)</f>
        <v>D</v>
      </c>
    </row>
    <row r="829" spans="1:13" x14ac:dyDescent="0.35">
      <c r="A829" s="2" t="s">
        <v>8</v>
      </c>
      <c r="B829" s="2" t="s">
        <v>9</v>
      </c>
      <c r="C829" s="6" t="s">
        <v>22</v>
      </c>
      <c r="D829" s="6" t="s">
        <v>20</v>
      </c>
      <c r="E829" s="6" t="s">
        <v>12</v>
      </c>
      <c r="F829" s="6">
        <v>71</v>
      </c>
      <c r="G829" s="6">
        <v>87</v>
      </c>
      <c r="H829" s="6">
        <v>82</v>
      </c>
      <c r="I829" s="2">
        <f t="shared" si="25"/>
        <v>240</v>
      </c>
      <c r="J829" s="8">
        <f>AVERAGE(Table1[[#This Row],[math score]:[writing score]])</f>
        <v>80</v>
      </c>
      <c r="K829" s="2">
        <f t="shared" si="24"/>
        <v>300</v>
      </c>
      <c r="L829" s="4">
        <f>Table1[[#This Row],[Total Score]]/Table1[[#This Row],[Minimum Mark]]</f>
        <v>0.8</v>
      </c>
      <c r="M829" s="70" t="str">
        <f>_xlfn.XLOOKUP(Table1[[#This Row],[Pass(%)]],O:O,P:P,,-1)</f>
        <v>B-</v>
      </c>
    </row>
    <row r="830" spans="1:13" x14ac:dyDescent="0.35">
      <c r="A830" s="2" t="s">
        <v>8</v>
      </c>
      <c r="B830" s="2" t="s">
        <v>13</v>
      </c>
      <c r="C830" s="6" t="s">
        <v>23</v>
      </c>
      <c r="D830" s="6" t="s">
        <v>20</v>
      </c>
      <c r="E830" s="6" t="s">
        <v>12</v>
      </c>
      <c r="F830" s="6">
        <v>48</v>
      </c>
      <c r="G830" s="6">
        <v>58</v>
      </c>
      <c r="H830" s="6">
        <v>52</v>
      </c>
      <c r="I830" s="2">
        <f t="shared" si="25"/>
        <v>158</v>
      </c>
      <c r="J830" s="8">
        <f>AVERAGE(Table1[[#This Row],[math score]:[writing score]])</f>
        <v>52.666666666666664</v>
      </c>
      <c r="K830" s="2">
        <f t="shared" si="24"/>
        <v>300</v>
      </c>
      <c r="L830" s="4">
        <f>Table1[[#This Row],[Total Score]]/Table1[[#This Row],[Minimum Mark]]</f>
        <v>0.52666666666666662</v>
      </c>
      <c r="M830" s="70" t="str">
        <f>_xlfn.XLOOKUP(Table1[[#This Row],[Pass(%)]],O:O,P:P,,-1)</f>
        <v>D</v>
      </c>
    </row>
    <row r="831" spans="1:13" x14ac:dyDescent="0.35">
      <c r="A831" s="2" t="s">
        <v>17</v>
      </c>
      <c r="B831" s="2" t="s">
        <v>13</v>
      </c>
      <c r="C831" s="6" t="s">
        <v>22</v>
      </c>
      <c r="D831" s="6" t="s">
        <v>11</v>
      </c>
      <c r="E831" s="6" t="s">
        <v>12</v>
      </c>
      <c r="F831" s="6">
        <v>62</v>
      </c>
      <c r="G831" s="6">
        <v>67</v>
      </c>
      <c r="H831" s="6">
        <v>58</v>
      </c>
      <c r="I831" s="2">
        <f t="shared" si="25"/>
        <v>187</v>
      </c>
      <c r="J831" s="8">
        <f>AVERAGE(Table1[[#This Row],[math score]:[writing score]])</f>
        <v>62.333333333333336</v>
      </c>
      <c r="K831" s="2">
        <f t="shared" si="24"/>
        <v>300</v>
      </c>
      <c r="L831" s="4">
        <f>Table1[[#This Row],[Total Score]]/Table1[[#This Row],[Minimum Mark]]</f>
        <v>0.62333333333333329</v>
      </c>
      <c r="M831" s="70" t="str">
        <f>_xlfn.XLOOKUP(Table1[[#This Row],[Pass(%)]],O:O,P:P,,-1)</f>
        <v>D+</v>
      </c>
    </row>
    <row r="832" spans="1:13" ht="20.5" x14ac:dyDescent="0.8">
      <c r="A832" s="3" t="s">
        <v>8</v>
      </c>
      <c r="B832" s="3" t="s">
        <v>13</v>
      </c>
      <c r="C832" s="7" t="s">
        <v>19</v>
      </c>
      <c r="D832" s="7" t="s">
        <v>20</v>
      </c>
      <c r="E832" s="7" t="s">
        <v>15</v>
      </c>
      <c r="F832" s="7">
        <v>56</v>
      </c>
      <c r="G832" s="7">
        <v>68</v>
      </c>
      <c r="H832" s="7">
        <v>70</v>
      </c>
      <c r="I832" s="3">
        <f t="shared" si="25"/>
        <v>194</v>
      </c>
      <c r="J832" s="14">
        <f>AVERAGE(Table1[[#This Row],[math score]:[writing score]])</f>
        <v>64.666666666666671</v>
      </c>
      <c r="K832" s="3">
        <f t="shared" si="24"/>
        <v>300</v>
      </c>
      <c r="L832" s="5">
        <f>Table1[[#This Row],[Total Score]]/Table1[[#This Row],[Minimum Mark]]</f>
        <v>0.64666666666666661</v>
      </c>
      <c r="M832" s="71" t="str">
        <f>_xlfn.XLOOKUP(Table1[[#This Row],[Pass(%)]],O:O,P:P,,-1)</f>
        <v>D+</v>
      </c>
    </row>
    <row r="833" spans="1:13" x14ac:dyDescent="0.35">
      <c r="A833" s="2" t="s">
        <v>8</v>
      </c>
      <c r="B833" s="2" t="s">
        <v>13</v>
      </c>
      <c r="C833" s="6" t="s">
        <v>23</v>
      </c>
      <c r="D833" s="6" t="s">
        <v>11</v>
      </c>
      <c r="E833" s="6" t="s">
        <v>12</v>
      </c>
      <c r="F833" s="6">
        <v>65</v>
      </c>
      <c r="G833" s="6">
        <v>69</v>
      </c>
      <c r="H833" s="6">
        <v>76</v>
      </c>
      <c r="I833" s="2">
        <f t="shared" si="25"/>
        <v>210</v>
      </c>
      <c r="J833" s="8">
        <f>AVERAGE(Table1[[#This Row],[math score]:[writing score]])</f>
        <v>70</v>
      </c>
      <c r="K833" s="2">
        <f t="shared" si="24"/>
        <v>300</v>
      </c>
      <c r="L833" s="4">
        <f>Table1[[#This Row],[Total Score]]/Table1[[#This Row],[Minimum Mark]]</f>
        <v>0.7</v>
      </c>
      <c r="M833" s="70" t="str">
        <f>_xlfn.XLOOKUP(Table1[[#This Row],[Pass(%)]],O:O,P:P,,-1)</f>
        <v>C-</v>
      </c>
    </row>
    <row r="834" spans="1:13" x14ac:dyDescent="0.35">
      <c r="A834" s="2" t="s">
        <v>8</v>
      </c>
      <c r="B834" s="2" t="s">
        <v>21</v>
      </c>
      <c r="C834" s="6" t="s">
        <v>23</v>
      </c>
      <c r="D834" s="6" t="s">
        <v>20</v>
      </c>
      <c r="E834" s="6" t="s">
        <v>15</v>
      </c>
      <c r="F834" s="6">
        <v>69</v>
      </c>
      <c r="G834" s="6">
        <v>86</v>
      </c>
      <c r="H834" s="6">
        <v>81</v>
      </c>
      <c r="I834" s="2">
        <f t="shared" si="25"/>
        <v>236</v>
      </c>
      <c r="J834" s="8">
        <f>AVERAGE(Table1[[#This Row],[math score]:[writing score]])</f>
        <v>78.666666666666671</v>
      </c>
      <c r="K834" s="2">
        <f t="shared" si="24"/>
        <v>300</v>
      </c>
      <c r="L834" s="4">
        <f>Table1[[#This Row],[Total Score]]/Table1[[#This Row],[Minimum Mark]]</f>
        <v>0.78666666666666663</v>
      </c>
      <c r="M834" s="70" t="str">
        <f>_xlfn.XLOOKUP(Table1[[#This Row],[Pass(%)]],O:O,P:P,,-1)</f>
        <v>C+</v>
      </c>
    </row>
    <row r="835" spans="1:13" x14ac:dyDescent="0.35">
      <c r="A835" s="2" t="s">
        <v>17</v>
      </c>
      <c r="B835" s="2" t="s">
        <v>9</v>
      </c>
      <c r="C835" s="6" t="s">
        <v>23</v>
      </c>
      <c r="D835" s="6" t="s">
        <v>11</v>
      </c>
      <c r="E835" s="6" t="s">
        <v>12</v>
      </c>
      <c r="F835" s="6">
        <v>68</v>
      </c>
      <c r="G835" s="6">
        <v>54</v>
      </c>
      <c r="H835" s="6">
        <v>53</v>
      </c>
      <c r="I835" s="2">
        <f t="shared" si="25"/>
        <v>175</v>
      </c>
      <c r="J835" s="8">
        <f>AVERAGE(Table1[[#This Row],[math score]:[writing score]])</f>
        <v>58.333333333333336</v>
      </c>
      <c r="K835" s="2">
        <f t="shared" si="24"/>
        <v>300</v>
      </c>
      <c r="L835" s="4">
        <f>Table1[[#This Row],[Total Score]]/Table1[[#This Row],[Minimum Mark]]</f>
        <v>0.58333333333333337</v>
      </c>
      <c r="M835" s="70" t="str">
        <f>_xlfn.XLOOKUP(Table1[[#This Row],[Pass(%)]],O:O,P:P,,-1)</f>
        <v>D+</v>
      </c>
    </row>
    <row r="836" spans="1:13" x14ac:dyDescent="0.35">
      <c r="A836" s="2" t="s">
        <v>8</v>
      </c>
      <c r="B836" s="2" t="s">
        <v>18</v>
      </c>
      <c r="C836" s="6" t="s">
        <v>14</v>
      </c>
      <c r="D836" s="6" t="s">
        <v>20</v>
      </c>
      <c r="E836" s="6" t="s">
        <v>12</v>
      </c>
      <c r="F836" s="6">
        <v>61</v>
      </c>
      <c r="G836" s="6">
        <v>60</v>
      </c>
      <c r="H836" s="6">
        <v>57</v>
      </c>
      <c r="I836" s="2">
        <f t="shared" si="25"/>
        <v>178</v>
      </c>
      <c r="J836" s="8">
        <f>AVERAGE(Table1[[#This Row],[math score]:[writing score]])</f>
        <v>59.333333333333336</v>
      </c>
      <c r="K836" s="2">
        <f t="shared" si="24"/>
        <v>300</v>
      </c>
      <c r="L836" s="4">
        <f>Table1[[#This Row],[Total Score]]/Table1[[#This Row],[Minimum Mark]]</f>
        <v>0.59333333333333338</v>
      </c>
      <c r="M836" s="70" t="str">
        <f>_xlfn.XLOOKUP(Table1[[#This Row],[Pass(%)]],O:O,P:P,,-1)</f>
        <v>D+</v>
      </c>
    </row>
    <row r="837" spans="1:13" x14ac:dyDescent="0.35">
      <c r="A837" s="2" t="s">
        <v>8</v>
      </c>
      <c r="B837" s="2" t="s">
        <v>13</v>
      </c>
      <c r="C837" s="6" t="s">
        <v>10</v>
      </c>
      <c r="D837" s="6" t="s">
        <v>20</v>
      </c>
      <c r="E837" s="6" t="s">
        <v>15</v>
      </c>
      <c r="F837" s="6">
        <v>74</v>
      </c>
      <c r="G837" s="6">
        <v>86</v>
      </c>
      <c r="H837" s="6">
        <v>89</v>
      </c>
      <c r="I837" s="2">
        <f t="shared" si="25"/>
        <v>249</v>
      </c>
      <c r="J837" s="8">
        <f>AVERAGE(Table1[[#This Row],[math score]:[writing score]])</f>
        <v>83</v>
      </c>
      <c r="K837" s="2">
        <f t="shared" si="24"/>
        <v>300</v>
      </c>
      <c r="L837" s="4">
        <f>Table1[[#This Row],[Total Score]]/Table1[[#This Row],[Minimum Mark]]</f>
        <v>0.83</v>
      </c>
      <c r="M837" s="70" t="str">
        <f>_xlfn.XLOOKUP(Table1[[#This Row],[Pass(%)]],O:O,P:P,,-1)</f>
        <v>B</v>
      </c>
    </row>
    <row r="838" spans="1:13" x14ac:dyDescent="0.35">
      <c r="A838" s="2" t="s">
        <v>17</v>
      </c>
      <c r="B838" s="2" t="s">
        <v>18</v>
      </c>
      <c r="C838" s="6" t="s">
        <v>10</v>
      </c>
      <c r="D838" s="6" t="s">
        <v>11</v>
      </c>
      <c r="E838" s="6" t="s">
        <v>12</v>
      </c>
      <c r="F838" s="6">
        <v>64</v>
      </c>
      <c r="G838" s="6">
        <v>60</v>
      </c>
      <c r="H838" s="6">
        <v>58</v>
      </c>
      <c r="I838" s="2">
        <f t="shared" si="25"/>
        <v>182</v>
      </c>
      <c r="J838" s="8">
        <f>AVERAGE(Table1[[#This Row],[math score]:[writing score]])</f>
        <v>60.666666666666664</v>
      </c>
      <c r="K838" s="2">
        <f t="shared" ref="K838:K901" si="26">3*100</f>
        <v>300</v>
      </c>
      <c r="L838" s="4">
        <f>Table1[[#This Row],[Total Score]]/Table1[[#This Row],[Minimum Mark]]</f>
        <v>0.60666666666666669</v>
      </c>
      <c r="M838" s="70" t="str">
        <f>_xlfn.XLOOKUP(Table1[[#This Row],[Pass(%)]],O:O,P:P,,-1)</f>
        <v>D+</v>
      </c>
    </row>
    <row r="839" spans="1:13" x14ac:dyDescent="0.35">
      <c r="A839" s="2" t="s">
        <v>8</v>
      </c>
      <c r="B839" s="2" t="s">
        <v>9</v>
      </c>
      <c r="C839" s="6" t="s">
        <v>22</v>
      </c>
      <c r="D839" s="6" t="s">
        <v>11</v>
      </c>
      <c r="E839" s="6" t="s">
        <v>15</v>
      </c>
      <c r="F839" s="6">
        <v>77</v>
      </c>
      <c r="G839" s="6">
        <v>82</v>
      </c>
      <c r="H839" s="6">
        <v>89</v>
      </c>
      <c r="I839" s="2">
        <f t="shared" ref="I839:I902" si="27">SUM(F839:H839)</f>
        <v>248</v>
      </c>
      <c r="J839" s="8">
        <f>AVERAGE(Table1[[#This Row],[math score]:[writing score]])</f>
        <v>82.666666666666671</v>
      </c>
      <c r="K839" s="2">
        <f t="shared" si="26"/>
        <v>300</v>
      </c>
      <c r="L839" s="4">
        <f>Table1[[#This Row],[Total Score]]/Table1[[#This Row],[Minimum Mark]]</f>
        <v>0.82666666666666666</v>
      </c>
      <c r="M839" s="70" t="str">
        <f>_xlfn.XLOOKUP(Table1[[#This Row],[Pass(%)]],O:O,P:P,,-1)</f>
        <v>B-</v>
      </c>
    </row>
    <row r="840" spans="1:13" x14ac:dyDescent="0.35">
      <c r="A840" s="2" t="s">
        <v>17</v>
      </c>
      <c r="B840" s="2" t="s">
        <v>9</v>
      </c>
      <c r="C840" s="6" t="s">
        <v>14</v>
      </c>
      <c r="D840" s="6" t="s">
        <v>11</v>
      </c>
      <c r="E840" s="6" t="s">
        <v>12</v>
      </c>
      <c r="F840" s="6">
        <v>58</v>
      </c>
      <c r="G840" s="6">
        <v>50</v>
      </c>
      <c r="H840" s="6">
        <v>45</v>
      </c>
      <c r="I840" s="2">
        <f t="shared" si="27"/>
        <v>153</v>
      </c>
      <c r="J840" s="8">
        <f>AVERAGE(Table1[[#This Row],[math score]:[writing score]])</f>
        <v>51</v>
      </c>
      <c r="K840" s="2">
        <f t="shared" si="26"/>
        <v>300</v>
      </c>
      <c r="L840" s="4">
        <f>Table1[[#This Row],[Total Score]]/Table1[[#This Row],[Minimum Mark]]</f>
        <v>0.51</v>
      </c>
      <c r="M840" s="70" t="str">
        <f>_xlfn.XLOOKUP(Table1[[#This Row],[Pass(%)]],O:O,P:P,,-1)</f>
        <v>D</v>
      </c>
    </row>
    <row r="841" spans="1:13" x14ac:dyDescent="0.35">
      <c r="A841" s="2" t="s">
        <v>8</v>
      </c>
      <c r="B841" s="2" t="s">
        <v>13</v>
      </c>
      <c r="C841" s="6" t="s">
        <v>22</v>
      </c>
      <c r="D841" s="6" t="s">
        <v>11</v>
      </c>
      <c r="E841" s="6" t="s">
        <v>15</v>
      </c>
      <c r="F841" s="6">
        <v>60</v>
      </c>
      <c r="G841" s="6">
        <v>64</v>
      </c>
      <c r="H841" s="6">
        <v>74</v>
      </c>
      <c r="I841" s="2">
        <f t="shared" si="27"/>
        <v>198</v>
      </c>
      <c r="J841" s="8">
        <f>AVERAGE(Table1[[#This Row],[math score]:[writing score]])</f>
        <v>66</v>
      </c>
      <c r="K841" s="2">
        <f t="shared" si="26"/>
        <v>300</v>
      </c>
      <c r="L841" s="4">
        <f>Table1[[#This Row],[Total Score]]/Table1[[#This Row],[Minimum Mark]]</f>
        <v>0.66</v>
      </c>
      <c r="M841" s="70" t="str">
        <f>_xlfn.XLOOKUP(Table1[[#This Row],[Pass(%)]],O:O,P:P,,-1)</f>
        <v>D+</v>
      </c>
    </row>
    <row r="842" spans="1:13" x14ac:dyDescent="0.35">
      <c r="A842" s="2" t="s">
        <v>17</v>
      </c>
      <c r="B842" s="2" t="s">
        <v>24</v>
      </c>
      <c r="C842" s="6" t="s">
        <v>22</v>
      </c>
      <c r="D842" s="6" t="s">
        <v>11</v>
      </c>
      <c r="E842" s="6" t="s">
        <v>12</v>
      </c>
      <c r="F842" s="6">
        <v>73</v>
      </c>
      <c r="G842" s="6">
        <v>64</v>
      </c>
      <c r="H842" s="6">
        <v>57</v>
      </c>
      <c r="I842" s="2">
        <f t="shared" si="27"/>
        <v>194</v>
      </c>
      <c r="J842" s="8">
        <f>AVERAGE(Table1[[#This Row],[math score]:[writing score]])</f>
        <v>64.666666666666671</v>
      </c>
      <c r="K842" s="2">
        <f t="shared" si="26"/>
        <v>300</v>
      </c>
      <c r="L842" s="4">
        <f>Table1[[#This Row],[Total Score]]/Table1[[#This Row],[Minimum Mark]]</f>
        <v>0.64666666666666661</v>
      </c>
      <c r="M842" s="70" t="str">
        <f>_xlfn.XLOOKUP(Table1[[#This Row],[Pass(%)]],O:O,P:P,,-1)</f>
        <v>D+</v>
      </c>
    </row>
    <row r="843" spans="1:13" x14ac:dyDescent="0.35">
      <c r="A843" s="2" t="s">
        <v>8</v>
      </c>
      <c r="B843" s="2" t="s">
        <v>18</v>
      </c>
      <c r="C843" s="6" t="s">
        <v>22</v>
      </c>
      <c r="D843" s="6" t="s">
        <v>11</v>
      </c>
      <c r="E843" s="6" t="s">
        <v>15</v>
      </c>
      <c r="F843" s="6">
        <v>75</v>
      </c>
      <c r="G843" s="6">
        <v>82</v>
      </c>
      <c r="H843" s="6">
        <v>79</v>
      </c>
      <c r="I843" s="2">
        <f t="shared" si="27"/>
        <v>236</v>
      </c>
      <c r="J843" s="8">
        <f>AVERAGE(Table1[[#This Row],[math score]:[writing score]])</f>
        <v>78.666666666666671</v>
      </c>
      <c r="K843" s="2">
        <f t="shared" si="26"/>
        <v>300</v>
      </c>
      <c r="L843" s="4">
        <f>Table1[[#This Row],[Total Score]]/Table1[[#This Row],[Minimum Mark]]</f>
        <v>0.78666666666666663</v>
      </c>
      <c r="M843" s="70" t="str">
        <f>_xlfn.XLOOKUP(Table1[[#This Row],[Pass(%)]],O:O,P:P,,-1)</f>
        <v>C+</v>
      </c>
    </row>
    <row r="844" spans="1:13" ht="20.5" x14ac:dyDescent="0.8">
      <c r="A844" s="3" t="s">
        <v>17</v>
      </c>
      <c r="B844" s="3" t="s">
        <v>9</v>
      </c>
      <c r="C844" s="7" t="s">
        <v>19</v>
      </c>
      <c r="D844" s="7" t="s">
        <v>20</v>
      </c>
      <c r="E844" s="7" t="s">
        <v>15</v>
      </c>
      <c r="F844" s="7">
        <v>58</v>
      </c>
      <c r="G844" s="7">
        <v>57</v>
      </c>
      <c r="H844" s="7">
        <v>53</v>
      </c>
      <c r="I844" s="3">
        <f t="shared" si="27"/>
        <v>168</v>
      </c>
      <c r="J844" s="14">
        <f>AVERAGE(Table1[[#This Row],[math score]:[writing score]])</f>
        <v>56</v>
      </c>
      <c r="K844" s="3">
        <f t="shared" si="26"/>
        <v>300</v>
      </c>
      <c r="L844" s="5">
        <f>Table1[[#This Row],[Total Score]]/Table1[[#This Row],[Minimum Mark]]</f>
        <v>0.56000000000000005</v>
      </c>
      <c r="M844" s="71" t="str">
        <f>_xlfn.XLOOKUP(Table1[[#This Row],[Pass(%)]],O:O,P:P,,-1)</f>
        <v>D+</v>
      </c>
    </row>
    <row r="845" spans="1:13" ht="20.5" x14ac:dyDescent="0.8">
      <c r="A845" s="3" t="s">
        <v>8</v>
      </c>
      <c r="B845" s="3" t="s">
        <v>13</v>
      </c>
      <c r="C845" s="7" t="s">
        <v>19</v>
      </c>
      <c r="D845" s="7" t="s">
        <v>11</v>
      </c>
      <c r="E845" s="7" t="s">
        <v>12</v>
      </c>
      <c r="F845" s="7">
        <v>66</v>
      </c>
      <c r="G845" s="7">
        <v>77</v>
      </c>
      <c r="H845" s="7">
        <v>73</v>
      </c>
      <c r="I845" s="3">
        <f t="shared" si="27"/>
        <v>216</v>
      </c>
      <c r="J845" s="14">
        <f>AVERAGE(Table1[[#This Row],[math score]:[writing score]])</f>
        <v>72</v>
      </c>
      <c r="K845" s="3">
        <f t="shared" si="26"/>
        <v>300</v>
      </c>
      <c r="L845" s="5">
        <f>Table1[[#This Row],[Total Score]]/Table1[[#This Row],[Minimum Mark]]</f>
        <v>0.72</v>
      </c>
      <c r="M845" s="71" t="str">
        <f>_xlfn.XLOOKUP(Table1[[#This Row],[Pass(%)]],O:O,P:P,,-1)</f>
        <v>C-</v>
      </c>
    </row>
    <row r="846" spans="1:13" x14ac:dyDescent="0.35">
      <c r="A846" s="2" t="s">
        <v>8</v>
      </c>
      <c r="B846" s="2" t="s">
        <v>21</v>
      </c>
      <c r="C846" s="6" t="s">
        <v>22</v>
      </c>
      <c r="D846" s="6" t="s">
        <v>20</v>
      </c>
      <c r="E846" s="6" t="s">
        <v>12</v>
      </c>
      <c r="F846" s="6">
        <v>39</v>
      </c>
      <c r="G846" s="6">
        <v>52</v>
      </c>
      <c r="H846" s="6">
        <v>46</v>
      </c>
      <c r="I846" s="2">
        <f t="shared" si="27"/>
        <v>137</v>
      </c>
      <c r="J846" s="8">
        <f>AVERAGE(Table1[[#This Row],[math score]:[writing score]])</f>
        <v>45.666666666666664</v>
      </c>
      <c r="K846" s="2">
        <f t="shared" si="26"/>
        <v>300</v>
      </c>
      <c r="L846" s="4">
        <f>Table1[[#This Row],[Total Score]]/Table1[[#This Row],[Minimum Mark]]</f>
        <v>0.45666666666666667</v>
      </c>
      <c r="M846" s="70" t="str">
        <f>_xlfn.XLOOKUP(Table1[[#This Row],[Pass(%)]],O:O,P:P,,-1)</f>
        <v>D</v>
      </c>
    </row>
    <row r="847" spans="1:13" x14ac:dyDescent="0.35">
      <c r="A847" s="2" t="s">
        <v>17</v>
      </c>
      <c r="B847" s="2" t="s">
        <v>13</v>
      </c>
      <c r="C847" s="6" t="s">
        <v>23</v>
      </c>
      <c r="D847" s="6" t="s">
        <v>11</v>
      </c>
      <c r="E847" s="6" t="s">
        <v>12</v>
      </c>
      <c r="F847" s="6">
        <v>64</v>
      </c>
      <c r="G847" s="6">
        <v>58</v>
      </c>
      <c r="H847" s="6">
        <v>51</v>
      </c>
      <c r="I847" s="2">
        <f t="shared" si="27"/>
        <v>173</v>
      </c>
      <c r="J847" s="8">
        <f>AVERAGE(Table1[[#This Row],[math score]:[writing score]])</f>
        <v>57.666666666666664</v>
      </c>
      <c r="K847" s="2">
        <f t="shared" si="26"/>
        <v>300</v>
      </c>
      <c r="L847" s="4">
        <f>Table1[[#This Row],[Total Score]]/Table1[[#This Row],[Minimum Mark]]</f>
        <v>0.57666666666666666</v>
      </c>
      <c r="M847" s="70" t="str">
        <f>_xlfn.XLOOKUP(Table1[[#This Row],[Pass(%)]],O:O,P:P,,-1)</f>
        <v>D+</v>
      </c>
    </row>
    <row r="848" spans="1:13" x14ac:dyDescent="0.35">
      <c r="A848" s="2" t="s">
        <v>8</v>
      </c>
      <c r="B848" s="2" t="s">
        <v>9</v>
      </c>
      <c r="C848" s="6" t="s">
        <v>22</v>
      </c>
      <c r="D848" s="6" t="s">
        <v>20</v>
      </c>
      <c r="E848" s="6" t="s">
        <v>15</v>
      </c>
      <c r="F848" s="6">
        <v>23</v>
      </c>
      <c r="G848" s="6">
        <v>44</v>
      </c>
      <c r="H848" s="6">
        <v>36</v>
      </c>
      <c r="I848" s="2">
        <f t="shared" si="27"/>
        <v>103</v>
      </c>
      <c r="J848" s="8">
        <f>AVERAGE(Table1[[#This Row],[math score]:[writing score]])</f>
        <v>34.333333333333336</v>
      </c>
      <c r="K848" s="2">
        <f t="shared" si="26"/>
        <v>300</v>
      </c>
      <c r="L848" s="4">
        <f>Table1[[#This Row],[Total Score]]/Table1[[#This Row],[Minimum Mark]]</f>
        <v>0.34333333333333332</v>
      </c>
      <c r="M848" s="70" t="str">
        <f>_xlfn.XLOOKUP(Table1[[#This Row],[Pass(%)]],O:O,P:P,,-1)</f>
        <v>D-</v>
      </c>
    </row>
    <row r="849" spans="1:13" x14ac:dyDescent="0.35">
      <c r="A849" s="2" t="s">
        <v>17</v>
      </c>
      <c r="B849" s="2" t="s">
        <v>9</v>
      </c>
      <c r="C849" s="6" t="s">
        <v>14</v>
      </c>
      <c r="D849" s="6" t="s">
        <v>20</v>
      </c>
      <c r="E849" s="6" t="s">
        <v>15</v>
      </c>
      <c r="F849" s="6">
        <v>74</v>
      </c>
      <c r="G849" s="6">
        <v>77</v>
      </c>
      <c r="H849" s="6">
        <v>76</v>
      </c>
      <c r="I849" s="2">
        <f t="shared" si="27"/>
        <v>227</v>
      </c>
      <c r="J849" s="8">
        <f>AVERAGE(Table1[[#This Row],[math score]:[writing score]])</f>
        <v>75.666666666666671</v>
      </c>
      <c r="K849" s="2">
        <f t="shared" si="26"/>
        <v>300</v>
      </c>
      <c r="L849" s="4">
        <f>Table1[[#This Row],[Total Score]]/Table1[[#This Row],[Minimum Mark]]</f>
        <v>0.75666666666666671</v>
      </c>
      <c r="M849" s="70" t="str">
        <f>_xlfn.XLOOKUP(Table1[[#This Row],[Pass(%)]],O:O,P:P,,-1)</f>
        <v>C</v>
      </c>
    </row>
    <row r="850" spans="1:13" x14ac:dyDescent="0.35">
      <c r="A850" s="2" t="s">
        <v>8</v>
      </c>
      <c r="B850" s="2" t="s">
        <v>21</v>
      </c>
      <c r="C850" s="6" t="s">
        <v>23</v>
      </c>
      <c r="D850" s="6" t="s">
        <v>20</v>
      </c>
      <c r="E850" s="6" t="s">
        <v>15</v>
      </c>
      <c r="F850" s="6">
        <v>40</v>
      </c>
      <c r="G850" s="6">
        <v>65</v>
      </c>
      <c r="H850" s="6">
        <v>64</v>
      </c>
      <c r="I850" s="2">
        <f t="shared" si="27"/>
        <v>169</v>
      </c>
      <c r="J850" s="8">
        <f>AVERAGE(Table1[[#This Row],[math score]:[writing score]])</f>
        <v>56.333333333333336</v>
      </c>
      <c r="K850" s="2">
        <f t="shared" si="26"/>
        <v>300</v>
      </c>
      <c r="L850" s="4">
        <f>Table1[[#This Row],[Total Score]]/Table1[[#This Row],[Minimum Mark]]</f>
        <v>0.56333333333333335</v>
      </c>
      <c r="M850" s="70" t="str">
        <f>_xlfn.XLOOKUP(Table1[[#This Row],[Pass(%)]],O:O,P:P,,-1)</f>
        <v>D+</v>
      </c>
    </row>
    <row r="851" spans="1:13" x14ac:dyDescent="0.35">
      <c r="A851" s="2" t="s">
        <v>17</v>
      </c>
      <c r="B851" s="2" t="s">
        <v>24</v>
      </c>
      <c r="C851" s="6" t="s">
        <v>16</v>
      </c>
      <c r="D851" s="6" t="s">
        <v>11</v>
      </c>
      <c r="E851" s="6" t="s">
        <v>12</v>
      </c>
      <c r="F851" s="6">
        <v>90</v>
      </c>
      <c r="G851" s="6">
        <v>85</v>
      </c>
      <c r="H851" s="6">
        <v>84</v>
      </c>
      <c r="I851" s="2">
        <f t="shared" si="27"/>
        <v>259</v>
      </c>
      <c r="J851" s="8">
        <f>AVERAGE(Table1[[#This Row],[math score]:[writing score]])</f>
        <v>86.333333333333329</v>
      </c>
      <c r="K851" s="2">
        <f t="shared" si="26"/>
        <v>300</v>
      </c>
      <c r="L851" s="4">
        <f>Table1[[#This Row],[Total Score]]/Table1[[#This Row],[Minimum Mark]]</f>
        <v>0.86333333333333329</v>
      </c>
      <c r="M851" s="70" t="str">
        <f>_xlfn.XLOOKUP(Table1[[#This Row],[Pass(%)]],O:O,P:P,,-1)</f>
        <v>B</v>
      </c>
    </row>
    <row r="852" spans="1:13" x14ac:dyDescent="0.35">
      <c r="A852" s="2" t="s">
        <v>17</v>
      </c>
      <c r="B852" s="2" t="s">
        <v>13</v>
      </c>
      <c r="C852" s="6" t="s">
        <v>16</v>
      </c>
      <c r="D852" s="6" t="s">
        <v>11</v>
      </c>
      <c r="E852" s="6" t="s">
        <v>15</v>
      </c>
      <c r="F852" s="6">
        <v>91</v>
      </c>
      <c r="G852" s="6">
        <v>85</v>
      </c>
      <c r="H852" s="6">
        <v>85</v>
      </c>
      <c r="I852" s="2">
        <f t="shared" si="27"/>
        <v>261</v>
      </c>
      <c r="J852" s="8">
        <f>AVERAGE(Table1[[#This Row],[math score]:[writing score]])</f>
        <v>87</v>
      </c>
      <c r="K852" s="2">
        <f t="shared" si="26"/>
        <v>300</v>
      </c>
      <c r="L852" s="4">
        <f>Table1[[#This Row],[Total Score]]/Table1[[#This Row],[Minimum Mark]]</f>
        <v>0.87</v>
      </c>
      <c r="M852" s="70" t="str">
        <f>_xlfn.XLOOKUP(Table1[[#This Row],[Pass(%)]],O:O,P:P,,-1)</f>
        <v>B+</v>
      </c>
    </row>
    <row r="853" spans="1:13" x14ac:dyDescent="0.35">
      <c r="A853" s="2" t="s">
        <v>17</v>
      </c>
      <c r="B853" s="2" t="s">
        <v>21</v>
      </c>
      <c r="C853" s="6" t="s">
        <v>22</v>
      </c>
      <c r="D853" s="6" t="s">
        <v>11</v>
      </c>
      <c r="E853" s="6" t="s">
        <v>12</v>
      </c>
      <c r="F853" s="6">
        <v>64</v>
      </c>
      <c r="G853" s="6">
        <v>54</v>
      </c>
      <c r="H853" s="6">
        <v>50</v>
      </c>
      <c r="I853" s="2">
        <f t="shared" si="27"/>
        <v>168</v>
      </c>
      <c r="J853" s="8">
        <f>AVERAGE(Table1[[#This Row],[math score]:[writing score]])</f>
        <v>56</v>
      </c>
      <c r="K853" s="2">
        <f t="shared" si="26"/>
        <v>300</v>
      </c>
      <c r="L853" s="4">
        <f>Table1[[#This Row],[Total Score]]/Table1[[#This Row],[Minimum Mark]]</f>
        <v>0.56000000000000005</v>
      </c>
      <c r="M853" s="70" t="str">
        <f>_xlfn.XLOOKUP(Table1[[#This Row],[Pass(%)]],O:O,P:P,,-1)</f>
        <v>D+</v>
      </c>
    </row>
    <row r="854" spans="1:13" x14ac:dyDescent="0.35">
      <c r="A854" s="2" t="s">
        <v>8</v>
      </c>
      <c r="B854" s="2" t="s">
        <v>13</v>
      </c>
      <c r="C854" s="6" t="s">
        <v>22</v>
      </c>
      <c r="D854" s="6" t="s">
        <v>11</v>
      </c>
      <c r="E854" s="6" t="s">
        <v>12</v>
      </c>
      <c r="F854" s="6">
        <v>59</v>
      </c>
      <c r="G854" s="6">
        <v>72</v>
      </c>
      <c r="H854" s="6">
        <v>68</v>
      </c>
      <c r="I854" s="2">
        <f t="shared" si="27"/>
        <v>199</v>
      </c>
      <c r="J854" s="8">
        <f>AVERAGE(Table1[[#This Row],[math score]:[writing score]])</f>
        <v>66.333333333333329</v>
      </c>
      <c r="K854" s="2">
        <f t="shared" si="26"/>
        <v>300</v>
      </c>
      <c r="L854" s="4">
        <f>Table1[[#This Row],[Total Score]]/Table1[[#This Row],[Minimum Mark]]</f>
        <v>0.66333333333333333</v>
      </c>
      <c r="M854" s="70" t="str">
        <f>_xlfn.XLOOKUP(Table1[[#This Row],[Pass(%)]],O:O,P:P,,-1)</f>
        <v>D+</v>
      </c>
    </row>
    <row r="855" spans="1:13" ht="20.5" x14ac:dyDescent="0.8">
      <c r="A855" s="3" t="s">
        <v>17</v>
      </c>
      <c r="B855" s="3" t="s">
        <v>21</v>
      </c>
      <c r="C855" s="7" t="s">
        <v>19</v>
      </c>
      <c r="D855" s="7" t="s">
        <v>11</v>
      </c>
      <c r="E855" s="7" t="s">
        <v>12</v>
      </c>
      <c r="F855" s="7">
        <v>80</v>
      </c>
      <c r="G855" s="7">
        <v>75</v>
      </c>
      <c r="H855" s="7">
        <v>69</v>
      </c>
      <c r="I855" s="3">
        <f t="shared" si="27"/>
        <v>224</v>
      </c>
      <c r="J855" s="14">
        <f>AVERAGE(Table1[[#This Row],[math score]:[writing score]])</f>
        <v>74.666666666666671</v>
      </c>
      <c r="K855" s="3">
        <f t="shared" si="26"/>
        <v>300</v>
      </c>
      <c r="L855" s="5">
        <f>Table1[[#This Row],[Total Score]]/Table1[[#This Row],[Minimum Mark]]</f>
        <v>0.7466666666666667</v>
      </c>
      <c r="M855" s="71" t="str">
        <f>_xlfn.XLOOKUP(Table1[[#This Row],[Pass(%)]],O:O,P:P,,-1)</f>
        <v>C</v>
      </c>
    </row>
    <row r="856" spans="1:13" x14ac:dyDescent="0.35">
      <c r="A856" s="2" t="s">
        <v>17</v>
      </c>
      <c r="B856" s="2" t="s">
        <v>13</v>
      </c>
      <c r="C856" s="6" t="s">
        <v>16</v>
      </c>
      <c r="D856" s="6" t="s">
        <v>11</v>
      </c>
      <c r="E856" s="6" t="s">
        <v>12</v>
      </c>
      <c r="F856" s="6">
        <v>71</v>
      </c>
      <c r="G856" s="6">
        <v>67</v>
      </c>
      <c r="H856" s="6">
        <v>67</v>
      </c>
      <c r="I856" s="2">
        <f t="shared" si="27"/>
        <v>205</v>
      </c>
      <c r="J856" s="8">
        <f>AVERAGE(Table1[[#This Row],[math score]:[writing score]])</f>
        <v>68.333333333333329</v>
      </c>
      <c r="K856" s="2">
        <f t="shared" si="26"/>
        <v>300</v>
      </c>
      <c r="L856" s="4">
        <f>Table1[[#This Row],[Total Score]]/Table1[[#This Row],[Minimum Mark]]</f>
        <v>0.68333333333333335</v>
      </c>
      <c r="M856" s="70" t="str">
        <f>_xlfn.XLOOKUP(Table1[[#This Row],[Pass(%)]],O:O,P:P,,-1)</f>
        <v>D+</v>
      </c>
    </row>
    <row r="857" spans="1:13" x14ac:dyDescent="0.35">
      <c r="A857" s="2" t="s">
        <v>8</v>
      </c>
      <c r="B857" s="2" t="s">
        <v>18</v>
      </c>
      <c r="C857" s="6" t="s">
        <v>22</v>
      </c>
      <c r="D857" s="6" t="s">
        <v>11</v>
      </c>
      <c r="E857" s="6" t="s">
        <v>12</v>
      </c>
      <c r="F857" s="6">
        <v>61</v>
      </c>
      <c r="G857" s="6">
        <v>68</v>
      </c>
      <c r="H857" s="6">
        <v>63</v>
      </c>
      <c r="I857" s="2">
        <f t="shared" si="27"/>
        <v>192</v>
      </c>
      <c r="J857" s="8">
        <f>AVERAGE(Table1[[#This Row],[math score]:[writing score]])</f>
        <v>64</v>
      </c>
      <c r="K857" s="2">
        <f t="shared" si="26"/>
        <v>300</v>
      </c>
      <c r="L857" s="4">
        <f>Table1[[#This Row],[Total Score]]/Table1[[#This Row],[Minimum Mark]]</f>
        <v>0.64</v>
      </c>
      <c r="M857" s="70" t="str">
        <f>_xlfn.XLOOKUP(Table1[[#This Row],[Pass(%)]],O:O,P:P,,-1)</f>
        <v>D+</v>
      </c>
    </row>
    <row r="858" spans="1:13" x14ac:dyDescent="0.35">
      <c r="A858" s="2" t="s">
        <v>8</v>
      </c>
      <c r="B858" s="2" t="s">
        <v>24</v>
      </c>
      <c r="C858" s="6" t="s">
        <v>14</v>
      </c>
      <c r="D858" s="6" t="s">
        <v>11</v>
      </c>
      <c r="E858" s="6" t="s">
        <v>12</v>
      </c>
      <c r="F858" s="6">
        <v>87</v>
      </c>
      <c r="G858" s="6">
        <v>85</v>
      </c>
      <c r="H858" s="6">
        <v>93</v>
      </c>
      <c r="I858" s="2">
        <f t="shared" si="27"/>
        <v>265</v>
      </c>
      <c r="J858" s="8">
        <f>AVERAGE(Table1[[#This Row],[math score]:[writing score]])</f>
        <v>88.333333333333329</v>
      </c>
      <c r="K858" s="2">
        <f t="shared" si="26"/>
        <v>300</v>
      </c>
      <c r="L858" s="4">
        <f>Table1[[#This Row],[Total Score]]/Table1[[#This Row],[Minimum Mark]]</f>
        <v>0.8833333333333333</v>
      </c>
      <c r="M858" s="70" t="str">
        <f>_xlfn.XLOOKUP(Table1[[#This Row],[Pass(%)]],O:O,P:P,,-1)</f>
        <v>B+</v>
      </c>
    </row>
    <row r="859" spans="1:13" x14ac:dyDescent="0.35">
      <c r="A859" s="2" t="s">
        <v>17</v>
      </c>
      <c r="B859" s="2" t="s">
        <v>24</v>
      </c>
      <c r="C859" s="6" t="s">
        <v>23</v>
      </c>
      <c r="D859" s="6" t="s">
        <v>11</v>
      </c>
      <c r="E859" s="6" t="s">
        <v>12</v>
      </c>
      <c r="F859" s="6">
        <v>82</v>
      </c>
      <c r="G859" s="6">
        <v>67</v>
      </c>
      <c r="H859" s="6">
        <v>61</v>
      </c>
      <c r="I859" s="2">
        <f t="shared" si="27"/>
        <v>210</v>
      </c>
      <c r="J859" s="8">
        <f>AVERAGE(Table1[[#This Row],[math score]:[writing score]])</f>
        <v>70</v>
      </c>
      <c r="K859" s="2">
        <f t="shared" si="26"/>
        <v>300</v>
      </c>
      <c r="L859" s="4">
        <f>Table1[[#This Row],[Total Score]]/Table1[[#This Row],[Minimum Mark]]</f>
        <v>0.7</v>
      </c>
      <c r="M859" s="70" t="str">
        <f>_xlfn.XLOOKUP(Table1[[#This Row],[Pass(%)]],O:O,P:P,,-1)</f>
        <v>C-</v>
      </c>
    </row>
    <row r="860" spans="1:13" x14ac:dyDescent="0.35">
      <c r="A860" s="2" t="s">
        <v>17</v>
      </c>
      <c r="B860" s="2" t="s">
        <v>13</v>
      </c>
      <c r="C860" s="6" t="s">
        <v>23</v>
      </c>
      <c r="D860" s="6" t="s">
        <v>11</v>
      </c>
      <c r="E860" s="6" t="s">
        <v>12</v>
      </c>
      <c r="F860" s="6">
        <v>62</v>
      </c>
      <c r="G860" s="6">
        <v>64</v>
      </c>
      <c r="H860" s="6">
        <v>55</v>
      </c>
      <c r="I860" s="2">
        <f t="shared" si="27"/>
        <v>181</v>
      </c>
      <c r="J860" s="8">
        <f>AVERAGE(Table1[[#This Row],[math score]:[writing score]])</f>
        <v>60.333333333333336</v>
      </c>
      <c r="K860" s="2">
        <f t="shared" si="26"/>
        <v>300</v>
      </c>
      <c r="L860" s="4">
        <f>Table1[[#This Row],[Total Score]]/Table1[[#This Row],[Minimum Mark]]</f>
        <v>0.60333333333333339</v>
      </c>
      <c r="M860" s="70" t="str">
        <f>_xlfn.XLOOKUP(Table1[[#This Row],[Pass(%)]],O:O,P:P,,-1)</f>
        <v>D+</v>
      </c>
    </row>
    <row r="861" spans="1:13" x14ac:dyDescent="0.35">
      <c r="A861" s="2" t="s">
        <v>8</v>
      </c>
      <c r="B861" s="2" t="s">
        <v>9</v>
      </c>
      <c r="C861" s="6" t="s">
        <v>10</v>
      </c>
      <c r="D861" s="6" t="s">
        <v>11</v>
      </c>
      <c r="E861" s="6" t="s">
        <v>12</v>
      </c>
      <c r="F861" s="6">
        <v>97</v>
      </c>
      <c r="G861" s="6">
        <v>97</v>
      </c>
      <c r="H861" s="6">
        <v>96</v>
      </c>
      <c r="I861" s="2">
        <f t="shared" si="27"/>
        <v>290</v>
      </c>
      <c r="J861" s="8">
        <f>AVERAGE(Table1[[#This Row],[math score]:[writing score]])</f>
        <v>96.666666666666671</v>
      </c>
      <c r="K861" s="2">
        <f t="shared" si="26"/>
        <v>300</v>
      </c>
      <c r="L861" s="4">
        <f>Table1[[#This Row],[Total Score]]/Table1[[#This Row],[Minimum Mark]]</f>
        <v>0.96666666666666667</v>
      </c>
      <c r="M861" s="70" t="str">
        <f>_xlfn.XLOOKUP(Table1[[#This Row],[Pass(%)]],O:O,P:P,,-1)</f>
        <v>A</v>
      </c>
    </row>
    <row r="862" spans="1:13" x14ac:dyDescent="0.35">
      <c r="A862" s="2" t="s">
        <v>17</v>
      </c>
      <c r="B862" s="2" t="s">
        <v>9</v>
      </c>
      <c r="C862" s="6" t="s">
        <v>14</v>
      </c>
      <c r="D862" s="6" t="s">
        <v>20</v>
      </c>
      <c r="E862" s="6" t="s">
        <v>12</v>
      </c>
      <c r="F862" s="6">
        <v>75</v>
      </c>
      <c r="G862" s="6">
        <v>68</v>
      </c>
      <c r="H862" s="6">
        <v>65</v>
      </c>
      <c r="I862" s="2">
        <f t="shared" si="27"/>
        <v>208</v>
      </c>
      <c r="J862" s="8">
        <f>AVERAGE(Table1[[#This Row],[math score]:[writing score]])</f>
        <v>69.333333333333329</v>
      </c>
      <c r="K862" s="2">
        <f t="shared" si="26"/>
        <v>300</v>
      </c>
      <c r="L862" s="4">
        <f>Table1[[#This Row],[Total Score]]/Table1[[#This Row],[Minimum Mark]]</f>
        <v>0.69333333333333336</v>
      </c>
      <c r="M862" s="70" t="str">
        <f>_xlfn.XLOOKUP(Table1[[#This Row],[Pass(%)]],O:O,P:P,,-1)</f>
        <v>D+</v>
      </c>
    </row>
    <row r="863" spans="1:13" x14ac:dyDescent="0.35">
      <c r="A863" s="2" t="s">
        <v>8</v>
      </c>
      <c r="B863" s="2" t="s">
        <v>13</v>
      </c>
      <c r="C863" s="6" t="s">
        <v>10</v>
      </c>
      <c r="D863" s="6" t="s">
        <v>11</v>
      </c>
      <c r="E863" s="6" t="s">
        <v>12</v>
      </c>
      <c r="F863" s="6">
        <v>65</v>
      </c>
      <c r="G863" s="6">
        <v>79</v>
      </c>
      <c r="H863" s="6">
        <v>81</v>
      </c>
      <c r="I863" s="2">
        <f t="shared" si="27"/>
        <v>225</v>
      </c>
      <c r="J863" s="8">
        <f>AVERAGE(Table1[[#This Row],[math score]:[writing score]])</f>
        <v>75</v>
      </c>
      <c r="K863" s="2">
        <f t="shared" si="26"/>
        <v>300</v>
      </c>
      <c r="L863" s="4">
        <f>Table1[[#This Row],[Total Score]]/Table1[[#This Row],[Minimum Mark]]</f>
        <v>0.75</v>
      </c>
      <c r="M863" s="70" t="str">
        <f>_xlfn.XLOOKUP(Table1[[#This Row],[Pass(%)]],O:O,P:P,,-1)</f>
        <v>C</v>
      </c>
    </row>
    <row r="864" spans="1:13" x14ac:dyDescent="0.35">
      <c r="A864" s="2" t="s">
        <v>17</v>
      </c>
      <c r="B864" s="2" t="s">
        <v>9</v>
      </c>
      <c r="C864" s="6" t="s">
        <v>22</v>
      </c>
      <c r="D864" s="6" t="s">
        <v>11</v>
      </c>
      <c r="E864" s="6" t="s">
        <v>15</v>
      </c>
      <c r="F864" s="6">
        <v>52</v>
      </c>
      <c r="G864" s="6">
        <v>49</v>
      </c>
      <c r="H864" s="6">
        <v>46</v>
      </c>
      <c r="I864" s="2">
        <f t="shared" si="27"/>
        <v>147</v>
      </c>
      <c r="J864" s="8">
        <f>AVERAGE(Table1[[#This Row],[math score]:[writing score]])</f>
        <v>49</v>
      </c>
      <c r="K864" s="2">
        <f t="shared" si="26"/>
        <v>300</v>
      </c>
      <c r="L864" s="4">
        <f>Table1[[#This Row],[Total Score]]/Table1[[#This Row],[Minimum Mark]]</f>
        <v>0.49</v>
      </c>
      <c r="M864" s="70" t="str">
        <f>_xlfn.XLOOKUP(Table1[[#This Row],[Pass(%)]],O:O,P:P,,-1)</f>
        <v>D</v>
      </c>
    </row>
    <row r="865" spans="1:13" ht="20.5" x14ac:dyDescent="0.8">
      <c r="A865" s="3" t="s">
        <v>17</v>
      </c>
      <c r="B865" s="3" t="s">
        <v>13</v>
      </c>
      <c r="C865" s="7" t="s">
        <v>19</v>
      </c>
      <c r="D865" s="7" t="s">
        <v>20</v>
      </c>
      <c r="E865" s="7" t="s">
        <v>12</v>
      </c>
      <c r="F865" s="7">
        <v>87</v>
      </c>
      <c r="G865" s="7">
        <v>73</v>
      </c>
      <c r="H865" s="7">
        <v>72</v>
      </c>
      <c r="I865" s="3">
        <f t="shared" si="27"/>
        <v>232</v>
      </c>
      <c r="J865" s="14">
        <f>AVERAGE(Table1[[#This Row],[math score]:[writing score]])</f>
        <v>77.333333333333329</v>
      </c>
      <c r="K865" s="3">
        <f t="shared" si="26"/>
        <v>300</v>
      </c>
      <c r="L865" s="5">
        <f>Table1[[#This Row],[Total Score]]/Table1[[#This Row],[Minimum Mark]]</f>
        <v>0.77333333333333332</v>
      </c>
      <c r="M865" s="71" t="str">
        <f>_xlfn.XLOOKUP(Table1[[#This Row],[Pass(%)]],O:O,P:P,,-1)</f>
        <v>C+</v>
      </c>
    </row>
    <row r="866" spans="1:13" ht="20.5" x14ac:dyDescent="0.8">
      <c r="A866" s="3" t="s">
        <v>8</v>
      </c>
      <c r="B866" s="3" t="s">
        <v>13</v>
      </c>
      <c r="C866" s="7" t="s">
        <v>19</v>
      </c>
      <c r="D866" s="7" t="s">
        <v>11</v>
      </c>
      <c r="E866" s="7" t="s">
        <v>12</v>
      </c>
      <c r="F866" s="7">
        <v>53</v>
      </c>
      <c r="G866" s="7">
        <v>62</v>
      </c>
      <c r="H866" s="7">
        <v>53</v>
      </c>
      <c r="I866" s="3">
        <f t="shared" si="27"/>
        <v>168</v>
      </c>
      <c r="J866" s="14">
        <f>AVERAGE(Table1[[#This Row],[math score]:[writing score]])</f>
        <v>56</v>
      </c>
      <c r="K866" s="3">
        <f t="shared" si="26"/>
        <v>300</v>
      </c>
      <c r="L866" s="5">
        <f>Table1[[#This Row],[Total Score]]/Table1[[#This Row],[Minimum Mark]]</f>
        <v>0.56000000000000005</v>
      </c>
      <c r="M866" s="71" t="str">
        <f>_xlfn.XLOOKUP(Table1[[#This Row],[Pass(%)]],O:O,P:P,,-1)</f>
        <v>D+</v>
      </c>
    </row>
    <row r="867" spans="1:13" x14ac:dyDescent="0.35">
      <c r="A867" s="2" t="s">
        <v>8</v>
      </c>
      <c r="B867" s="2" t="s">
        <v>24</v>
      </c>
      <c r="C867" s="6" t="s">
        <v>16</v>
      </c>
      <c r="D867" s="6" t="s">
        <v>20</v>
      </c>
      <c r="E867" s="6" t="s">
        <v>12</v>
      </c>
      <c r="F867" s="6">
        <v>81</v>
      </c>
      <c r="G867" s="6">
        <v>86</v>
      </c>
      <c r="H867" s="6">
        <v>87</v>
      </c>
      <c r="I867" s="2">
        <f t="shared" si="27"/>
        <v>254</v>
      </c>
      <c r="J867" s="8">
        <f>AVERAGE(Table1[[#This Row],[math score]:[writing score]])</f>
        <v>84.666666666666671</v>
      </c>
      <c r="K867" s="2">
        <f t="shared" si="26"/>
        <v>300</v>
      </c>
      <c r="L867" s="4">
        <f>Table1[[#This Row],[Total Score]]/Table1[[#This Row],[Minimum Mark]]</f>
        <v>0.84666666666666668</v>
      </c>
      <c r="M867" s="70" t="str">
        <f>_xlfn.XLOOKUP(Table1[[#This Row],[Pass(%)]],O:O,P:P,,-1)</f>
        <v>B</v>
      </c>
    </row>
    <row r="868" spans="1:13" x14ac:dyDescent="0.35">
      <c r="A868" s="2" t="s">
        <v>17</v>
      </c>
      <c r="B868" s="2" t="s">
        <v>21</v>
      </c>
      <c r="C868" s="6" t="s">
        <v>10</v>
      </c>
      <c r="D868" s="6" t="s">
        <v>20</v>
      </c>
      <c r="E868" s="6" t="s">
        <v>15</v>
      </c>
      <c r="F868" s="6">
        <v>39</v>
      </c>
      <c r="G868" s="6">
        <v>42</v>
      </c>
      <c r="H868" s="6">
        <v>38</v>
      </c>
      <c r="I868" s="2">
        <f t="shared" si="27"/>
        <v>119</v>
      </c>
      <c r="J868" s="8">
        <f>AVERAGE(Table1[[#This Row],[math score]:[writing score]])</f>
        <v>39.666666666666664</v>
      </c>
      <c r="K868" s="2">
        <f t="shared" si="26"/>
        <v>300</v>
      </c>
      <c r="L868" s="4">
        <f>Table1[[#This Row],[Total Score]]/Table1[[#This Row],[Minimum Mark]]</f>
        <v>0.39666666666666667</v>
      </c>
      <c r="M868" s="70" t="str">
        <f>_xlfn.XLOOKUP(Table1[[#This Row],[Pass(%)]],O:O,P:P,,-1)</f>
        <v>D-</v>
      </c>
    </row>
    <row r="869" spans="1:13" x14ac:dyDescent="0.35">
      <c r="A869" s="2" t="s">
        <v>8</v>
      </c>
      <c r="B869" s="2" t="s">
        <v>13</v>
      </c>
      <c r="C869" s="6" t="s">
        <v>14</v>
      </c>
      <c r="D869" s="6" t="s">
        <v>11</v>
      </c>
      <c r="E869" s="6" t="s">
        <v>15</v>
      </c>
      <c r="F869" s="6">
        <v>71</v>
      </c>
      <c r="G869" s="6">
        <v>71</v>
      </c>
      <c r="H869" s="6">
        <v>80</v>
      </c>
      <c r="I869" s="2">
        <f t="shared" si="27"/>
        <v>222</v>
      </c>
      <c r="J869" s="8">
        <f>AVERAGE(Table1[[#This Row],[math score]:[writing score]])</f>
        <v>74</v>
      </c>
      <c r="K869" s="2">
        <f t="shared" si="26"/>
        <v>300</v>
      </c>
      <c r="L869" s="4">
        <f>Table1[[#This Row],[Total Score]]/Table1[[#This Row],[Minimum Mark]]</f>
        <v>0.74</v>
      </c>
      <c r="M869" s="70" t="str">
        <f>_xlfn.XLOOKUP(Table1[[#This Row],[Pass(%)]],O:O,P:P,,-1)</f>
        <v>C</v>
      </c>
    </row>
    <row r="870" spans="1:13" ht="20.5" x14ac:dyDescent="0.8">
      <c r="A870" s="3" t="s">
        <v>17</v>
      </c>
      <c r="B870" s="3" t="s">
        <v>13</v>
      </c>
      <c r="C870" s="7" t="s">
        <v>19</v>
      </c>
      <c r="D870" s="7" t="s">
        <v>11</v>
      </c>
      <c r="E870" s="7" t="s">
        <v>12</v>
      </c>
      <c r="F870" s="7">
        <v>97</v>
      </c>
      <c r="G870" s="7">
        <v>93</v>
      </c>
      <c r="H870" s="7">
        <v>91</v>
      </c>
      <c r="I870" s="3">
        <f t="shared" si="27"/>
        <v>281</v>
      </c>
      <c r="J870" s="14">
        <f>AVERAGE(Table1[[#This Row],[math score]:[writing score]])</f>
        <v>93.666666666666671</v>
      </c>
      <c r="K870" s="3">
        <f t="shared" si="26"/>
        <v>300</v>
      </c>
      <c r="L870" s="5">
        <f>Table1[[#This Row],[Total Score]]/Table1[[#This Row],[Minimum Mark]]</f>
        <v>0.93666666666666665</v>
      </c>
      <c r="M870" s="71" t="str">
        <f>_xlfn.XLOOKUP(Table1[[#This Row],[Pass(%)]],O:O,P:P,,-1)</f>
        <v>A</v>
      </c>
    </row>
    <row r="871" spans="1:13" x14ac:dyDescent="0.35">
      <c r="A871" s="2" t="s">
        <v>17</v>
      </c>
      <c r="B871" s="2" t="s">
        <v>21</v>
      </c>
      <c r="C871" s="6" t="s">
        <v>14</v>
      </c>
      <c r="D871" s="6" t="s">
        <v>11</v>
      </c>
      <c r="E871" s="6" t="s">
        <v>15</v>
      </c>
      <c r="F871" s="6">
        <v>82</v>
      </c>
      <c r="G871" s="6">
        <v>82</v>
      </c>
      <c r="H871" s="6">
        <v>88</v>
      </c>
      <c r="I871" s="2">
        <f t="shared" si="27"/>
        <v>252</v>
      </c>
      <c r="J871" s="8">
        <f>AVERAGE(Table1[[#This Row],[math score]:[writing score]])</f>
        <v>84</v>
      </c>
      <c r="K871" s="2">
        <f t="shared" si="26"/>
        <v>300</v>
      </c>
      <c r="L871" s="4">
        <f>Table1[[#This Row],[Total Score]]/Table1[[#This Row],[Minimum Mark]]</f>
        <v>0.84</v>
      </c>
      <c r="M871" s="70" t="str">
        <f>_xlfn.XLOOKUP(Table1[[#This Row],[Pass(%)]],O:O,P:P,,-1)</f>
        <v>B</v>
      </c>
    </row>
    <row r="872" spans="1:13" x14ac:dyDescent="0.35">
      <c r="A872" s="2" t="s">
        <v>17</v>
      </c>
      <c r="B872" s="2" t="s">
        <v>13</v>
      </c>
      <c r="C872" s="6" t="s">
        <v>22</v>
      </c>
      <c r="D872" s="6" t="s">
        <v>20</v>
      </c>
      <c r="E872" s="6" t="s">
        <v>12</v>
      </c>
      <c r="F872" s="6">
        <v>59</v>
      </c>
      <c r="G872" s="6">
        <v>53</v>
      </c>
      <c r="H872" s="6">
        <v>52</v>
      </c>
      <c r="I872" s="2">
        <f t="shared" si="27"/>
        <v>164</v>
      </c>
      <c r="J872" s="8">
        <f>AVERAGE(Table1[[#This Row],[math score]:[writing score]])</f>
        <v>54.666666666666664</v>
      </c>
      <c r="K872" s="2">
        <f t="shared" si="26"/>
        <v>300</v>
      </c>
      <c r="L872" s="4">
        <f>Table1[[#This Row],[Total Score]]/Table1[[#This Row],[Minimum Mark]]</f>
        <v>0.54666666666666663</v>
      </c>
      <c r="M872" s="70" t="str">
        <f>_xlfn.XLOOKUP(Table1[[#This Row],[Pass(%)]],O:O,P:P,,-1)</f>
        <v>D+</v>
      </c>
    </row>
    <row r="873" spans="1:13" ht="20.5" x14ac:dyDescent="0.8">
      <c r="A873" s="3" t="s">
        <v>17</v>
      </c>
      <c r="B873" s="3" t="s">
        <v>9</v>
      </c>
      <c r="C873" s="7" t="s">
        <v>19</v>
      </c>
      <c r="D873" s="7" t="s">
        <v>11</v>
      </c>
      <c r="E873" s="7" t="s">
        <v>12</v>
      </c>
      <c r="F873" s="7">
        <v>61</v>
      </c>
      <c r="G873" s="7">
        <v>42</v>
      </c>
      <c r="H873" s="7">
        <v>41</v>
      </c>
      <c r="I873" s="3">
        <f t="shared" si="27"/>
        <v>144</v>
      </c>
      <c r="J873" s="14">
        <f>AVERAGE(Table1[[#This Row],[math score]:[writing score]])</f>
        <v>48</v>
      </c>
      <c r="K873" s="3">
        <f t="shared" si="26"/>
        <v>300</v>
      </c>
      <c r="L873" s="5">
        <f>Table1[[#This Row],[Total Score]]/Table1[[#This Row],[Minimum Mark]]</f>
        <v>0.48</v>
      </c>
      <c r="M873" s="71" t="str">
        <f>_xlfn.XLOOKUP(Table1[[#This Row],[Pass(%)]],O:O,P:P,,-1)</f>
        <v>D</v>
      </c>
    </row>
    <row r="874" spans="1:13" ht="20.5" x14ac:dyDescent="0.8">
      <c r="A874" s="3" t="s">
        <v>17</v>
      </c>
      <c r="B874" s="3" t="s">
        <v>24</v>
      </c>
      <c r="C874" s="7" t="s">
        <v>19</v>
      </c>
      <c r="D874" s="7" t="s">
        <v>20</v>
      </c>
      <c r="E874" s="7" t="s">
        <v>15</v>
      </c>
      <c r="F874" s="7">
        <v>78</v>
      </c>
      <c r="G874" s="7">
        <v>74</v>
      </c>
      <c r="H874" s="7">
        <v>72</v>
      </c>
      <c r="I874" s="3">
        <f t="shared" si="27"/>
        <v>224</v>
      </c>
      <c r="J874" s="14">
        <f>AVERAGE(Table1[[#This Row],[math score]:[writing score]])</f>
        <v>74.666666666666671</v>
      </c>
      <c r="K874" s="3">
        <f t="shared" si="26"/>
        <v>300</v>
      </c>
      <c r="L874" s="5">
        <f>Table1[[#This Row],[Total Score]]/Table1[[#This Row],[Minimum Mark]]</f>
        <v>0.7466666666666667</v>
      </c>
      <c r="M874" s="71" t="str">
        <f>_xlfn.XLOOKUP(Table1[[#This Row],[Pass(%)]],O:O,P:P,,-1)</f>
        <v>C</v>
      </c>
    </row>
    <row r="875" spans="1:13" ht="20.5" x14ac:dyDescent="0.8">
      <c r="A875" s="3" t="s">
        <v>17</v>
      </c>
      <c r="B875" s="3" t="s">
        <v>13</v>
      </c>
      <c r="C875" s="7" t="s">
        <v>19</v>
      </c>
      <c r="D875" s="7" t="s">
        <v>20</v>
      </c>
      <c r="E875" s="7" t="s">
        <v>12</v>
      </c>
      <c r="F875" s="7">
        <v>49</v>
      </c>
      <c r="G875" s="7">
        <v>51</v>
      </c>
      <c r="H875" s="7">
        <v>51</v>
      </c>
      <c r="I875" s="3">
        <f t="shared" si="27"/>
        <v>151</v>
      </c>
      <c r="J875" s="14">
        <f>AVERAGE(Table1[[#This Row],[math score]:[writing score]])</f>
        <v>50.333333333333336</v>
      </c>
      <c r="K875" s="3">
        <f t="shared" si="26"/>
        <v>300</v>
      </c>
      <c r="L875" s="5">
        <f>Table1[[#This Row],[Total Score]]/Table1[[#This Row],[Minimum Mark]]</f>
        <v>0.5033333333333333</v>
      </c>
      <c r="M875" s="71" t="str">
        <f>_xlfn.XLOOKUP(Table1[[#This Row],[Pass(%)]],O:O,P:P,,-1)</f>
        <v>D</v>
      </c>
    </row>
    <row r="876" spans="1:13" x14ac:dyDescent="0.35">
      <c r="A876" s="2" t="s">
        <v>17</v>
      </c>
      <c r="B876" s="2" t="s">
        <v>9</v>
      </c>
      <c r="C876" s="6" t="s">
        <v>22</v>
      </c>
      <c r="D876" s="6" t="s">
        <v>11</v>
      </c>
      <c r="E876" s="6" t="s">
        <v>12</v>
      </c>
      <c r="F876" s="6">
        <v>59</v>
      </c>
      <c r="G876" s="6">
        <v>58</v>
      </c>
      <c r="H876" s="6">
        <v>47</v>
      </c>
      <c r="I876" s="2">
        <f t="shared" si="27"/>
        <v>164</v>
      </c>
      <c r="J876" s="8">
        <f>AVERAGE(Table1[[#This Row],[math score]:[writing score]])</f>
        <v>54.666666666666664</v>
      </c>
      <c r="K876" s="2">
        <f t="shared" si="26"/>
        <v>300</v>
      </c>
      <c r="L876" s="4">
        <f>Table1[[#This Row],[Total Score]]/Table1[[#This Row],[Minimum Mark]]</f>
        <v>0.54666666666666663</v>
      </c>
      <c r="M876" s="70" t="str">
        <f>_xlfn.XLOOKUP(Table1[[#This Row],[Pass(%)]],O:O,P:P,,-1)</f>
        <v>D+</v>
      </c>
    </row>
    <row r="877" spans="1:13" x14ac:dyDescent="0.35">
      <c r="A877" s="2" t="s">
        <v>8</v>
      </c>
      <c r="B877" s="2" t="s">
        <v>13</v>
      </c>
      <c r="C877" s="6" t="s">
        <v>14</v>
      </c>
      <c r="D877" s="6" t="s">
        <v>11</v>
      </c>
      <c r="E877" s="6" t="s">
        <v>15</v>
      </c>
      <c r="F877" s="6">
        <v>70</v>
      </c>
      <c r="G877" s="6">
        <v>72</v>
      </c>
      <c r="H877" s="6">
        <v>76</v>
      </c>
      <c r="I877" s="2">
        <f t="shared" si="27"/>
        <v>218</v>
      </c>
      <c r="J877" s="8">
        <f>AVERAGE(Table1[[#This Row],[math score]:[writing score]])</f>
        <v>72.666666666666671</v>
      </c>
      <c r="K877" s="2">
        <f t="shared" si="26"/>
        <v>300</v>
      </c>
      <c r="L877" s="4">
        <f>Table1[[#This Row],[Total Score]]/Table1[[#This Row],[Minimum Mark]]</f>
        <v>0.72666666666666668</v>
      </c>
      <c r="M877" s="70" t="str">
        <f>_xlfn.XLOOKUP(Table1[[#This Row],[Pass(%)]],O:O,P:P,,-1)</f>
        <v>C-</v>
      </c>
    </row>
    <row r="878" spans="1:13" ht="20.5" x14ac:dyDescent="0.8">
      <c r="A878" s="3" t="s">
        <v>17</v>
      </c>
      <c r="B878" s="3" t="s">
        <v>9</v>
      </c>
      <c r="C878" s="7" t="s">
        <v>19</v>
      </c>
      <c r="D878" s="7" t="s">
        <v>11</v>
      </c>
      <c r="E878" s="7" t="s">
        <v>15</v>
      </c>
      <c r="F878" s="7">
        <v>82</v>
      </c>
      <c r="G878" s="7">
        <v>84</v>
      </c>
      <c r="H878" s="7">
        <v>78</v>
      </c>
      <c r="I878" s="3">
        <f t="shared" si="27"/>
        <v>244</v>
      </c>
      <c r="J878" s="14">
        <f>AVERAGE(Table1[[#This Row],[math score]:[writing score]])</f>
        <v>81.333333333333329</v>
      </c>
      <c r="K878" s="3">
        <f t="shared" si="26"/>
        <v>300</v>
      </c>
      <c r="L878" s="5">
        <f>Table1[[#This Row],[Total Score]]/Table1[[#This Row],[Minimum Mark]]</f>
        <v>0.81333333333333335</v>
      </c>
      <c r="M878" s="71" t="str">
        <f>_xlfn.XLOOKUP(Table1[[#This Row],[Pass(%)]],O:O,P:P,,-1)</f>
        <v>B-</v>
      </c>
    </row>
    <row r="879" spans="1:13" ht="20.5" x14ac:dyDescent="0.8">
      <c r="A879" s="3" t="s">
        <v>17</v>
      </c>
      <c r="B879" s="3" t="s">
        <v>24</v>
      </c>
      <c r="C879" s="7" t="s">
        <v>19</v>
      </c>
      <c r="D879" s="7" t="s">
        <v>20</v>
      </c>
      <c r="E879" s="7" t="s">
        <v>12</v>
      </c>
      <c r="F879" s="7">
        <v>90</v>
      </c>
      <c r="G879" s="7">
        <v>90</v>
      </c>
      <c r="H879" s="7">
        <v>82</v>
      </c>
      <c r="I879" s="3">
        <f t="shared" si="27"/>
        <v>262</v>
      </c>
      <c r="J879" s="14">
        <f>AVERAGE(Table1[[#This Row],[math score]:[writing score]])</f>
        <v>87.333333333333329</v>
      </c>
      <c r="K879" s="3">
        <f t="shared" si="26"/>
        <v>300</v>
      </c>
      <c r="L879" s="5">
        <f>Table1[[#This Row],[Total Score]]/Table1[[#This Row],[Minimum Mark]]</f>
        <v>0.87333333333333329</v>
      </c>
      <c r="M879" s="71" t="str">
        <f>_xlfn.XLOOKUP(Table1[[#This Row],[Pass(%)]],O:O,P:P,,-1)</f>
        <v>B+</v>
      </c>
    </row>
    <row r="880" spans="1:13" x14ac:dyDescent="0.35">
      <c r="A880" s="2" t="s">
        <v>8</v>
      </c>
      <c r="B880" s="2" t="s">
        <v>13</v>
      </c>
      <c r="C880" s="6" t="s">
        <v>10</v>
      </c>
      <c r="D880" s="6" t="s">
        <v>20</v>
      </c>
      <c r="E880" s="6" t="s">
        <v>12</v>
      </c>
      <c r="F880" s="6">
        <v>43</v>
      </c>
      <c r="G880" s="6">
        <v>62</v>
      </c>
      <c r="H880" s="6">
        <v>61</v>
      </c>
      <c r="I880" s="2">
        <f t="shared" si="27"/>
        <v>166</v>
      </c>
      <c r="J880" s="8">
        <f>AVERAGE(Table1[[#This Row],[math score]:[writing score]])</f>
        <v>55.333333333333336</v>
      </c>
      <c r="K880" s="2">
        <f t="shared" si="26"/>
        <v>300</v>
      </c>
      <c r="L880" s="4">
        <f>Table1[[#This Row],[Total Score]]/Table1[[#This Row],[Minimum Mark]]</f>
        <v>0.55333333333333334</v>
      </c>
      <c r="M880" s="70" t="str">
        <f>_xlfn.XLOOKUP(Table1[[#This Row],[Pass(%)]],O:O,P:P,,-1)</f>
        <v>D+</v>
      </c>
    </row>
    <row r="881" spans="1:13" x14ac:dyDescent="0.35">
      <c r="A881" s="2" t="s">
        <v>17</v>
      </c>
      <c r="B881" s="2" t="s">
        <v>13</v>
      </c>
      <c r="C881" s="6" t="s">
        <v>14</v>
      </c>
      <c r="D881" s="6" t="s">
        <v>20</v>
      </c>
      <c r="E881" s="6" t="s">
        <v>12</v>
      </c>
      <c r="F881" s="6">
        <v>80</v>
      </c>
      <c r="G881" s="6">
        <v>64</v>
      </c>
      <c r="H881" s="6">
        <v>66</v>
      </c>
      <c r="I881" s="2">
        <f t="shared" si="27"/>
        <v>210</v>
      </c>
      <c r="J881" s="8">
        <f>AVERAGE(Table1[[#This Row],[math score]:[writing score]])</f>
        <v>70</v>
      </c>
      <c r="K881" s="2">
        <f t="shared" si="26"/>
        <v>300</v>
      </c>
      <c r="L881" s="4">
        <f>Table1[[#This Row],[Total Score]]/Table1[[#This Row],[Minimum Mark]]</f>
        <v>0.7</v>
      </c>
      <c r="M881" s="70" t="str">
        <f>_xlfn.XLOOKUP(Table1[[#This Row],[Pass(%)]],O:O,P:P,,-1)</f>
        <v>C-</v>
      </c>
    </row>
    <row r="882" spans="1:13" x14ac:dyDescent="0.35">
      <c r="A882" s="2" t="s">
        <v>17</v>
      </c>
      <c r="B882" s="2" t="s">
        <v>21</v>
      </c>
      <c r="C882" s="6" t="s">
        <v>14</v>
      </c>
      <c r="D882" s="6" t="s">
        <v>11</v>
      </c>
      <c r="E882" s="6" t="s">
        <v>12</v>
      </c>
      <c r="F882" s="6">
        <v>81</v>
      </c>
      <c r="G882" s="6">
        <v>82</v>
      </c>
      <c r="H882" s="6">
        <v>84</v>
      </c>
      <c r="I882" s="2">
        <f t="shared" si="27"/>
        <v>247</v>
      </c>
      <c r="J882" s="8">
        <f>AVERAGE(Table1[[#This Row],[math score]:[writing score]])</f>
        <v>82.333333333333329</v>
      </c>
      <c r="K882" s="2">
        <f t="shared" si="26"/>
        <v>300</v>
      </c>
      <c r="L882" s="4">
        <f>Table1[[#This Row],[Total Score]]/Table1[[#This Row],[Minimum Mark]]</f>
        <v>0.82333333333333336</v>
      </c>
      <c r="M882" s="70" t="str">
        <f>_xlfn.XLOOKUP(Table1[[#This Row],[Pass(%)]],O:O,P:P,,-1)</f>
        <v>B-</v>
      </c>
    </row>
    <row r="883" spans="1:13" x14ac:dyDescent="0.35">
      <c r="A883" s="2" t="s">
        <v>17</v>
      </c>
      <c r="B883" s="2" t="s">
        <v>13</v>
      </c>
      <c r="C883" s="6" t="s">
        <v>23</v>
      </c>
      <c r="D883" s="6" t="s">
        <v>11</v>
      </c>
      <c r="E883" s="6" t="s">
        <v>12</v>
      </c>
      <c r="F883" s="6">
        <v>57</v>
      </c>
      <c r="G883" s="6">
        <v>61</v>
      </c>
      <c r="H883" s="6">
        <v>54</v>
      </c>
      <c r="I883" s="2">
        <f t="shared" si="27"/>
        <v>172</v>
      </c>
      <c r="J883" s="8">
        <f>AVERAGE(Table1[[#This Row],[math score]:[writing score]])</f>
        <v>57.333333333333336</v>
      </c>
      <c r="K883" s="2">
        <f t="shared" si="26"/>
        <v>300</v>
      </c>
      <c r="L883" s="4">
        <f>Table1[[#This Row],[Total Score]]/Table1[[#This Row],[Minimum Mark]]</f>
        <v>0.57333333333333336</v>
      </c>
      <c r="M883" s="70" t="str">
        <f>_xlfn.XLOOKUP(Table1[[#This Row],[Pass(%)]],O:O,P:P,,-1)</f>
        <v>D+</v>
      </c>
    </row>
    <row r="884" spans="1:13" x14ac:dyDescent="0.35">
      <c r="A884" s="2" t="s">
        <v>8</v>
      </c>
      <c r="B884" s="2" t="s">
        <v>21</v>
      </c>
      <c r="C884" s="6" t="s">
        <v>23</v>
      </c>
      <c r="D884" s="6" t="s">
        <v>11</v>
      </c>
      <c r="E884" s="6" t="s">
        <v>12</v>
      </c>
      <c r="F884" s="6">
        <v>59</v>
      </c>
      <c r="G884" s="6">
        <v>72</v>
      </c>
      <c r="H884" s="6">
        <v>80</v>
      </c>
      <c r="I884" s="2">
        <f t="shared" si="27"/>
        <v>211</v>
      </c>
      <c r="J884" s="8">
        <f>AVERAGE(Table1[[#This Row],[math score]:[writing score]])</f>
        <v>70.333333333333329</v>
      </c>
      <c r="K884" s="2">
        <f t="shared" si="26"/>
        <v>300</v>
      </c>
      <c r="L884" s="4">
        <f>Table1[[#This Row],[Total Score]]/Table1[[#This Row],[Minimum Mark]]</f>
        <v>0.70333333333333337</v>
      </c>
      <c r="M884" s="70" t="str">
        <f>_xlfn.XLOOKUP(Table1[[#This Row],[Pass(%)]],O:O,P:P,,-1)</f>
        <v>C-</v>
      </c>
    </row>
    <row r="885" spans="1:13" ht="20.5" x14ac:dyDescent="0.8">
      <c r="A885" s="3" t="s">
        <v>8</v>
      </c>
      <c r="B885" s="3" t="s">
        <v>21</v>
      </c>
      <c r="C885" s="7" t="s">
        <v>19</v>
      </c>
      <c r="D885" s="7" t="s">
        <v>11</v>
      </c>
      <c r="E885" s="7" t="s">
        <v>12</v>
      </c>
      <c r="F885" s="7">
        <v>64</v>
      </c>
      <c r="G885" s="7">
        <v>76</v>
      </c>
      <c r="H885" s="7">
        <v>74</v>
      </c>
      <c r="I885" s="3">
        <f t="shared" si="27"/>
        <v>214</v>
      </c>
      <c r="J885" s="14">
        <f>AVERAGE(Table1[[#This Row],[math score]:[writing score]])</f>
        <v>71.333333333333329</v>
      </c>
      <c r="K885" s="3">
        <f t="shared" si="26"/>
        <v>300</v>
      </c>
      <c r="L885" s="5">
        <f>Table1[[#This Row],[Total Score]]/Table1[[#This Row],[Minimum Mark]]</f>
        <v>0.71333333333333337</v>
      </c>
      <c r="M885" s="71" t="str">
        <f>_xlfn.XLOOKUP(Table1[[#This Row],[Pass(%)]],O:O,P:P,,-1)</f>
        <v>C-</v>
      </c>
    </row>
    <row r="886" spans="1:13" x14ac:dyDescent="0.35">
      <c r="A886" s="2" t="s">
        <v>17</v>
      </c>
      <c r="B886" s="2" t="s">
        <v>13</v>
      </c>
      <c r="C886" s="6" t="s">
        <v>10</v>
      </c>
      <c r="D886" s="6" t="s">
        <v>11</v>
      </c>
      <c r="E886" s="6" t="s">
        <v>15</v>
      </c>
      <c r="F886" s="6">
        <v>63</v>
      </c>
      <c r="G886" s="6">
        <v>64</v>
      </c>
      <c r="H886" s="6">
        <v>66</v>
      </c>
      <c r="I886" s="2">
        <f t="shared" si="27"/>
        <v>193</v>
      </c>
      <c r="J886" s="8">
        <f>AVERAGE(Table1[[#This Row],[math score]:[writing score]])</f>
        <v>64.333333333333329</v>
      </c>
      <c r="K886" s="2">
        <f t="shared" si="26"/>
        <v>300</v>
      </c>
      <c r="L886" s="4">
        <f>Table1[[#This Row],[Total Score]]/Table1[[#This Row],[Minimum Mark]]</f>
        <v>0.64333333333333331</v>
      </c>
      <c r="M886" s="70" t="str">
        <f>_xlfn.XLOOKUP(Table1[[#This Row],[Pass(%)]],O:O,P:P,,-1)</f>
        <v>D+</v>
      </c>
    </row>
    <row r="887" spans="1:13" x14ac:dyDescent="0.35">
      <c r="A887" s="2" t="s">
        <v>8</v>
      </c>
      <c r="B887" s="2" t="s">
        <v>24</v>
      </c>
      <c r="C887" s="6" t="s">
        <v>10</v>
      </c>
      <c r="D887" s="6" t="s">
        <v>11</v>
      </c>
      <c r="E887" s="6" t="s">
        <v>15</v>
      </c>
      <c r="F887" s="6">
        <v>71</v>
      </c>
      <c r="G887" s="6">
        <v>70</v>
      </c>
      <c r="H887" s="6">
        <v>70</v>
      </c>
      <c r="I887" s="2">
        <f t="shared" si="27"/>
        <v>211</v>
      </c>
      <c r="J887" s="8">
        <f>AVERAGE(Table1[[#This Row],[math score]:[writing score]])</f>
        <v>70.333333333333329</v>
      </c>
      <c r="K887" s="2">
        <f t="shared" si="26"/>
        <v>300</v>
      </c>
      <c r="L887" s="4">
        <f>Table1[[#This Row],[Total Score]]/Table1[[#This Row],[Minimum Mark]]</f>
        <v>0.70333333333333337</v>
      </c>
      <c r="M887" s="70" t="str">
        <f>_xlfn.XLOOKUP(Table1[[#This Row],[Pass(%)]],O:O,P:P,,-1)</f>
        <v>C-</v>
      </c>
    </row>
    <row r="888" spans="1:13" x14ac:dyDescent="0.35">
      <c r="A888" s="2" t="s">
        <v>8</v>
      </c>
      <c r="B888" s="2" t="s">
        <v>9</v>
      </c>
      <c r="C888" s="6" t="s">
        <v>22</v>
      </c>
      <c r="D888" s="6" t="s">
        <v>20</v>
      </c>
      <c r="E888" s="6" t="s">
        <v>12</v>
      </c>
      <c r="F888" s="6">
        <v>64</v>
      </c>
      <c r="G888" s="6">
        <v>73</v>
      </c>
      <c r="H888" s="6">
        <v>71</v>
      </c>
      <c r="I888" s="2">
        <f t="shared" si="27"/>
        <v>208</v>
      </c>
      <c r="J888" s="8">
        <f>AVERAGE(Table1[[#This Row],[math score]:[writing score]])</f>
        <v>69.333333333333329</v>
      </c>
      <c r="K888" s="2">
        <f t="shared" si="26"/>
        <v>300</v>
      </c>
      <c r="L888" s="4">
        <f>Table1[[#This Row],[Total Score]]/Table1[[#This Row],[Minimum Mark]]</f>
        <v>0.69333333333333336</v>
      </c>
      <c r="M888" s="70" t="str">
        <f>_xlfn.XLOOKUP(Table1[[#This Row],[Pass(%)]],O:O,P:P,,-1)</f>
        <v>D+</v>
      </c>
    </row>
    <row r="889" spans="1:13" x14ac:dyDescent="0.35">
      <c r="A889" s="2" t="s">
        <v>17</v>
      </c>
      <c r="B889" s="2" t="s">
        <v>21</v>
      </c>
      <c r="C889" s="6" t="s">
        <v>10</v>
      </c>
      <c r="D889" s="6" t="s">
        <v>20</v>
      </c>
      <c r="E889" s="6" t="s">
        <v>12</v>
      </c>
      <c r="F889" s="6">
        <v>55</v>
      </c>
      <c r="G889" s="6">
        <v>46</v>
      </c>
      <c r="H889" s="6">
        <v>44</v>
      </c>
      <c r="I889" s="2">
        <f t="shared" si="27"/>
        <v>145</v>
      </c>
      <c r="J889" s="8">
        <f>AVERAGE(Table1[[#This Row],[math score]:[writing score]])</f>
        <v>48.333333333333336</v>
      </c>
      <c r="K889" s="2">
        <f t="shared" si="26"/>
        <v>300</v>
      </c>
      <c r="L889" s="4">
        <f>Table1[[#This Row],[Total Score]]/Table1[[#This Row],[Minimum Mark]]</f>
        <v>0.48333333333333334</v>
      </c>
      <c r="M889" s="70" t="str">
        <f>_xlfn.XLOOKUP(Table1[[#This Row],[Pass(%)]],O:O,P:P,,-1)</f>
        <v>D</v>
      </c>
    </row>
    <row r="890" spans="1:13" ht="20.5" x14ac:dyDescent="0.8">
      <c r="A890" s="3" t="s">
        <v>8</v>
      </c>
      <c r="B890" s="3" t="s">
        <v>24</v>
      </c>
      <c r="C890" s="7" t="s">
        <v>19</v>
      </c>
      <c r="D890" s="7" t="s">
        <v>11</v>
      </c>
      <c r="E890" s="7" t="s">
        <v>12</v>
      </c>
      <c r="F890" s="7">
        <v>51</v>
      </c>
      <c r="G890" s="7">
        <v>51</v>
      </c>
      <c r="H890" s="7">
        <v>54</v>
      </c>
      <c r="I890" s="3">
        <f t="shared" si="27"/>
        <v>156</v>
      </c>
      <c r="J890" s="14">
        <f>AVERAGE(Table1[[#This Row],[math score]:[writing score]])</f>
        <v>52</v>
      </c>
      <c r="K890" s="3">
        <f t="shared" si="26"/>
        <v>300</v>
      </c>
      <c r="L890" s="5">
        <f>Table1[[#This Row],[Total Score]]/Table1[[#This Row],[Minimum Mark]]</f>
        <v>0.52</v>
      </c>
      <c r="M890" s="71" t="str">
        <f>_xlfn.XLOOKUP(Table1[[#This Row],[Pass(%)]],O:O,P:P,,-1)</f>
        <v>D</v>
      </c>
    </row>
    <row r="891" spans="1:13" ht="20.5" x14ac:dyDescent="0.8">
      <c r="A891" s="3" t="s">
        <v>8</v>
      </c>
      <c r="B891" s="3" t="s">
        <v>13</v>
      </c>
      <c r="C891" s="7" t="s">
        <v>19</v>
      </c>
      <c r="D891" s="7" t="s">
        <v>11</v>
      </c>
      <c r="E891" s="7" t="s">
        <v>15</v>
      </c>
      <c r="F891" s="7">
        <v>62</v>
      </c>
      <c r="G891" s="7">
        <v>76</v>
      </c>
      <c r="H891" s="7">
        <v>80</v>
      </c>
      <c r="I891" s="3">
        <f t="shared" si="27"/>
        <v>218</v>
      </c>
      <c r="J891" s="14">
        <f>AVERAGE(Table1[[#This Row],[math score]:[writing score]])</f>
        <v>72.666666666666671</v>
      </c>
      <c r="K891" s="3">
        <f t="shared" si="26"/>
        <v>300</v>
      </c>
      <c r="L891" s="5">
        <f>Table1[[#This Row],[Total Score]]/Table1[[#This Row],[Minimum Mark]]</f>
        <v>0.72666666666666668</v>
      </c>
      <c r="M891" s="71" t="str">
        <f>_xlfn.XLOOKUP(Table1[[#This Row],[Pass(%)]],O:O,P:P,,-1)</f>
        <v>C-</v>
      </c>
    </row>
    <row r="892" spans="1:13" ht="20.5" x14ac:dyDescent="0.8">
      <c r="A892" s="3" t="s">
        <v>8</v>
      </c>
      <c r="B892" s="3" t="s">
        <v>24</v>
      </c>
      <c r="C892" s="7" t="s">
        <v>19</v>
      </c>
      <c r="D892" s="7" t="s">
        <v>11</v>
      </c>
      <c r="E892" s="7" t="s">
        <v>15</v>
      </c>
      <c r="F892" s="7">
        <v>93</v>
      </c>
      <c r="G892" s="7">
        <v>100</v>
      </c>
      <c r="H892" s="7">
        <v>95</v>
      </c>
      <c r="I892" s="3">
        <f t="shared" si="27"/>
        <v>288</v>
      </c>
      <c r="J892" s="14">
        <f>AVERAGE(Table1[[#This Row],[math score]:[writing score]])</f>
        <v>96</v>
      </c>
      <c r="K892" s="3">
        <f t="shared" si="26"/>
        <v>300</v>
      </c>
      <c r="L892" s="5">
        <f>Table1[[#This Row],[Total Score]]/Table1[[#This Row],[Minimum Mark]]</f>
        <v>0.96</v>
      </c>
      <c r="M892" s="71" t="str">
        <f>_xlfn.XLOOKUP(Table1[[#This Row],[Pass(%)]],O:O,P:P,,-1)</f>
        <v>A</v>
      </c>
    </row>
    <row r="893" spans="1:13" x14ac:dyDescent="0.35">
      <c r="A893" s="2" t="s">
        <v>17</v>
      </c>
      <c r="B893" s="2" t="s">
        <v>13</v>
      </c>
      <c r="C893" s="6" t="s">
        <v>22</v>
      </c>
      <c r="D893" s="6" t="s">
        <v>20</v>
      </c>
      <c r="E893" s="6" t="s">
        <v>12</v>
      </c>
      <c r="F893" s="6">
        <v>54</v>
      </c>
      <c r="G893" s="6">
        <v>72</v>
      </c>
      <c r="H893" s="6">
        <v>59</v>
      </c>
      <c r="I893" s="2">
        <f t="shared" si="27"/>
        <v>185</v>
      </c>
      <c r="J893" s="8">
        <f>AVERAGE(Table1[[#This Row],[math score]:[writing score]])</f>
        <v>61.666666666666664</v>
      </c>
      <c r="K893" s="2">
        <f t="shared" si="26"/>
        <v>300</v>
      </c>
      <c r="L893" s="4">
        <f>Table1[[#This Row],[Total Score]]/Table1[[#This Row],[Minimum Mark]]</f>
        <v>0.6166666666666667</v>
      </c>
      <c r="M893" s="70" t="str">
        <f>_xlfn.XLOOKUP(Table1[[#This Row],[Pass(%)]],O:O,P:P,,-1)</f>
        <v>D+</v>
      </c>
    </row>
    <row r="894" spans="1:13" x14ac:dyDescent="0.35">
      <c r="A894" s="2" t="s">
        <v>8</v>
      </c>
      <c r="B894" s="2" t="s">
        <v>21</v>
      </c>
      <c r="C894" s="6" t="s">
        <v>14</v>
      </c>
      <c r="D894" s="6" t="s">
        <v>20</v>
      </c>
      <c r="E894" s="6" t="s">
        <v>12</v>
      </c>
      <c r="F894" s="6">
        <v>69</v>
      </c>
      <c r="G894" s="6">
        <v>65</v>
      </c>
      <c r="H894" s="6">
        <v>74</v>
      </c>
      <c r="I894" s="2">
        <f t="shared" si="27"/>
        <v>208</v>
      </c>
      <c r="J894" s="8">
        <f>AVERAGE(Table1[[#This Row],[math score]:[writing score]])</f>
        <v>69.333333333333329</v>
      </c>
      <c r="K894" s="2">
        <f t="shared" si="26"/>
        <v>300</v>
      </c>
      <c r="L894" s="4">
        <f>Table1[[#This Row],[Total Score]]/Table1[[#This Row],[Minimum Mark]]</f>
        <v>0.69333333333333336</v>
      </c>
      <c r="M894" s="70" t="str">
        <f>_xlfn.XLOOKUP(Table1[[#This Row],[Pass(%)]],O:O,P:P,,-1)</f>
        <v>D+</v>
      </c>
    </row>
    <row r="895" spans="1:13" x14ac:dyDescent="0.35">
      <c r="A895" s="2" t="s">
        <v>17</v>
      </c>
      <c r="B895" s="2" t="s">
        <v>21</v>
      </c>
      <c r="C895" s="6" t="s">
        <v>22</v>
      </c>
      <c r="D895" s="6" t="s">
        <v>20</v>
      </c>
      <c r="E895" s="6" t="s">
        <v>12</v>
      </c>
      <c r="F895" s="6">
        <v>44</v>
      </c>
      <c r="G895" s="6">
        <v>51</v>
      </c>
      <c r="H895" s="6">
        <v>48</v>
      </c>
      <c r="I895" s="2">
        <f t="shared" si="27"/>
        <v>143</v>
      </c>
      <c r="J895" s="8">
        <f>AVERAGE(Table1[[#This Row],[math score]:[writing score]])</f>
        <v>47.666666666666664</v>
      </c>
      <c r="K895" s="2">
        <f t="shared" si="26"/>
        <v>300</v>
      </c>
      <c r="L895" s="4">
        <f>Table1[[#This Row],[Total Score]]/Table1[[#This Row],[Minimum Mark]]</f>
        <v>0.47666666666666668</v>
      </c>
      <c r="M895" s="70" t="str">
        <f>_xlfn.XLOOKUP(Table1[[#This Row],[Pass(%)]],O:O,P:P,,-1)</f>
        <v>D</v>
      </c>
    </row>
    <row r="896" spans="1:13" x14ac:dyDescent="0.35">
      <c r="A896" s="2" t="s">
        <v>8</v>
      </c>
      <c r="B896" s="2" t="s">
        <v>24</v>
      </c>
      <c r="C896" s="6" t="s">
        <v>14</v>
      </c>
      <c r="D896" s="6" t="s">
        <v>11</v>
      </c>
      <c r="E896" s="6" t="s">
        <v>15</v>
      </c>
      <c r="F896" s="6">
        <v>86</v>
      </c>
      <c r="G896" s="6">
        <v>85</v>
      </c>
      <c r="H896" s="6">
        <v>91</v>
      </c>
      <c r="I896" s="2">
        <f t="shared" si="27"/>
        <v>262</v>
      </c>
      <c r="J896" s="8">
        <f>AVERAGE(Table1[[#This Row],[math score]:[writing score]])</f>
        <v>87.333333333333329</v>
      </c>
      <c r="K896" s="2">
        <f t="shared" si="26"/>
        <v>300</v>
      </c>
      <c r="L896" s="4">
        <f>Table1[[#This Row],[Total Score]]/Table1[[#This Row],[Minimum Mark]]</f>
        <v>0.87333333333333329</v>
      </c>
      <c r="M896" s="70" t="str">
        <f>_xlfn.XLOOKUP(Table1[[#This Row],[Pass(%)]],O:O,P:P,,-1)</f>
        <v>B+</v>
      </c>
    </row>
    <row r="897" spans="1:13" ht="20.5" x14ac:dyDescent="0.8">
      <c r="A897" s="3" t="s">
        <v>8</v>
      </c>
      <c r="B897" s="3" t="s">
        <v>24</v>
      </c>
      <c r="C897" s="7" t="s">
        <v>19</v>
      </c>
      <c r="D897" s="7" t="s">
        <v>11</v>
      </c>
      <c r="E897" s="7" t="s">
        <v>12</v>
      </c>
      <c r="F897" s="7">
        <v>85</v>
      </c>
      <c r="G897" s="7">
        <v>92</v>
      </c>
      <c r="H897" s="7">
        <v>85</v>
      </c>
      <c r="I897" s="3">
        <f t="shared" si="27"/>
        <v>262</v>
      </c>
      <c r="J897" s="14">
        <f>AVERAGE(Table1[[#This Row],[math score]:[writing score]])</f>
        <v>87.333333333333329</v>
      </c>
      <c r="K897" s="3">
        <f t="shared" si="26"/>
        <v>300</v>
      </c>
      <c r="L897" s="5">
        <f>Table1[[#This Row],[Total Score]]/Table1[[#This Row],[Minimum Mark]]</f>
        <v>0.87333333333333329</v>
      </c>
      <c r="M897" s="71" t="str">
        <f>_xlfn.XLOOKUP(Table1[[#This Row],[Pass(%)]],O:O,P:P,,-1)</f>
        <v>B+</v>
      </c>
    </row>
    <row r="898" spans="1:13" x14ac:dyDescent="0.35">
      <c r="A898" s="2" t="s">
        <v>8</v>
      </c>
      <c r="B898" s="2" t="s">
        <v>18</v>
      </c>
      <c r="C898" s="6" t="s">
        <v>16</v>
      </c>
      <c r="D898" s="6" t="s">
        <v>20</v>
      </c>
      <c r="E898" s="6" t="s">
        <v>12</v>
      </c>
      <c r="F898" s="6">
        <v>50</v>
      </c>
      <c r="G898" s="6">
        <v>67</v>
      </c>
      <c r="H898" s="6">
        <v>73</v>
      </c>
      <c r="I898" s="2">
        <f t="shared" si="27"/>
        <v>190</v>
      </c>
      <c r="J898" s="8">
        <f>AVERAGE(Table1[[#This Row],[math score]:[writing score]])</f>
        <v>63.333333333333336</v>
      </c>
      <c r="K898" s="2">
        <f t="shared" si="26"/>
        <v>300</v>
      </c>
      <c r="L898" s="4">
        <f>Table1[[#This Row],[Total Score]]/Table1[[#This Row],[Minimum Mark]]</f>
        <v>0.6333333333333333</v>
      </c>
      <c r="M898" s="70" t="str">
        <f>_xlfn.XLOOKUP(Table1[[#This Row],[Pass(%)]],O:O,P:P,,-1)</f>
        <v>D+</v>
      </c>
    </row>
    <row r="899" spans="1:13" x14ac:dyDescent="0.35">
      <c r="A899" s="2" t="s">
        <v>17</v>
      </c>
      <c r="B899" s="2" t="s">
        <v>21</v>
      </c>
      <c r="C899" s="6" t="s">
        <v>23</v>
      </c>
      <c r="D899" s="6" t="s">
        <v>11</v>
      </c>
      <c r="E899" s="6" t="s">
        <v>15</v>
      </c>
      <c r="F899" s="6">
        <v>88</v>
      </c>
      <c r="G899" s="6">
        <v>74</v>
      </c>
      <c r="H899" s="6">
        <v>75</v>
      </c>
      <c r="I899" s="2">
        <f t="shared" si="27"/>
        <v>237</v>
      </c>
      <c r="J899" s="8">
        <f>AVERAGE(Table1[[#This Row],[math score]:[writing score]])</f>
        <v>79</v>
      </c>
      <c r="K899" s="2">
        <f t="shared" si="26"/>
        <v>300</v>
      </c>
      <c r="L899" s="4">
        <f>Table1[[#This Row],[Total Score]]/Table1[[#This Row],[Minimum Mark]]</f>
        <v>0.79</v>
      </c>
      <c r="M899" s="70" t="str">
        <f>_xlfn.XLOOKUP(Table1[[#This Row],[Pass(%)]],O:O,P:P,,-1)</f>
        <v>C+</v>
      </c>
    </row>
    <row r="900" spans="1:13" ht="20.5" x14ac:dyDescent="0.8">
      <c r="A900" s="3" t="s">
        <v>8</v>
      </c>
      <c r="B900" s="3" t="s">
        <v>24</v>
      </c>
      <c r="C900" s="7" t="s">
        <v>19</v>
      </c>
      <c r="D900" s="7" t="s">
        <v>11</v>
      </c>
      <c r="E900" s="7" t="s">
        <v>12</v>
      </c>
      <c r="F900" s="7">
        <v>59</v>
      </c>
      <c r="G900" s="7">
        <v>62</v>
      </c>
      <c r="H900" s="7">
        <v>69</v>
      </c>
      <c r="I900" s="3">
        <f t="shared" si="27"/>
        <v>190</v>
      </c>
      <c r="J900" s="14">
        <f>AVERAGE(Table1[[#This Row],[math score]:[writing score]])</f>
        <v>63.333333333333336</v>
      </c>
      <c r="K900" s="3">
        <f t="shared" si="26"/>
        <v>300</v>
      </c>
      <c r="L900" s="5">
        <f>Table1[[#This Row],[Total Score]]/Table1[[#This Row],[Minimum Mark]]</f>
        <v>0.6333333333333333</v>
      </c>
      <c r="M900" s="71" t="str">
        <f>_xlfn.XLOOKUP(Table1[[#This Row],[Pass(%)]],O:O,P:P,,-1)</f>
        <v>D+</v>
      </c>
    </row>
    <row r="901" spans="1:13" x14ac:dyDescent="0.35">
      <c r="A901" s="2" t="s">
        <v>8</v>
      </c>
      <c r="B901" s="2" t="s">
        <v>24</v>
      </c>
      <c r="C901" s="6" t="s">
        <v>23</v>
      </c>
      <c r="D901" s="6" t="s">
        <v>20</v>
      </c>
      <c r="E901" s="6" t="s">
        <v>12</v>
      </c>
      <c r="F901" s="6">
        <v>32</v>
      </c>
      <c r="G901" s="6">
        <v>34</v>
      </c>
      <c r="H901" s="6">
        <v>38</v>
      </c>
      <c r="I901" s="2">
        <f t="shared" si="27"/>
        <v>104</v>
      </c>
      <c r="J901" s="8">
        <f>AVERAGE(Table1[[#This Row],[math score]:[writing score]])</f>
        <v>34.666666666666664</v>
      </c>
      <c r="K901" s="2">
        <f t="shared" si="26"/>
        <v>300</v>
      </c>
      <c r="L901" s="4">
        <f>Table1[[#This Row],[Total Score]]/Table1[[#This Row],[Minimum Mark]]</f>
        <v>0.34666666666666668</v>
      </c>
      <c r="M901" s="70" t="str">
        <f>_xlfn.XLOOKUP(Table1[[#This Row],[Pass(%)]],O:O,P:P,,-1)</f>
        <v>D-</v>
      </c>
    </row>
    <row r="902" spans="1:13" x14ac:dyDescent="0.35">
      <c r="A902" s="2" t="s">
        <v>17</v>
      </c>
      <c r="B902" s="2" t="s">
        <v>9</v>
      </c>
      <c r="C902" s="6" t="s">
        <v>22</v>
      </c>
      <c r="D902" s="6" t="s">
        <v>20</v>
      </c>
      <c r="E902" s="6" t="s">
        <v>12</v>
      </c>
      <c r="F902" s="6">
        <v>36</v>
      </c>
      <c r="G902" s="6">
        <v>29</v>
      </c>
      <c r="H902" s="6">
        <v>27</v>
      </c>
      <c r="I902" s="2">
        <f t="shared" si="27"/>
        <v>92</v>
      </c>
      <c r="J902" s="8">
        <f>AVERAGE(Table1[[#This Row],[math score]:[writing score]])</f>
        <v>30.666666666666668</v>
      </c>
      <c r="K902" s="2">
        <f t="shared" ref="K902:K965" si="28">3*100</f>
        <v>300</v>
      </c>
      <c r="L902" s="4">
        <f>Table1[[#This Row],[Total Score]]/Table1[[#This Row],[Minimum Mark]]</f>
        <v>0.30666666666666664</v>
      </c>
      <c r="M902" s="70" t="str">
        <f>_xlfn.XLOOKUP(Table1[[#This Row],[Pass(%)]],O:O,P:P,,-1)</f>
        <v>D-</v>
      </c>
    </row>
    <row r="903" spans="1:13" x14ac:dyDescent="0.35">
      <c r="A903" s="2" t="s">
        <v>8</v>
      </c>
      <c r="B903" s="2" t="s">
        <v>9</v>
      </c>
      <c r="C903" s="6" t="s">
        <v>23</v>
      </c>
      <c r="D903" s="6" t="s">
        <v>20</v>
      </c>
      <c r="E903" s="6" t="s">
        <v>15</v>
      </c>
      <c r="F903" s="6">
        <v>63</v>
      </c>
      <c r="G903" s="6">
        <v>78</v>
      </c>
      <c r="H903" s="6">
        <v>79</v>
      </c>
      <c r="I903" s="2">
        <f t="shared" ref="I903:I966" si="29">SUM(F903:H903)</f>
        <v>220</v>
      </c>
      <c r="J903" s="8">
        <f>AVERAGE(Table1[[#This Row],[math score]:[writing score]])</f>
        <v>73.333333333333329</v>
      </c>
      <c r="K903" s="2">
        <f t="shared" si="28"/>
        <v>300</v>
      </c>
      <c r="L903" s="4">
        <f>Table1[[#This Row],[Total Score]]/Table1[[#This Row],[Minimum Mark]]</f>
        <v>0.73333333333333328</v>
      </c>
      <c r="M903" s="70" t="str">
        <f>_xlfn.XLOOKUP(Table1[[#This Row],[Pass(%)]],O:O,P:P,,-1)</f>
        <v>C</v>
      </c>
    </row>
    <row r="904" spans="1:13" ht="20.5" x14ac:dyDescent="0.8">
      <c r="A904" s="3" t="s">
        <v>17</v>
      </c>
      <c r="B904" s="3" t="s">
        <v>21</v>
      </c>
      <c r="C904" s="7" t="s">
        <v>19</v>
      </c>
      <c r="D904" s="7" t="s">
        <v>11</v>
      </c>
      <c r="E904" s="7" t="s">
        <v>15</v>
      </c>
      <c r="F904" s="7">
        <v>67</v>
      </c>
      <c r="G904" s="7">
        <v>54</v>
      </c>
      <c r="H904" s="7">
        <v>63</v>
      </c>
      <c r="I904" s="3">
        <f t="shared" si="29"/>
        <v>184</v>
      </c>
      <c r="J904" s="14">
        <f>AVERAGE(Table1[[#This Row],[math score]:[writing score]])</f>
        <v>61.333333333333336</v>
      </c>
      <c r="K904" s="3">
        <f t="shared" si="28"/>
        <v>300</v>
      </c>
      <c r="L904" s="5">
        <f>Table1[[#This Row],[Total Score]]/Table1[[#This Row],[Minimum Mark]]</f>
        <v>0.61333333333333329</v>
      </c>
      <c r="M904" s="71" t="str">
        <f>_xlfn.XLOOKUP(Table1[[#This Row],[Pass(%)]],O:O,P:P,,-1)</f>
        <v>D+</v>
      </c>
    </row>
    <row r="905" spans="1:13" x14ac:dyDescent="0.35">
      <c r="A905" s="2" t="s">
        <v>8</v>
      </c>
      <c r="B905" s="2" t="s">
        <v>21</v>
      </c>
      <c r="C905" s="6" t="s">
        <v>23</v>
      </c>
      <c r="D905" s="6" t="s">
        <v>11</v>
      </c>
      <c r="E905" s="6" t="s">
        <v>15</v>
      </c>
      <c r="F905" s="6">
        <v>65</v>
      </c>
      <c r="G905" s="6">
        <v>78</v>
      </c>
      <c r="H905" s="6">
        <v>82</v>
      </c>
      <c r="I905" s="2">
        <f t="shared" si="29"/>
        <v>225</v>
      </c>
      <c r="J905" s="8">
        <f>AVERAGE(Table1[[#This Row],[math score]:[writing score]])</f>
        <v>75</v>
      </c>
      <c r="K905" s="2">
        <f t="shared" si="28"/>
        <v>300</v>
      </c>
      <c r="L905" s="4">
        <f>Table1[[#This Row],[Total Score]]/Table1[[#This Row],[Minimum Mark]]</f>
        <v>0.75</v>
      </c>
      <c r="M905" s="70" t="str">
        <f>_xlfn.XLOOKUP(Table1[[#This Row],[Pass(%)]],O:O,P:P,,-1)</f>
        <v>C</v>
      </c>
    </row>
    <row r="906" spans="1:13" x14ac:dyDescent="0.35">
      <c r="A906" s="2" t="s">
        <v>17</v>
      </c>
      <c r="B906" s="2" t="s">
        <v>21</v>
      </c>
      <c r="C906" s="6" t="s">
        <v>16</v>
      </c>
      <c r="D906" s="6" t="s">
        <v>11</v>
      </c>
      <c r="E906" s="6" t="s">
        <v>12</v>
      </c>
      <c r="F906" s="6">
        <v>85</v>
      </c>
      <c r="G906" s="6">
        <v>84</v>
      </c>
      <c r="H906" s="6">
        <v>89</v>
      </c>
      <c r="I906" s="2">
        <f t="shared" si="29"/>
        <v>258</v>
      </c>
      <c r="J906" s="8">
        <f>AVERAGE(Table1[[#This Row],[math score]:[writing score]])</f>
        <v>86</v>
      </c>
      <c r="K906" s="2">
        <f t="shared" si="28"/>
        <v>300</v>
      </c>
      <c r="L906" s="4">
        <f>Table1[[#This Row],[Total Score]]/Table1[[#This Row],[Minimum Mark]]</f>
        <v>0.86</v>
      </c>
      <c r="M906" s="70" t="str">
        <f>_xlfn.XLOOKUP(Table1[[#This Row],[Pass(%)]],O:O,P:P,,-1)</f>
        <v>B</v>
      </c>
    </row>
    <row r="907" spans="1:13" x14ac:dyDescent="0.35">
      <c r="A907" s="2" t="s">
        <v>8</v>
      </c>
      <c r="B907" s="2" t="s">
        <v>13</v>
      </c>
      <c r="C907" s="6" t="s">
        <v>16</v>
      </c>
      <c r="D907" s="6" t="s">
        <v>11</v>
      </c>
      <c r="E907" s="6" t="s">
        <v>12</v>
      </c>
      <c r="F907" s="6">
        <v>73</v>
      </c>
      <c r="G907" s="6">
        <v>78</v>
      </c>
      <c r="H907" s="6">
        <v>74</v>
      </c>
      <c r="I907" s="2">
        <f t="shared" si="29"/>
        <v>225</v>
      </c>
      <c r="J907" s="8">
        <f>AVERAGE(Table1[[#This Row],[math score]:[writing score]])</f>
        <v>75</v>
      </c>
      <c r="K907" s="2">
        <f t="shared" si="28"/>
        <v>300</v>
      </c>
      <c r="L907" s="4">
        <f>Table1[[#This Row],[Total Score]]/Table1[[#This Row],[Minimum Mark]]</f>
        <v>0.75</v>
      </c>
      <c r="M907" s="70" t="str">
        <f>_xlfn.XLOOKUP(Table1[[#This Row],[Pass(%)]],O:O,P:P,,-1)</f>
        <v>C</v>
      </c>
    </row>
    <row r="908" spans="1:13" x14ac:dyDescent="0.35">
      <c r="A908" s="2" t="s">
        <v>8</v>
      </c>
      <c r="B908" s="2" t="s">
        <v>18</v>
      </c>
      <c r="C908" s="6" t="s">
        <v>22</v>
      </c>
      <c r="D908" s="6" t="s">
        <v>20</v>
      </c>
      <c r="E908" s="6" t="s">
        <v>15</v>
      </c>
      <c r="F908" s="6">
        <v>34</v>
      </c>
      <c r="G908" s="6">
        <v>48</v>
      </c>
      <c r="H908" s="6">
        <v>41</v>
      </c>
      <c r="I908" s="2">
        <f t="shared" si="29"/>
        <v>123</v>
      </c>
      <c r="J908" s="8">
        <f>AVERAGE(Table1[[#This Row],[math score]:[writing score]])</f>
        <v>41</v>
      </c>
      <c r="K908" s="2">
        <f t="shared" si="28"/>
        <v>300</v>
      </c>
      <c r="L908" s="4">
        <f>Table1[[#This Row],[Total Score]]/Table1[[#This Row],[Minimum Mark]]</f>
        <v>0.41</v>
      </c>
      <c r="M908" s="70" t="str">
        <f>_xlfn.XLOOKUP(Table1[[#This Row],[Pass(%)]],O:O,P:P,,-1)</f>
        <v>D</v>
      </c>
    </row>
    <row r="909" spans="1:13" x14ac:dyDescent="0.35">
      <c r="A909" s="2" t="s">
        <v>8</v>
      </c>
      <c r="B909" s="2" t="s">
        <v>21</v>
      </c>
      <c r="C909" s="6" t="s">
        <v>10</v>
      </c>
      <c r="D909" s="6" t="s">
        <v>20</v>
      </c>
      <c r="E909" s="6" t="s">
        <v>15</v>
      </c>
      <c r="F909" s="6">
        <v>93</v>
      </c>
      <c r="G909" s="6">
        <v>100</v>
      </c>
      <c r="H909" s="6">
        <v>100</v>
      </c>
      <c r="I909" s="2">
        <f t="shared" si="29"/>
        <v>293</v>
      </c>
      <c r="J909" s="8">
        <f>AVERAGE(Table1[[#This Row],[math score]:[writing score]])</f>
        <v>97.666666666666671</v>
      </c>
      <c r="K909" s="2">
        <f t="shared" si="28"/>
        <v>300</v>
      </c>
      <c r="L909" s="4">
        <f>Table1[[#This Row],[Total Score]]/Table1[[#This Row],[Minimum Mark]]</f>
        <v>0.97666666666666668</v>
      </c>
      <c r="M909" s="70" t="str">
        <f>_xlfn.XLOOKUP(Table1[[#This Row],[Pass(%)]],O:O,P:P,,-1)</f>
        <v>A+</v>
      </c>
    </row>
    <row r="910" spans="1:13" x14ac:dyDescent="0.35">
      <c r="A910" s="2" t="s">
        <v>8</v>
      </c>
      <c r="B910" s="2" t="s">
        <v>21</v>
      </c>
      <c r="C910" s="6" t="s">
        <v>23</v>
      </c>
      <c r="D910" s="6" t="s">
        <v>20</v>
      </c>
      <c r="E910" s="6" t="s">
        <v>12</v>
      </c>
      <c r="F910" s="6">
        <v>67</v>
      </c>
      <c r="G910" s="6">
        <v>84</v>
      </c>
      <c r="H910" s="6">
        <v>84</v>
      </c>
      <c r="I910" s="2">
        <f t="shared" si="29"/>
        <v>235</v>
      </c>
      <c r="J910" s="8">
        <f>AVERAGE(Table1[[#This Row],[math score]:[writing score]])</f>
        <v>78.333333333333329</v>
      </c>
      <c r="K910" s="2">
        <f t="shared" si="28"/>
        <v>300</v>
      </c>
      <c r="L910" s="4">
        <f>Table1[[#This Row],[Total Score]]/Table1[[#This Row],[Minimum Mark]]</f>
        <v>0.78333333333333333</v>
      </c>
      <c r="M910" s="70" t="str">
        <f>_xlfn.XLOOKUP(Table1[[#This Row],[Pass(%)]],O:O,P:P,,-1)</f>
        <v>C+</v>
      </c>
    </row>
    <row r="911" spans="1:13" x14ac:dyDescent="0.35">
      <c r="A911" s="2" t="s">
        <v>17</v>
      </c>
      <c r="B911" s="2" t="s">
        <v>21</v>
      </c>
      <c r="C911" s="6" t="s">
        <v>14</v>
      </c>
      <c r="D911" s="6" t="s">
        <v>11</v>
      </c>
      <c r="E911" s="6" t="s">
        <v>12</v>
      </c>
      <c r="F911" s="6">
        <v>88</v>
      </c>
      <c r="G911" s="6">
        <v>77</v>
      </c>
      <c r="H911" s="6">
        <v>77</v>
      </c>
      <c r="I911" s="2">
        <f t="shared" si="29"/>
        <v>242</v>
      </c>
      <c r="J911" s="8">
        <f>AVERAGE(Table1[[#This Row],[math score]:[writing score]])</f>
        <v>80.666666666666671</v>
      </c>
      <c r="K911" s="2">
        <f t="shared" si="28"/>
        <v>300</v>
      </c>
      <c r="L911" s="4">
        <f>Table1[[#This Row],[Total Score]]/Table1[[#This Row],[Minimum Mark]]</f>
        <v>0.80666666666666664</v>
      </c>
      <c r="M911" s="70" t="str">
        <f>_xlfn.XLOOKUP(Table1[[#This Row],[Pass(%)]],O:O,P:P,,-1)</f>
        <v>B-</v>
      </c>
    </row>
    <row r="912" spans="1:13" x14ac:dyDescent="0.35">
      <c r="A912" s="2" t="s">
        <v>17</v>
      </c>
      <c r="B912" s="2" t="s">
        <v>9</v>
      </c>
      <c r="C912" s="6" t="s">
        <v>22</v>
      </c>
      <c r="D912" s="6" t="s">
        <v>11</v>
      </c>
      <c r="E912" s="6" t="s">
        <v>12</v>
      </c>
      <c r="F912" s="6">
        <v>57</v>
      </c>
      <c r="G912" s="6">
        <v>48</v>
      </c>
      <c r="H912" s="6">
        <v>51</v>
      </c>
      <c r="I912" s="2">
        <f t="shared" si="29"/>
        <v>156</v>
      </c>
      <c r="J912" s="8">
        <f>AVERAGE(Table1[[#This Row],[math score]:[writing score]])</f>
        <v>52</v>
      </c>
      <c r="K912" s="2">
        <f t="shared" si="28"/>
        <v>300</v>
      </c>
      <c r="L912" s="4">
        <f>Table1[[#This Row],[Total Score]]/Table1[[#This Row],[Minimum Mark]]</f>
        <v>0.52</v>
      </c>
      <c r="M912" s="70" t="str">
        <f>_xlfn.XLOOKUP(Table1[[#This Row],[Pass(%)]],O:O,P:P,,-1)</f>
        <v>D</v>
      </c>
    </row>
    <row r="913" spans="1:13" x14ac:dyDescent="0.35">
      <c r="A913" s="2" t="s">
        <v>8</v>
      </c>
      <c r="B913" s="2" t="s">
        <v>21</v>
      </c>
      <c r="C913" s="6" t="s">
        <v>14</v>
      </c>
      <c r="D913" s="6" t="s">
        <v>11</v>
      </c>
      <c r="E913" s="6" t="s">
        <v>15</v>
      </c>
      <c r="F913" s="6">
        <v>79</v>
      </c>
      <c r="G913" s="6">
        <v>84</v>
      </c>
      <c r="H913" s="6">
        <v>91</v>
      </c>
      <c r="I913" s="2">
        <f t="shared" si="29"/>
        <v>254</v>
      </c>
      <c r="J913" s="8">
        <f>AVERAGE(Table1[[#This Row],[math score]:[writing score]])</f>
        <v>84.666666666666671</v>
      </c>
      <c r="K913" s="2">
        <f t="shared" si="28"/>
        <v>300</v>
      </c>
      <c r="L913" s="4">
        <f>Table1[[#This Row],[Total Score]]/Table1[[#This Row],[Minimum Mark]]</f>
        <v>0.84666666666666668</v>
      </c>
      <c r="M913" s="70" t="str">
        <f>_xlfn.XLOOKUP(Table1[[#This Row],[Pass(%)]],O:O,P:P,,-1)</f>
        <v>B</v>
      </c>
    </row>
    <row r="914" spans="1:13" x14ac:dyDescent="0.35">
      <c r="A914" s="2" t="s">
        <v>8</v>
      </c>
      <c r="B914" s="2" t="s">
        <v>13</v>
      </c>
      <c r="C914" s="6" t="s">
        <v>10</v>
      </c>
      <c r="D914" s="6" t="s">
        <v>20</v>
      </c>
      <c r="E914" s="6" t="s">
        <v>12</v>
      </c>
      <c r="F914" s="6">
        <v>67</v>
      </c>
      <c r="G914" s="6">
        <v>75</v>
      </c>
      <c r="H914" s="6">
        <v>72</v>
      </c>
      <c r="I914" s="2">
        <f t="shared" si="29"/>
        <v>214</v>
      </c>
      <c r="J914" s="8">
        <f>AVERAGE(Table1[[#This Row],[math score]:[writing score]])</f>
        <v>71.333333333333329</v>
      </c>
      <c r="K914" s="2">
        <f t="shared" si="28"/>
        <v>300</v>
      </c>
      <c r="L914" s="4">
        <f>Table1[[#This Row],[Total Score]]/Table1[[#This Row],[Minimum Mark]]</f>
        <v>0.71333333333333337</v>
      </c>
      <c r="M914" s="70" t="str">
        <f>_xlfn.XLOOKUP(Table1[[#This Row],[Pass(%)]],O:O,P:P,,-1)</f>
        <v>C-</v>
      </c>
    </row>
    <row r="915" spans="1:13" x14ac:dyDescent="0.35">
      <c r="A915" s="2" t="s">
        <v>17</v>
      </c>
      <c r="B915" s="2" t="s">
        <v>24</v>
      </c>
      <c r="C915" s="6" t="s">
        <v>10</v>
      </c>
      <c r="D915" s="6" t="s">
        <v>11</v>
      </c>
      <c r="E915" s="6" t="s">
        <v>15</v>
      </c>
      <c r="F915" s="6">
        <v>70</v>
      </c>
      <c r="G915" s="6">
        <v>64</v>
      </c>
      <c r="H915" s="6">
        <v>70</v>
      </c>
      <c r="I915" s="2">
        <f t="shared" si="29"/>
        <v>204</v>
      </c>
      <c r="J915" s="8">
        <f>AVERAGE(Table1[[#This Row],[math score]:[writing score]])</f>
        <v>68</v>
      </c>
      <c r="K915" s="2">
        <f t="shared" si="28"/>
        <v>300</v>
      </c>
      <c r="L915" s="4">
        <f>Table1[[#This Row],[Total Score]]/Table1[[#This Row],[Minimum Mark]]</f>
        <v>0.68</v>
      </c>
      <c r="M915" s="70" t="str">
        <f>_xlfn.XLOOKUP(Table1[[#This Row],[Pass(%)]],O:O,P:P,,-1)</f>
        <v>D+</v>
      </c>
    </row>
    <row r="916" spans="1:13" x14ac:dyDescent="0.35">
      <c r="A916" s="2" t="s">
        <v>17</v>
      </c>
      <c r="B916" s="2" t="s">
        <v>21</v>
      </c>
      <c r="C916" s="6" t="s">
        <v>10</v>
      </c>
      <c r="D916" s="6" t="s">
        <v>20</v>
      </c>
      <c r="E916" s="6" t="s">
        <v>12</v>
      </c>
      <c r="F916" s="6">
        <v>50</v>
      </c>
      <c r="G916" s="6">
        <v>42</v>
      </c>
      <c r="H916" s="6">
        <v>48</v>
      </c>
      <c r="I916" s="2">
        <f t="shared" si="29"/>
        <v>140</v>
      </c>
      <c r="J916" s="8">
        <f>AVERAGE(Table1[[#This Row],[math score]:[writing score]])</f>
        <v>46.666666666666664</v>
      </c>
      <c r="K916" s="2">
        <f t="shared" si="28"/>
        <v>300</v>
      </c>
      <c r="L916" s="4">
        <f>Table1[[#This Row],[Total Score]]/Table1[[#This Row],[Minimum Mark]]</f>
        <v>0.46666666666666667</v>
      </c>
      <c r="M916" s="70" t="str">
        <f>_xlfn.XLOOKUP(Table1[[#This Row],[Pass(%)]],O:O,P:P,,-1)</f>
        <v>D</v>
      </c>
    </row>
    <row r="917" spans="1:13" x14ac:dyDescent="0.35">
      <c r="A917" s="2" t="s">
        <v>8</v>
      </c>
      <c r="B917" s="2" t="s">
        <v>18</v>
      </c>
      <c r="C917" s="6" t="s">
        <v>14</v>
      </c>
      <c r="D917" s="6" t="s">
        <v>11</v>
      </c>
      <c r="E917" s="6" t="s">
        <v>12</v>
      </c>
      <c r="F917" s="6">
        <v>69</v>
      </c>
      <c r="G917" s="6">
        <v>84</v>
      </c>
      <c r="H917" s="6">
        <v>82</v>
      </c>
      <c r="I917" s="2">
        <f t="shared" si="29"/>
        <v>235</v>
      </c>
      <c r="J917" s="8">
        <f>AVERAGE(Table1[[#This Row],[math score]:[writing score]])</f>
        <v>78.333333333333329</v>
      </c>
      <c r="K917" s="2">
        <f t="shared" si="28"/>
        <v>300</v>
      </c>
      <c r="L917" s="4">
        <f>Table1[[#This Row],[Total Score]]/Table1[[#This Row],[Minimum Mark]]</f>
        <v>0.78333333333333333</v>
      </c>
      <c r="M917" s="70" t="str">
        <f>_xlfn.XLOOKUP(Table1[[#This Row],[Pass(%)]],O:O,P:P,,-1)</f>
        <v>C+</v>
      </c>
    </row>
    <row r="918" spans="1:13" x14ac:dyDescent="0.35">
      <c r="A918" s="2" t="s">
        <v>8</v>
      </c>
      <c r="B918" s="2" t="s">
        <v>13</v>
      </c>
      <c r="C918" s="6" t="s">
        <v>10</v>
      </c>
      <c r="D918" s="6" t="s">
        <v>11</v>
      </c>
      <c r="E918" s="6" t="s">
        <v>15</v>
      </c>
      <c r="F918" s="6">
        <v>52</v>
      </c>
      <c r="G918" s="6">
        <v>61</v>
      </c>
      <c r="H918" s="6">
        <v>66</v>
      </c>
      <c r="I918" s="2">
        <f t="shared" si="29"/>
        <v>179</v>
      </c>
      <c r="J918" s="8">
        <f>AVERAGE(Table1[[#This Row],[math score]:[writing score]])</f>
        <v>59.666666666666664</v>
      </c>
      <c r="K918" s="2">
        <f t="shared" si="28"/>
        <v>300</v>
      </c>
      <c r="L918" s="4">
        <f>Table1[[#This Row],[Total Score]]/Table1[[#This Row],[Minimum Mark]]</f>
        <v>0.59666666666666668</v>
      </c>
      <c r="M918" s="70" t="str">
        <f>_xlfn.XLOOKUP(Table1[[#This Row],[Pass(%)]],O:O,P:P,,-1)</f>
        <v>D+</v>
      </c>
    </row>
    <row r="919" spans="1:13" x14ac:dyDescent="0.35">
      <c r="A919" s="2" t="s">
        <v>8</v>
      </c>
      <c r="B919" s="2" t="s">
        <v>13</v>
      </c>
      <c r="C919" s="6" t="s">
        <v>10</v>
      </c>
      <c r="D919" s="6" t="s">
        <v>20</v>
      </c>
      <c r="E919" s="6" t="s">
        <v>15</v>
      </c>
      <c r="F919" s="6">
        <v>47</v>
      </c>
      <c r="G919" s="6">
        <v>62</v>
      </c>
      <c r="H919" s="6">
        <v>66</v>
      </c>
      <c r="I919" s="2">
        <f t="shared" si="29"/>
        <v>175</v>
      </c>
      <c r="J919" s="8">
        <f>AVERAGE(Table1[[#This Row],[math score]:[writing score]])</f>
        <v>58.333333333333336</v>
      </c>
      <c r="K919" s="2">
        <f t="shared" si="28"/>
        <v>300</v>
      </c>
      <c r="L919" s="4">
        <f>Table1[[#This Row],[Total Score]]/Table1[[#This Row],[Minimum Mark]]</f>
        <v>0.58333333333333337</v>
      </c>
      <c r="M919" s="70" t="str">
        <f>_xlfn.XLOOKUP(Table1[[#This Row],[Pass(%)]],O:O,P:P,,-1)</f>
        <v>D+</v>
      </c>
    </row>
    <row r="920" spans="1:13" ht="20.5" x14ac:dyDescent="0.8">
      <c r="A920" s="3" t="s">
        <v>8</v>
      </c>
      <c r="B920" s="3" t="s">
        <v>9</v>
      </c>
      <c r="C920" s="7" t="s">
        <v>19</v>
      </c>
      <c r="D920" s="7" t="s">
        <v>20</v>
      </c>
      <c r="E920" s="7" t="s">
        <v>12</v>
      </c>
      <c r="F920" s="7">
        <v>46</v>
      </c>
      <c r="G920" s="7">
        <v>61</v>
      </c>
      <c r="H920" s="7">
        <v>55</v>
      </c>
      <c r="I920" s="3">
        <f t="shared" si="29"/>
        <v>162</v>
      </c>
      <c r="J920" s="14">
        <f>AVERAGE(Table1[[#This Row],[math score]:[writing score]])</f>
        <v>54</v>
      </c>
      <c r="K920" s="3">
        <f t="shared" si="28"/>
        <v>300</v>
      </c>
      <c r="L920" s="5">
        <f>Table1[[#This Row],[Total Score]]/Table1[[#This Row],[Minimum Mark]]</f>
        <v>0.54</v>
      </c>
      <c r="M920" s="71" t="str">
        <f>_xlfn.XLOOKUP(Table1[[#This Row],[Pass(%)]],O:O,P:P,,-1)</f>
        <v>D+</v>
      </c>
    </row>
    <row r="921" spans="1:13" x14ac:dyDescent="0.35">
      <c r="A921" s="2" t="s">
        <v>8</v>
      </c>
      <c r="B921" s="2" t="s">
        <v>24</v>
      </c>
      <c r="C921" s="6" t="s">
        <v>14</v>
      </c>
      <c r="D921" s="6" t="s">
        <v>11</v>
      </c>
      <c r="E921" s="6" t="s">
        <v>12</v>
      </c>
      <c r="F921" s="6">
        <v>68</v>
      </c>
      <c r="G921" s="6">
        <v>70</v>
      </c>
      <c r="H921" s="6">
        <v>66</v>
      </c>
      <c r="I921" s="2">
        <f t="shared" si="29"/>
        <v>204</v>
      </c>
      <c r="J921" s="8">
        <f>AVERAGE(Table1[[#This Row],[math score]:[writing score]])</f>
        <v>68</v>
      </c>
      <c r="K921" s="2">
        <f t="shared" si="28"/>
        <v>300</v>
      </c>
      <c r="L921" s="4">
        <f>Table1[[#This Row],[Total Score]]/Table1[[#This Row],[Minimum Mark]]</f>
        <v>0.68</v>
      </c>
      <c r="M921" s="70" t="str">
        <f>_xlfn.XLOOKUP(Table1[[#This Row],[Pass(%)]],O:O,P:P,,-1)</f>
        <v>D+</v>
      </c>
    </row>
    <row r="922" spans="1:13" x14ac:dyDescent="0.35">
      <c r="A922" s="2" t="s">
        <v>17</v>
      </c>
      <c r="B922" s="2" t="s">
        <v>24</v>
      </c>
      <c r="C922" s="6" t="s">
        <v>10</v>
      </c>
      <c r="D922" s="6" t="s">
        <v>11</v>
      </c>
      <c r="E922" s="6" t="s">
        <v>15</v>
      </c>
      <c r="F922" s="6">
        <v>100</v>
      </c>
      <c r="G922" s="6">
        <v>100</v>
      </c>
      <c r="H922" s="6">
        <v>100</v>
      </c>
      <c r="I922" s="2">
        <f t="shared" si="29"/>
        <v>300</v>
      </c>
      <c r="J922" s="8">
        <f>AVERAGE(Table1[[#This Row],[math score]:[writing score]])</f>
        <v>100</v>
      </c>
      <c r="K922" s="2">
        <f t="shared" si="28"/>
        <v>300</v>
      </c>
      <c r="L922" s="4">
        <f>Table1[[#This Row],[Total Score]]/Table1[[#This Row],[Minimum Mark]]</f>
        <v>1</v>
      </c>
      <c r="M922" s="70" t="str">
        <f>_xlfn.XLOOKUP(Table1[[#This Row],[Pass(%)]],O:O,P:P,,-1)</f>
        <v>A+</v>
      </c>
    </row>
    <row r="923" spans="1:13" x14ac:dyDescent="0.35">
      <c r="A923" s="2" t="s">
        <v>8</v>
      </c>
      <c r="B923" s="2" t="s">
        <v>13</v>
      </c>
      <c r="C923" s="6" t="s">
        <v>22</v>
      </c>
      <c r="D923" s="6" t="s">
        <v>11</v>
      </c>
      <c r="E923" s="6" t="s">
        <v>12</v>
      </c>
      <c r="F923" s="6">
        <v>44</v>
      </c>
      <c r="G923" s="6">
        <v>61</v>
      </c>
      <c r="H923" s="6">
        <v>52</v>
      </c>
      <c r="I923" s="2">
        <f t="shared" si="29"/>
        <v>157</v>
      </c>
      <c r="J923" s="8">
        <f>AVERAGE(Table1[[#This Row],[math score]:[writing score]])</f>
        <v>52.333333333333336</v>
      </c>
      <c r="K923" s="2">
        <f t="shared" si="28"/>
        <v>300</v>
      </c>
      <c r="L923" s="4">
        <f>Table1[[#This Row],[Total Score]]/Table1[[#This Row],[Minimum Mark]]</f>
        <v>0.52333333333333332</v>
      </c>
      <c r="M923" s="70" t="str">
        <f>_xlfn.XLOOKUP(Table1[[#This Row],[Pass(%)]],O:O,P:P,,-1)</f>
        <v>D</v>
      </c>
    </row>
    <row r="924" spans="1:13" ht="20.5" x14ac:dyDescent="0.8">
      <c r="A924" s="3" t="s">
        <v>8</v>
      </c>
      <c r="B924" s="3" t="s">
        <v>13</v>
      </c>
      <c r="C924" s="7" t="s">
        <v>19</v>
      </c>
      <c r="D924" s="7" t="s">
        <v>11</v>
      </c>
      <c r="E924" s="7" t="s">
        <v>15</v>
      </c>
      <c r="F924" s="7">
        <v>57</v>
      </c>
      <c r="G924" s="7">
        <v>77</v>
      </c>
      <c r="H924" s="7">
        <v>80</v>
      </c>
      <c r="I924" s="3">
        <f t="shared" si="29"/>
        <v>214</v>
      </c>
      <c r="J924" s="14">
        <f>AVERAGE(Table1[[#This Row],[math score]:[writing score]])</f>
        <v>71.333333333333329</v>
      </c>
      <c r="K924" s="3">
        <f t="shared" si="28"/>
        <v>300</v>
      </c>
      <c r="L924" s="5">
        <f>Table1[[#This Row],[Total Score]]/Table1[[#This Row],[Minimum Mark]]</f>
        <v>0.71333333333333337</v>
      </c>
      <c r="M924" s="71" t="str">
        <f>_xlfn.XLOOKUP(Table1[[#This Row],[Pass(%)]],O:O,P:P,,-1)</f>
        <v>C-</v>
      </c>
    </row>
    <row r="925" spans="1:13" x14ac:dyDescent="0.35">
      <c r="A925" s="2" t="s">
        <v>17</v>
      </c>
      <c r="B925" s="2" t="s">
        <v>9</v>
      </c>
      <c r="C925" s="6" t="s">
        <v>14</v>
      </c>
      <c r="D925" s="6" t="s">
        <v>11</v>
      </c>
      <c r="E925" s="6" t="s">
        <v>15</v>
      </c>
      <c r="F925" s="6">
        <v>91</v>
      </c>
      <c r="G925" s="6">
        <v>96</v>
      </c>
      <c r="H925" s="6">
        <v>91</v>
      </c>
      <c r="I925" s="2">
        <f t="shared" si="29"/>
        <v>278</v>
      </c>
      <c r="J925" s="8">
        <f>AVERAGE(Table1[[#This Row],[math score]:[writing score]])</f>
        <v>92.666666666666671</v>
      </c>
      <c r="K925" s="2">
        <f t="shared" si="28"/>
        <v>300</v>
      </c>
      <c r="L925" s="4">
        <f>Table1[[#This Row],[Total Score]]/Table1[[#This Row],[Minimum Mark]]</f>
        <v>0.92666666666666664</v>
      </c>
      <c r="M925" s="70" t="str">
        <f>_xlfn.XLOOKUP(Table1[[#This Row],[Pass(%)]],O:O,P:P,,-1)</f>
        <v>A-</v>
      </c>
    </row>
    <row r="926" spans="1:13" x14ac:dyDescent="0.35">
      <c r="A926" s="2" t="s">
        <v>17</v>
      </c>
      <c r="B926" s="2" t="s">
        <v>21</v>
      </c>
      <c r="C926" s="6" t="s">
        <v>22</v>
      </c>
      <c r="D926" s="6" t="s">
        <v>20</v>
      </c>
      <c r="E926" s="6" t="s">
        <v>12</v>
      </c>
      <c r="F926" s="6">
        <v>69</v>
      </c>
      <c r="G926" s="6">
        <v>70</v>
      </c>
      <c r="H926" s="6">
        <v>67</v>
      </c>
      <c r="I926" s="2">
        <f t="shared" si="29"/>
        <v>206</v>
      </c>
      <c r="J926" s="8">
        <f>AVERAGE(Table1[[#This Row],[math score]:[writing score]])</f>
        <v>68.666666666666671</v>
      </c>
      <c r="K926" s="2">
        <f t="shared" si="28"/>
        <v>300</v>
      </c>
      <c r="L926" s="4">
        <f>Table1[[#This Row],[Total Score]]/Table1[[#This Row],[Minimum Mark]]</f>
        <v>0.68666666666666665</v>
      </c>
      <c r="M926" s="70" t="str">
        <f>_xlfn.XLOOKUP(Table1[[#This Row],[Pass(%)]],O:O,P:P,,-1)</f>
        <v>D+</v>
      </c>
    </row>
    <row r="927" spans="1:13" x14ac:dyDescent="0.35">
      <c r="A927" s="2" t="s">
        <v>8</v>
      </c>
      <c r="B927" s="2" t="s">
        <v>13</v>
      </c>
      <c r="C927" s="6" t="s">
        <v>22</v>
      </c>
      <c r="D927" s="6" t="s">
        <v>20</v>
      </c>
      <c r="E927" s="6" t="s">
        <v>12</v>
      </c>
      <c r="F927" s="6">
        <v>35</v>
      </c>
      <c r="G927" s="6">
        <v>53</v>
      </c>
      <c r="H927" s="6">
        <v>46</v>
      </c>
      <c r="I927" s="2">
        <f t="shared" si="29"/>
        <v>134</v>
      </c>
      <c r="J927" s="8">
        <f>AVERAGE(Table1[[#This Row],[math score]:[writing score]])</f>
        <v>44.666666666666664</v>
      </c>
      <c r="K927" s="2">
        <f t="shared" si="28"/>
        <v>300</v>
      </c>
      <c r="L927" s="4">
        <f>Table1[[#This Row],[Total Score]]/Table1[[#This Row],[Minimum Mark]]</f>
        <v>0.44666666666666666</v>
      </c>
      <c r="M927" s="70" t="str">
        <f>_xlfn.XLOOKUP(Table1[[#This Row],[Pass(%)]],O:O,P:P,,-1)</f>
        <v>D</v>
      </c>
    </row>
    <row r="928" spans="1:13" x14ac:dyDescent="0.35">
      <c r="A928" s="2" t="s">
        <v>17</v>
      </c>
      <c r="B928" s="2" t="s">
        <v>21</v>
      </c>
      <c r="C928" s="6" t="s">
        <v>22</v>
      </c>
      <c r="D928" s="6" t="s">
        <v>11</v>
      </c>
      <c r="E928" s="6" t="s">
        <v>12</v>
      </c>
      <c r="F928" s="6">
        <v>72</v>
      </c>
      <c r="G928" s="6">
        <v>66</v>
      </c>
      <c r="H928" s="6">
        <v>66</v>
      </c>
      <c r="I928" s="2">
        <f t="shared" si="29"/>
        <v>204</v>
      </c>
      <c r="J928" s="8">
        <f>AVERAGE(Table1[[#This Row],[math score]:[writing score]])</f>
        <v>68</v>
      </c>
      <c r="K928" s="2">
        <f t="shared" si="28"/>
        <v>300</v>
      </c>
      <c r="L928" s="4">
        <f>Table1[[#This Row],[Total Score]]/Table1[[#This Row],[Minimum Mark]]</f>
        <v>0.68</v>
      </c>
      <c r="M928" s="70" t="str">
        <f>_xlfn.XLOOKUP(Table1[[#This Row],[Pass(%)]],O:O,P:P,,-1)</f>
        <v>D+</v>
      </c>
    </row>
    <row r="929" spans="1:13" ht="20.5" x14ac:dyDescent="0.8">
      <c r="A929" s="3" t="s">
        <v>8</v>
      </c>
      <c r="B929" s="3" t="s">
        <v>9</v>
      </c>
      <c r="C929" s="7" t="s">
        <v>19</v>
      </c>
      <c r="D929" s="7" t="s">
        <v>20</v>
      </c>
      <c r="E929" s="7" t="s">
        <v>12</v>
      </c>
      <c r="F929" s="7">
        <v>54</v>
      </c>
      <c r="G929" s="7">
        <v>65</v>
      </c>
      <c r="H929" s="7">
        <v>65</v>
      </c>
      <c r="I929" s="3">
        <f t="shared" si="29"/>
        <v>184</v>
      </c>
      <c r="J929" s="14">
        <f>AVERAGE(Table1[[#This Row],[math score]:[writing score]])</f>
        <v>61.333333333333336</v>
      </c>
      <c r="K929" s="3">
        <f t="shared" si="28"/>
        <v>300</v>
      </c>
      <c r="L929" s="5">
        <f>Table1[[#This Row],[Total Score]]/Table1[[#This Row],[Minimum Mark]]</f>
        <v>0.61333333333333329</v>
      </c>
      <c r="M929" s="71" t="str">
        <f>_xlfn.XLOOKUP(Table1[[#This Row],[Pass(%)]],O:O,P:P,,-1)</f>
        <v>D+</v>
      </c>
    </row>
    <row r="930" spans="1:13" x14ac:dyDescent="0.35">
      <c r="A930" s="2" t="s">
        <v>17</v>
      </c>
      <c r="B930" s="2" t="s">
        <v>21</v>
      </c>
      <c r="C930" s="6" t="s">
        <v>22</v>
      </c>
      <c r="D930" s="6" t="s">
        <v>20</v>
      </c>
      <c r="E930" s="6" t="s">
        <v>12</v>
      </c>
      <c r="F930" s="6">
        <v>74</v>
      </c>
      <c r="G930" s="6">
        <v>70</v>
      </c>
      <c r="H930" s="6">
        <v>69</v>
      </c>
      <c r="I930" s="2">
        <f t="shared" si="29"/>
        <v>213</v>
      </c>
      <c r="J930" s="8">
        <f>AVERAGE(Table1[[#This Row],[math score]:[writing score]])</f>
        <v>71</v>
      </c>
      <c r="K930" s="2">
        <f t="shared" si="28"/>
        <v>300</v>
      </c>
      <c r="L930" s="4">
        <f>Table1[[#This Row],[Total Score]]/Table1[[#This Row],[Minimum Mark]]</f>
        <v>0.71</v>
      </c>
      <c r="M930" s="70" t="str">
        <f>_xlfn.XLOOKUP(Table1[[#This Row],[Pass(%)]],O:O,P:P,,-1)</f>
        <v>C-</v>
      </c>
    </row>
    <row r="931" spans="1:13" x14ac:dyDescent="0.35">
      <c r="A931" s="2" t="s">
        <v>17</v>
      </c>
      <c r="B931" s="2" t="s">
        <v>24</v>
      </c>
      <c r="C931" s="6" t="s">
        <v>23</v>
      </c>
      <c r="D931" s="6" t="s">
        <v>11</v>
      </c>
      <c r="E931" s="6" t="s">
        <v>15</v>
      </c>
      <c r="F931" s="6">
        <v>74</v>
      </c>
      <c r="G931" s="6">
        <v>64</v>
      </c>
      <c r="H931" s="6">
        <v>60</v>
      </c>
      <c r="I931" s="2">
        <f t="shared" si="29"/>
        <v>198</v>
      </c>
      <c r="J931" s="8">
        <f>AVERAGE(Table1[[#This Row],[math score]:[writing score]])</f>
        <v>66</v>
      </c>
      <c r="K931" s="2">
        <f t="shared" si="28"/>
        <v>300</v>
      </c>
      <c r="L931" s="4">
        <f>Table1[[#This Row],[Total Score]]/Table1[[#This Row],[Minimum Mark]]</f>
        <v>0.66</v>
      </c>
      <c r="M931" s="70" t="str">
        <f>_xlfn.XLOOKUP(Table1[[#This Row],[Pass(%)]],O:O,P:P,,-1)</f>
        <v>D+</v>
      </c>
    </row>
    <row r="932" spans="1:13" ht="20.5" x14ac:dyDescent="0.8">
      <c r="A932" s="3" t="s">
        <v>17</v>
      </c>
      <c r="B932" s="3" t="s">
        <v>24</v>
      </c>
      <c r="C932" s="7" t="s">
        <v>19</v>
      </c>
      <c r="D932" s="7" t="s">
        <v>20</v>
      </c>
      <c r="E932" s="7" t="s">
        <v>12</v>
      </c>
      <c r="F932" s="7">
        <v>64</v>
      </c>
      <c r="G932" s="7">
        <v>56</v>
      </c>
      <c r="H932" s="7">
        <v>52</v>
      </c>
      <c r="I932" s="3">
        <f t="shared" si="29"/>
        <v>172</v>
      </c>
      <c r="J932" s="14">
        <f>AVERAGE(Table1[[#This Row],[math score]:[writing score]])</f>
        <v>57.333333333333336</v>
      </c>
      <c r="K932" s="3">
        <f t="shared" si="28"/>
        <v>300</v>
      </c>
      <c r="L932" s="5">
        <f>Table1[[#This Row],[Total Score]]/Table1[[#This Row],[Minimum Mark]]</f>
        <v>0.57333333333333336</v>
      </c>
      <c r="M932" s="71" t="str">
        <f>_xlfn.XLOOKUP(Table1[[#This Row],[Pass(%)]],O:O,P:P,,-1)</f>
        <v>D+</v>
      </c>
    </row>
    <row r="933" spans="1:13" x14ac:dyDescent="0.35">
      <c r="A933" s="2" t="s">
        <v>8</v>
      </c>
      <c r="B933" s="2" t="s">
        <v>21</v>
      </c>
      <c r="C933" s="6" t="s">
        <v>22</v>
      </c>
      <c r="D933" s="6" t="s">
        <v>20</v>
      </c>
      <c r="E933" s="6" t="s">
        <v>15</v>
      </c>
      <c r="F933" s="6">
        <v>65</v>
      </c>
      <c r="G933" s="6">
        <v>61</v>
      </c>
      <c r="H933" s="6">
        <v>71</v>
      </c>
      <c r="I933" s="2">
        <f t="shared" si="29"/>
        <v>197</v>
      </c>
      <c r="J933" s="8">
        <f>AVERAGE(Table1[[#This Row],[math score]:[writing score]])</f>
        <v>65.666666666666671</v>
      </c>
      <c r="K933" s="2">
        <f t="shared" si="28"/>
        <v>300</v>
      </c>
      <c r="L933" s="4">
        <f>Table1[[#This Row],[Total Score]]/Table1[[#This Row],[Minimum Mark]]</f>
        <v>0.65666666666666662</v>
      </c>
      <c r="M933" s="70" t="str">
        <f>_xlfn.XLOOKUP(Table1[[#This Row],[Pass(%)]],O:O,P:P,,-1)</f>
        <v>D+</v>
      </c>
    </row>
    <row r="934" spans="1:13" ht="20.5" x14ac:dyDescent="0.8">
      <c r="A934" s="3" t="s">
        <v>17</v>
      </c>
      <c r="B934" s="3" t="s">
        <v>24</v>
      </c>
      <c r="C934" s="7" t="s">
        <v>19</v>
      </c>
      <c r="D934" s="7" t="s">
        <v>20</v>
      </c>
      <c r="E934" s="7" t="s">
        <v>15</v>
      </c>
      <c r="F934" s="7">
        <v>46</v>
      </c>
      <c r="G934" s="7">
        <v>43</v>
      </c>
      <c r="H934" s="7">
        <v>44</v>
      </c>
      <c r="I934" s="3">
        <f t="shared" si="29"/>
        <v>133</v>
      </c>
      <c r="J934" s="14">
        <f>AVERAGE(Table1[[#This Row],[math score]:[writing score]])</f>
        <v>44.333333333333336</v>
      </c>
      <c r="K934" s="3">
        <f t="shared" si="28"/>
        <v>300</v>
      </c>
      <c r="L934" s="5">
        <f>Table1[[#This Row],[Total Score]]/Table1[[#This Row],[Minimum Mark]]</f>
        <v>0.44333333333333336</v>
      </c>
      <c r="M934" s="71" t="str">
        <f>_xlfn.XLOOKUP(Table1[[#This Row],[Pass(%)]],O:O,P:P,,-1)</f>
        <v>D</v>
      </c>
    </row>
    <row r="935" spans="1:13" x14ac:dyDescent="0.35">
      <c r="A935" s="2" t="s">
        <v>8</v>
      </c>
      <c r="B935" s="2" t="s">
        <v>13</v>
      </c>
      <c r="C935" s="6" t="s">
        <v>23</v>
      </c>
      <c r="D935" s="6" t="s">
        <v>20</v>
      </c>
      <c r="E935" s="6" t="s">
        <v>12</v>
      </c>
      <c r="F935" s="6">
        <v>48</v>
      </c>
      <c r="G935" s="6">
        <v>56</v>
      </c>
      <c r="H935" s="6">
        <v>51</v>
      </c>
      <c r="I935" s="2">
        <f t="shared" si="29"/>
        <v>155</v>
      </c>
      <c r="J935" s="8">
        <f>AVERAGE(Table1[[#This Row],[math score]:[writing score]])</f>
        <v>51.666666666666664</v>
      </c>
      <c r="K935" s="2">
        <f t="shared" si="28"/>
        <v>300</v>
      </c>
      <c r="L935" s="4">
        <f>Table1[[#This Row],[Total Score]]/Table1[[#This Row],[Minimum Mark]]</f>
        <v>0.51666666666666672</v>
      </c>
      <c r="M935" s="70" t="str">
        <f>_xlfn.XLOOKUP(Table1[[#This Row],[Pass(%)]],O:O,P:P,,-1)</f>
        <v>D</v>
      </c>
    </row>
    <row r="936" spans="1:13" x14ac:dyDescent="0.35">
      <c r="A936" s="2" t="s">
        <v>17</v>
      </c>
      <c r="B936" s="2" t="s">
        <v>13</v>
      </c>
      <c r="C936" s="6" t="s">
        <v>14</v>
      </c>
      <c r="D936" s="6" t="s">
        <v>20</v>
      </c>
      <c r="E936" s="6" t="s">
        <v>15</v>
      </c>
      <c r="F936" s="6">
        <v>67</v>
      </c>
      <c r="G936" s="6">
        <v>74</v>
      </c>
      <c r="H936" s="6">
        <v>70</v>
      </c>
      <c r="I936" s="2">
        <f t="shared" si="29"/>
        <v>211</v>
      </c>
      <c r="J936" s="8">
        <f>AVERAGE(Table1[[#This Row],[math score]:[writing score]])</f>
        <v>70.333333333333329</v>
      </c>
      <c r="K936" s="2">
        <f t="shared" si="28"/>
        <v>300</v>
      </c>
      <c r="L936" s="4">
        <f>Table1[[#This Row],[Total Score]]/Table1[[#This Row],[Minimum Mark]]</f>
        <v>0.70333333333333337</v>
      </c>
      <c r="M936" s="70" t="str">
        <f>_xlfn.XLOOKUP(Table1[[#This Row],[Pass(%)]],O:O,P:P,,-1)</f>
        <v>C-</v>
      </c>
    </row>
    <row r="937" spans="1:13" x14ac:dyDescent="0.35">
      <c r="A937" s="2" t="s">
        <v>17</v>
      </c>
      <c r="B937" s="2" t="s">
        <v>21</v>
      </c>
      <c r="C937" s="6" t="s">
        <v>14</v>
      </c>
      <c r="D937" s="6" t="s">
        <v>20</v>
      </c>
      <c r="E937" s="6" t="s">
        <v>12</v>
      </c>
      <c r="F937" s="6">
        <v>62</v>
      </c>
      <c r="G937" s="6">
        <v>57</v>
      </c>
      <c r="H937" s="6">
        <v>62</v>
      </c>
      <c r="I937" s="2">
        <f t="shared" si="29"/>
        <v>181</v>
      </c>
      <c r="J937" s="8">
        <f>AVERAGE(Table1[[#This Row],[math score]:[writing score]])</f>
        <v>60.333333333333336</v>
      </c>
      <c r="K937" s="2">
        <f t="shared" si="28"/>
        <v>300</v>
      </c>
      <c r="L937" s="4">
        <f>Table1[[#This Row],[Total Score]]/Table1[[#This Row],[Minimum Mark]]</f>
        <v>0.60333333333333339</v>
      </c>
      <c r="M937" s="70" t="str">
        <f>_xlfn.XLOOKUP(Table1[[#This Row],[Pass(%)]],O:O,P:P,,-1)</f>
        <v>D+</v>
      </c>
    </row>
    <row r="938" spans="1:13" ht="20.5" x14ac:dyDescent="0.8">
      <c r="A938" s="3" t="s">
        <v>17</v>
      </c>
      <c r="B938" s="3" t="s">
        <v>21</v>
      </c>
      <c r="C938" s="7" t="s">
        <v>19</v>
      </c>
      <c r="D938" s="7" t="s">
        <v>20</v>
      </c>
      <c r="E938" s="7" t="s">
        <v>15</v>
      </c>
      <c r="F938" s="7">
        <v>61</v>
      </c>
      <c r="G938" s="7">
        <v>71</v>
      </c>
      <c r="H938" s="7">
        <v>73</v>
      </c>
      <c r="I938" s="3">
        <f t="shared" si="29"/>
        <v>205</v>
      </c>
      <c r="J938" s="14">
        <f>AVERAGE(Table1[[#This Row],[math score]:[writing score]])</f>
        <v>68.333333333333329</v>
      </c>
      <c r="K938" s="3">
        <f t="shared" si="28"/>
        <v>300</v>
      </c>
      <c r="L938" s="5">
        <f>Table1[[#This Row],[Total Score]]/Table1[[#This Row],[Minimum Mark]]</f>
        <v>0.68333333333333335</v>
      </c>
      <c r="M938" s="71" t="str">
        <f>_xlfn.XLOOKUP(Table1[[#This Row],[Pass(%)]],O:O,P:P,,-1)</f>
        <v>D+</v>
      </c>
    </row>
    <row r="939" spans="1:13" x14ac:dyDescent="0.35">
      <c r="A939" s="2" t="s">
        <v>17</v>
      </c>
      <c r="B939" s="2" t="s">
        <v>13</v>
      </c>
      <c r="C939" s="6" t="s">
        <v>10</v>
      </c>
      <c r="D939" s="6" t="s">
        <v>20</v>
      </c>
      <c r="E939" s="6" t="s">
        <v>15</v>
      </c>
      <c r="F939" s="6">
        <v>70</v>
      </c>
      <c r="G939" s="6">
        <v>75</v>
      </c>
      <c r="H939" s="6">
        <v>74</v>
      </c>
      <c r="I939" s="2">
        <f t="shared" si="29"/>
        <v>219</v>
      </c>
      <c r="J939" s="8">
        <f>AVERAGE(Table1[[#This Row],[math score]:[writing score]])</f>
        <v>73</v>
      </c>
      <c r="K939" s="2">
        <f t="shared" si="28"/>
        <v>300</v>
      </c>
      <c r="L939" s="4">
        <f>Table1[[#This Row],[Total Score]]/Table1[[#This Row],[Minimum Mark]]</f>
        <v>0.73</v>
      </c>
      <c r="M939" s="70" t="str">
        <f>_xlfn.XLOOKUP(Table1[[#This Row],[Pass(%)]],O:O,P:P,,-1)</f>
        <v>C</v>
      </c>
    </row>
    <row r="940" spans="1:13" ht="20.5" x14ac:dyDescent="0.8">
      <c r="A940" s="3" t="s">
        <v>17</v>
      </c>
      <c r="B940" s="3" t="s">
        <v>13</v>
      </c>
      <c r="C940" s="7" t="s">
        <v>19</v>
      </c>
      <c r="D940" s="7" t="s">
        <v>11</v>
      </c>
      <c r="E940" s="7" t="s">
        <v>15</v>
      </c>
      <c r="F940" s="7">
        <v>98</v>
      </c>
      <c r="G940" s="7">
        <v>87</v>
      </c>
      <c r="H940" s="7">
        <v>90</v>
      </c>
      <c r="I940" s="3">
        <f t="shared" si="29"/>
        <v>275</v>
      </c>
      <c r="J940" s="14">
        <f>AVERAGE(Table1[[#This Row],[math score]:[writing score]])</f>
        <v>91.666666666666671</v>
      </c>
      <c r="K940" s="3">
        <f t="shared" si="28"/>
        <v>300</v>
      </c>
      <c r="L940" s="5">
        <f>Table1[[#This Row],[Total Score]]/Table1[[#This Row],[Minimum Mark]]</f>
        <v>0.91666666666666663</v>
      </c>
      <c r="M940" s="71" t="str">
        <f>_xlfn.XLOOKUP(Table1[[#This Row],[Pass(%)]],O:O,P:P,,-1)</f>
        <v>A-</v>
      </c>
    </row>
    <row r="941" spans="1:13" x14ac:dyDescent="0.35">
      <c r="A941" s="2" t="s">
        <v>17</v>
      </c>
      <c r="B941" s="2" t="s">
        <v>21</v>
      </c>
      <c r="C941" s="6" t="s">
        <v>14</v>
      </c>
      <c r="D941" s="6" t="s">
        <v>20</v>
      </c>
      <c r="E941" s="6" t="s">
        <v>12</v>
      </c>
      <c r="F941" s="6">
        <v>70</v>
      </c>
      <c r="G941" s="6">
        <v>63</v>
      </c>
      <c r="H941" s="6">
        <v>58</v>
      </c>
      <c r="I941" s="2">
        <f t="shared" si="29"/>
        <v>191</v>
      </c>
      <c r="J941" s="8">
        <f>AVERAGE(Table1[[#This Row],[math score]:[writing score]])</f>
        <v>63.666666666666664</v>
      </c>
      <c r="K941" s="2">
        <f t="shared" si="28"/>
        <v>300</v>
      </c>
      <c r="L941" s="4">
        <f>Table1[[#This Row],[Total Score]]/Table1[[#This Row],[Minimum Mark]]</f>
        <v>0.63666666666666671</v>
      </c>
      <c r="M941" s="70" t="str">
        <f>_xlfn.XLOOKUP(Table1[[#This Row],[Pass(%)]],O:O,P:P,,-1)</f>
        <v>D+</v>
      </c>
    </row>
    <row r="942" spans="1:13" ht="20.5" x14ac:dyDescent="0.8">
      <c r="A942" s="3" t="s">
        <v>17</v>
      </c>
      <c r="B942" s="3" t="s">
        <v>18</v>
      </c>
      <c r="C942" s="7" t="s">
        <v>19</v>
      </c>
      <c r="D942" s="7" t="s">
        <v>11</v>
      </c>
      <c r="E942" s="7" t="s">
        <v>12</v>
      </c>
      <c r="F942" s="7">
        <v>67</v>
      </c>
      <c r="G942" s="7">
        <v>57</v>
      </c>
      <c r="H942" s="7">
        <v>53</v>
      </c>
      <c r="I942" s="3">
        <f t="shared" si="29"/>
        <v>177</v>
      </c>
      <c r="J942" s="14">
        <f>AVERAGE(Table1[[#This Row],[math score]:[writing score]])</f>
        <v>59</v>
      </c>
      <c r="K942" s="3">
        <f t="shared" si="28"/>
        <v>300</v>
      </c>
      <c r="L942" s="5">
        <f>Table1[[#This Row],[Total Score]]/Table1[[#This Row],[Minimum Mark]]</f>
        <v>0.59</v>
      </c>
      <c r="M942" s="71" t="str">
        <f>_xlfn.XLOOKUP(Table1[[#This Row],[Pass(%)]],O:O,P:P,,-1)</f>
        <v>D+</v>
      </c>
    </row>
    <row r="943" spans="1:13" x14ac:dyDescent="0.35">
      <c r="A943" s="2" t="s">
        <v>8</v>
      </c>
      <c r="B943" s="2" t="s">
        <v>24</v>
      </c>
      <c r="C943" s="6" t="s">
        <v>22</v>
      </c>
      <c r="D943" s="6" t="s">
        <v>20</v>
      </c>
      <c r="E943" s="6" t="s">
        <v>12</v>
      </c>
      <c r="F943" s="6">
        <v>57</v>
      </c>
      <c r="G943" s="6">
        <v>58</v>
      </c>
      <c r="H943" s="6">
        <v>57</v>
      </c>
      <c r="I943" s="2">
        <f t="shared" si="29"/>
        <v>172</v>
      </c>
      <c r="J943" s="8">
        <f>AVERAGE(Table1[[#This Row],[math score]:[writing score]])</f>
        <v>57.333333333333336</v>
      </c>
      <c r="K943" s="2">
        <f t="shared" si="28"/>
        <v>300</v>
      </c>
      <c r="L943" s="4">
        <f>Table1[[#This Row],[Total Score]]/Table1[[#This Row],[Minimum Mark]]</f>
        <v>0.57333333333333336</v>
      </c>
      <c r="M943" s="70" t="str">
        <f>_xlfn.XLOOKUP(Table1[[#This Row],[Pass(%)]],O:O,P:P,,-1)</f>
        <v>D+</v>
      </c>
    </row>
    <row r="944" spans="1:13" x14ac:dyDescent="0.35">
      <c r="A944" s="2" t="s">
        <v>17</v>
      </c>
      <c r="B944" s="2" t="s">
        <v>21</v>
      </c>
      <c r="C944" s="6" t="s">
        <v>14</v>
      </c>
      <c r="D944" s="6" t="s">
        <v>11</v>
      </c>
      <c r="E944" s="6" t="s">
        <v>15</v>
      </c>
      <c r="F944" s="6">
        <v>85</v>
      </c>
      <c r="G944" s="6">
        <v>81</v>
      </c>
      <c r="H944" s="6">
        <v>85</v>
      </c>
      <c r="I944" s="2">
        <f t="shared" si="29"/>
        <v>251</v>
      </c>
      <c r="J944" s="8">
        <f>AVERAGE(Table1[[#This Row],[math score]:[writing score]])</f>
        <v>83.666666666666671</v>
      </c>
      <c r="K944" s="2">
        <f t="shared" si="28"/>
        <v>300</v>
      </c>
      <c r="L944" s="4">
        <f>Table1[[#This Row],[Total Score]]/Table1[[#This Row],[Minimum Mark]]</f>
        <v>0.83666666666666667</v>
      </c>
      <c r="M944" s="70" t="str">
        <f>_xlfn.XLOOKUP(Table1[[#This Row],[Pass(%)]],O:O,P:P,,-1)</f>
        <v>B</v>
      </c>
    </row>
    <row r="945" spans="1:13" x14ac:dyDescent="0.35">
      <c r="A945" s="2" t="s">
        <v>17</v>
      </c>
      <c r="B945" s="2" t="s">
        <v>21</v>
      </c>
      <c r="C945" s="6" t="s">
        <v>23</v>
      </c>
      <c r="D945" s="6" t="s">
        <v>11</v>
      </c>
      <c r="E945" s="6" t="s">
        <v>15</v>
      </c>
      <c r="F945" s="6">
        <v>77</v>
      </c>
      <c r="G945" s="6">
        <v>68</v>
      </c>
      <c r="H945" s="6">
        <v>69</v>
      </c>
      <c r="I945" s="2">
        <f t="shared" si="29"/>
        <v>214</v>
      </c>
      <c r="J945" s="8">
        <f>AVERAGE(Table1[[#This Row],[math score]:[writing score]])</f>
        <v>71.333333333333329</v>
      </c>
      <c r="K945" s="2">
        <f t="shared" si="28"/>
        <v>300</v>
      </c>
      <c r="L945" s="4">
        <f>Table1[[#This Row],[Total Score]]/Table1[[#This Row],[Minimum Mark]]</f>
        <v>0.71333333333333337</v>
      </c>
      <c r="M945" s="70" t="str">
        <f>_xlfn.XLOOKUP(Table1[[#This Row],[Pass(%)]],O:O,P:P,,-1)</f>
        <v>C-</v>
      </c>
    </row>
    <row r="946" spans="1:13" x14ac:dyDescent="0.35">
      <c r="A946" s="2" t="s">
        <v>17</v>
      </c>
      <c r="B946" s="2" t="s">
        <v>13</v>
      </c>
      <c r="C946" s="6" t="s">
        <v>16</v>
      </c>
      <c r="D946" s="6" t="s">
        <v>20</v>
      </c>
      <c r="E946" s="6" t="s">
        <v>15</v>
      </c>
      <c r="F946" s="6">
        <v>72</v>
      </c>
      <c r="G946" s="6">
        <v>66</v>
      </c>
      <c r="H946" s="6">
        <v>72</v>
      </c>
      <c r="I946" s="2">
        <f t="shared" si="29"/>
        <v>210</v>
      </c>
      <c r="J946" s="8">
        <f>AVERAGE(Table1[[#This Row],[math score]:[writing score]])</f>
        <v>70</v>
      </c>
      <c r="K946" s="2">
        <f t="shared" si="28"/>
        <v>300</v>
      </c>
      <c r="L946" s="4">
        <f>Table1[[#This Row],[Total Score]]/Table1[[#This Row],[Minimum Mark]]</f>
        <v>0.7</v>
      </c>
      <c r="M946" s="70" t="str">
        <f>_xlfn.XLOOKUP(Table1[[#This Row],[Pass(%)]],O:O,P:P,,-1)</f>
        <v>C-</v>
      </c>
    </row>
    <row r="947" spans="1:13" x14ac:dyDescent="0.35">
      <c r="A947" s="2" t="s">
        <v>8</v>
      </c>
      <c r="B947" s="2" t="s">
        <v>21</v>
      </c>
      <c r="C947" s="6" t="s">
        <v>16</v>
      </c>
      <c r="D947" s="6" t="s">
        <v>11</v>
      </c>
      <c r="E947" s="6" t="s">
        <v>12</v>
      </c>
      <c r="F947" s="6">
        <v>78</v>
      </c>
      <c r="G947" s="6">
        <v>91</v>
      </c>
      <c r="H947" s="6">
        <v>96</v>
      </c>
      <c r="I947" s="2">
        <f t="shared" si="29"/>
        <v>265</v>
      </c>
      <c r="J947" s="8">
        <f>AVERAGE(Table1[[#This Row],[math score]:[writing score]])</f>
        <v>88.333333333333329</v>
      </c>
      <c r="K947" s="2">
        <f t="shared" si="28"/>
        <v>300</v>
      </c>
      <c r="L947" s="4">
        <f>Table1[[#This Row],[Total Score]]/Table1[[#This Row],[Minimum Mark]]</f>
        <v>0.8833333333333333</v>
      </c>
      <c r="M947" s="70" t="str">
        <f>_xlfn.XLOOKUP(Table1[[#This Row],[Pass(%)]],O:O,P:P,,-1)</f>
        <v>B+</v>
      </c>
    </row>
    <row r="948" spans="1:13" x14ac:dyDescent="0.35">
      <c r="A948" s="2" t="s">
        <v>17</v>
      </c>
      <c r="B948" s="2" t="s">
        <v>13</v>
      </c>
      <c r="C948" s="6" t="s">
        <v>22</v>
      </c>
      <c r="D948" s="6" t="s">
        <v>11</v>
      </c>
      <c r="E948" s="6" t="s">
        <v>12</v>
      </c>
      <c r="F948" s="6">
        <v>81</v>
      </c>
      <c r="G948" s="6">
        <v>66</v>
      </c>
      <c r="H948" s="6">
        <v>64</v>
      </c>
      <c r="I948" s="2">
        <f t="shared" si="29"/>
        <v>211</v>
      </c>
      <c r="J948" s="8">
        <f>AVERAGE(Table1[[#This Row],[math score]:[writing score]])</f>
        <v>70.333333333333329</v>
      </c>
      <c r="K948" s="2">
        <f t="shared" si="28"/>
        <v>300</v>
      </c>
      <c r="L948" s="4">
        <f>Table1[[#This Row],[Total Score]]/Table1[[#This Row],[Minimum Mark]]</f>
        <v>0.70333333333333337</v>
      </c>
      <c r="M948" s="70" t="str">
        <f>_xlfn.XLOOKUP(Table1[[#This Row],[Pass(%)]],O:O,P:P,,-1)</f>
        <v>C-</v>
      </c>
    </row>
    <row r="949" spans="1:13" x14ac:dyDescent="0.35">
      <c r="A949" s="2" t="s">
        <v>17</v>
      </c>
      <c r="B949" s="2" t="s">
        <v>18</v>
      </c>
      <c r="C949" s="6" t="s">
        <v>23</v>
      </c>
      <c r="D949" s="6" t="s">
        <v>20</v>
      </c>
      <c r="E949" s="6" t="s">
        <v>15</v>
      </c>
      <c r="F949" s="6">
        <v>61</v>
      </c>
      <c r="G949" s="6">
        <v>62</v>
      </c>
      <c r="H949" s="6">
        <v>61</v>
      </c>
      <c r="I949" s="2">
        <f t="shared" si="29"/>
        <v>184</v>
      </c>
      <c r="J949" s="8">
        <f>AVERAGE(Table1[[#This Row],[math score]:[writing score]])</f>
        <v>61.333333333333336</v>
      </c>
      <c r="K949" s="2">
        <f t="shared" si="28"/>
        <v>300</v>
      </c>
      <c r="L949" s="4">
        <f>Table1[[#This Row],[Total Score]]/Table1[[#This Row],[Minimum Mark]]</f>
        <v>0.61333333333333329</v>
      </c>
      <c r="M949" s="70" t="str">
        <f>_xlfn.XLOOKUP(Table1[[#This Row],[Pass(%)]],O:O,P:P,,-1)</f>
        <v>D+</v>
      </c>
    </row>
    <row r="950" spans="1:13" x14ac:dyDescent="0.35">
      <c r="A950" s="2" t="s">
        <v>8</v>
      </c>
      <c r="B950" s="2" t="s">
        <v>9</v>
      </c>
      <c r="C950" s="6" t="s">
        <v>22</v>
      </c>
      <c r="D950" s="6" t="s">
        <v>11</v>
      </c>
      <c r="E950" s="6" t="s">
        <v>12</v>
      </c>
      <c r="F950" s="6">
        <v>58</v>
      </c>
      <c r="G950" s="6">
        <v>68</v>
      </c>
      <c r="H950" s="6">
        <v>61</v>
      </c>
      <c r="I950" s="2">
        <f t="shared" si="29"/>
        <v>187</v>
      </c>
      <c r="J950" s="8">
        <f>AVERAGE(Table1[[#This Row],[math score]:[writing score]])</f>
        <v>62.333333333333336</v>
      </c>
      <c r="K950" s="2">
        <f t="shared" si="28"/>
        <v>300</v>
      </c>
      <c r="L950" s="4">
        <f>Table1[[#This Row],[Total Score]]/Table1[[#This Row],[Minimum Mark]]</f>
        <v>0.62333333333333329</v>
      </c>
      <c r="M950" s="70" t="str">
        <f>_xlfn.XLOOKUP(Table1[[#This Row],[Pass(%)]],O:O,P:P,,-1)</f>
        <v>D+</v>
      </c>
    </row>
    <row r="951" spans="1:13" ht="20.5" x14ac:dyDescent="0.8">
      <c r="A951" s="3" t="s">
        <v>8</v>
      </c>
      <c r="B951" s="3" t="s">
        <v>13</v>
      </c>
      <c r="C951" s="7" t="s">
        <v>19</v>
      </c>
      <c r="D951" s="7" t="s">
        <v>11</v>
      </c>
      <c r="E951" s="7" t="s">
        <v>12</v>
      </c>
      <c r="F951" s="7">
        <v>54</v>
      </c>
      <c r="G951" s="7">
        <v>61</v>
      </c>
      <c r="H951" s="7">
        <v>58</v>
      </c>
      <c r="I951" s="3">
        <f t="shared" si="29"/>
        <v>173</v>
      </c>
      <c r="J951" s="14">
        <f>AVERAGE(Table1[[#This Row],[math score]:[writing score]])</f>
        <v>57.666666666666664</v>
      </c>
      <c r="K951" s="3">
        <f t="shared" si="28"/>
        <v>300</v>
      </c>
      <c r="L951" s="5">
        <f>Table1[[#This Row],[Total Score]]/Table1[[#This Row],[Minimum Mark]]</f>
        <v>0.57666666666666666</v>
      </c>
      <c r="M951" s="71" t="str">
        <f>_xlfn.XLOOKUP(Table1[[#This Row],[Pass(%)]],O:O,P:P,,-1)</f>
        <v>D+</v>
      </c>
    </row>
    <row r="952" spans="1:13" x14ac:dyDescent="0.35">
      <c r="A952" s="2" t="s">
        <v>17</v>
      </c>
      <c r="B952" s="2" t="s">
        <v>9</v>
      </c>
      <c r="C952" s="6" t="s">
        <v>22</v>
      </c>
      <c r="D952" s="6" t="s">
        <v>11</v>
      </c>
      <c r="E952" s="6" t="s">
        <v>12</v>
      </c>
      <c r="F952" s="6">
        <v>82</v>
      </c>
      <c r="G952" s="6">
        <v>82</v>
      </c>
      <c r="H952" s="6">
        <v>80</v>
      </c>
      <c r="I952" s="2">
        <f t="shared" si="29"/>
        <v>244</v>
      </c>
      <c r="J952" s="8">
        <f>AVERAGE(Table1[[#This Row],[math score]:[writing score]])</f>
        <v>81.333333333333329</v>
      </c>
      <c r="K952" s="2">
        <f t="shared" si="28"/>
        <v>300</v>
      </c>
      <c r="L952" s="4">
        <f>Table1[[#This Row],[Total Score]]/Table1[[#This Row],[Minimum Mark]]</f>
        <v>0.81333333333333335</v>
      </c>
      <c r="M952" s="70" t="str">
        <f>_xlfn.XLOOKUP(Table1[[#This Row],[Pass(%)]],O:O,P:P,,-1)</f>
        <v>B-</v>
      </c>
    </row>
    <row r="953" spans="1:13" x14ac:dyDescent="0.35">
      <c r="A953" s="2" t="s">
        <v>8</v>
      </c>
      <c r="B953" s="2" t="s">
        <v>21</v>
      </c>
      <c r="C953" s="6" t="s">
        <v>14</v>
      </c>
      <c r="D953" s="6" t="s">
        <v>20</v>
      </c>
      <c r="E953" s="6" t="s">
        <v>12</v>
      </c>
      <c r="F953" s="6">
        <v>49</v>
      </c>
      <c r="G953" s="6">
        <v>58</v>
      </c>
      <c r="H953" s="6">
        <v>60</v>
      </c>
      <c r="I953" s="2">
        <f t="shared" si="29"/>
        <v>167</v>
      </c>
      <c r="J953" s="8">
        <f>AVERAGE(Table1[[#This Row],[math score]:[writing score]])</f>
        <v>55.666666666666664</v>
      </c>
      <c r="K953" s="2">
        <f t="shared" si="28"/>
        <v>300</v>
      </c>
      <c r="L953" s="4">
        <f>Table1[[#This Row],[Total Score]]/Table1[[#This Row],[Minimum Mark]]</f>
        <v>0.55666666666666664</v>
      </c>
      <c r="M953" s="70" t="str">
        <f>_xlfn.XLOOKUP(Table1[[#This Row],[Pass(%)]],O:O,P:P,,-1)</f>
        <v>D+</v>
      </c>
    </row>
    <row r="954" spans="1:13" x14ac:dyDescent="0.35">
      <c r="A954" s="2" t="s">
        <v>17</v>
      </c>
      <c r="B954" s="2" t="s">
        <v>9</v>
      </c>
      <c r="C954" s="6" t="s">
        <v>23</v>
      </c>
      <c r="D954" s="6" t="s">
        <v>20</v>
      </c>
      <c r="E954" s="6" t="s">
        <v>15</v>
      </c>
      <c r="F954" s="6">
        <v>49</v>
      </c>
      <c r="G954" s="6">
        <v>50</v>
      </c>
      <c r="H954" s="6">
        <v>52</v>
      </c>
      <c r="I954" s="2">
        <f t="shared" si="29"/>
        <v>151</v>
      </c>
      <c r="J954" s="8">
        <f>AVERAGE(Table1[[#This Row],[math score]:[writing score]])</f>
        <v>50.333333333333336</v>
      </c>
      <c r="K954" s="2">
        <f t="shared" si="28"/>
        <v>300</v>
      </c>
      <c r="L954" s="4">
        <f>Table1[[#This Row],[Total Score]]/Table1[[#This Row],[Minimum Mark]]</f>
        <v>0.5033333333333333</v>
      </c>
      <c r="M954" s="70" t="str">
        <f>_xlfn.XLOOKUP(Table1[[#This Row],[Pass(%)]],O:O,P:P,,-1)</f>
        <v>D</v>
      </c>
    </row>
    <row r="955" spans="1:13" x14ac:dyDescent="0.35">
      <c r="A955" s="2" t="s">
        <v>8</v>
      </c>
      <c r="B955" s="2" t="s">
        <v>24</v>
      </c>
      <c r="C955" s="6" t="s">
        <v>22</v>
      </c>
      <c r="D955" s="6" t="s">
        <v>20</v>
      </c>
      <c r="E955" s="6" t="s">
        <v>15</v>
      </c>
      <c r="F955" s="6">
        <v>57</v>
      </c>
      <c r="G955" s="6">
        <v>75</v>
      </c>
      <c r="H955" s="6">
        <v>73</v>
      </c>
      <c r="I955" s="2">
        <f t="shared" si="29"/>
        <v>205</v>
      </c>
      <c r="J955" s="8">
        <f>AVERAGE(Table1[[#This Row],[math score]:[writing score]])</f>
        <v>68.333333333333329</v>
      </c>
      <c r="K955" s="2">
        <f t="shared" si="28"/>
        <v>300</v>
      </c>
      <c r="L955" s="4">
        <f>Table1[[#This Row],[Total Score]]/Table1[[#This Row],[Minimum Mark]]</f>
        <v>0.68333333333333335</v>
      </c>
      <c r="M955" s="70" t="str">
        <f>_xlfn.XLOOKUP(Table1[[#This Row],[Pass(%)]],O:O,P:P,,-1)</f>
        <v>D+</v>
      </c>
    </row>
    <row r="956" spans="1:13" x14ac:dyDescent="0.35">
      <c r="A956" s="2" t="s">
        <v>17</v>
      </c>
      <c r="B956" s="2" t="s">
        <v>24</v>
      </c>
      <c r="C956" s="6" t="s">
        <v>22</v>
      </c>
      <c r="D956" s="6" t="s">
        <v>11</v>
      </c>
      <c r="E956" s="6" t="s">
        <v>12</v>
      </c>
      <c r="F956" s="6">
        <v>94</v>
      </c>
      <c r="G956" s="6">
        <v>73</v>
      </c>
      <c r="H956" s="6">
        <v>71</v>
      </c>
      <c r="I956" s="2">
        <f t="shared" si="29"/>
        <v>238</v>
      </c>
      <c r="J956" s="8">
        <f>AVERAGE(Table1[[#This Row],[math score]:[writing score]])</f>
        <v>79.333333333333329</v>
      </c>
      <c r="K956" s="2">
        <f t="shared" si="28"/>
        <v>300</v>
      </c>
      <c r="L956" s="4">
        <f>Table1[[#This Row],[Total Score]]/Table1[[#This Row],[Minimum Mark]]</f>
        <v>0.79333333333333333</v>
      </c>
      <c r="M956" s="70" t="str">
        <f>_xlfn.XLOOKUP(Table1[[#This Row],[Pass(%)]],O:O,P:P,,-1)</f>
        <v>C+</v>
      </c>
    </row>
    <row r="957" spans="1:13" x14ac:dyDescent="0.35">
      <c r="A957" s="2" t="s">
        <v>8</v>
      </c>
      <c r="B957" s="2" t="s">
        <v>21</v>
      </c>
      <c r="C957" s="6" t="s">
        <v>14</v>
      </c>
      <c r="D957" s="6" t="s">
        <v>11</v>
      </c>
      <c r="E957" s="6" t="s">
        <v>15</v>
      </c>
      <c r="F957" s="6">
        <v>75</v>
      </c>
      <c r="G957" s="6">
        <v>77</v>
      </c>
      <c r="H957" s="6">
        <v>83</v>
      </c>
      <c r="I957" s="2">
        <f t="shared" si="29"/>
        <v>235</v>
      </c>
      <c r="J957" s="8">
        <f>AVERAGE(Table1[[#This Row],[math score]:[writing score]])</f>
        <v>78.333333333333329</v>
      </c>
      <c r="K957" s="2">
        <f t="shared" si="28"/>
        <v>300</v>
      </c>
      <c r="L957" s="4">
        <f>Table1[[#This Row],[Total Score]]/Table1[[#This Row],[Minimum Mark]]</f>
        <v>0.78333333333333333</v>
      </c>
      <c r="M957" s="70" t="str">
        <f>_xlfn.XLOOKUP(Table1[[#This Row],[Pass(%)]],O:O,P:P,,-1)</f>
        <v>C+</v>
      </c>
    </row>
    <row r="958" spans="1:13" x14ac:dyDescent="0.35">
      <c r="A958" s="2" t="s">
        <v>8</v>
      </c>
      <c r="B958" s="2" t="s">
        <v>24</v>
      </c>
      <c r="C958" s="6" t="s">
        <v>23</v>
      </c>
      <c r="D958" s="6" t="s">
        <v>20</v>
      </c>
      <c r="E958" s="6" t="s">
        <v>12</v>
      </c>
      <c r="F958" s="6">
        <v>74</v>
      </c>
      <c r="G958" s="6">
        <v>74</v>
      </c>
      <c r="H958" s="6">
        <v>72</v>
      </c>
      <c r="I958" s="2">
        <f t="shared" si="29"/>
        <v>220</v>
      </c>
      <c r="J958" s="8">
        <f>AVERAGE(Table1[[#This Row],[math score]:[writing score]])</f>
        <v>73.333333333333329</v>
      </c>
      <c r="K958" s="2">
        <f t="shared" si="28"/>
        <v>300</v>
      </c>
      <c r="L958" s="4">
        <f>Table1[[#This Row],[Total Score]]/Table1[[#This Row],[Minimum Mark]]</f>
        <v>0.73333333333333328</v>
      </c>
      <c r="M958" s="70" t="str">
        <f>_xlfn.XLOOKUP(Table1[[#This Row],[Pass(%)]],O:O,P:P,,-1)</f>
        <v>C</v>
      </c>
    </row>
    <row r="959" spans="1:13" x14ac:dyDescent="0.35">
      <c r="A959" s="2" t="s">
        <v>17</v>
      </c>
      <c r="B959" s="2" t="s">
        <v>13</v>
      </c>
      <c r="C959" s="6" t="s">
        <v>22</v>
      </c>
      <c r="D959" s="6" t="s">
        <v>11</v>
      </c>
      <c r="E959" s="6" t="s">
        <v>15</v>
      </c>
      <c r="F959" s="6">
        <v>58</v>
      </c>
      <c r="G959" s="6">
        <v>52</v>
      </c>
      <c r="H959" s="6">
        <v>54</v>
      </c>
      <c r="I959" s="2">
        <f t="shared" si="29"/>
        <v>164</v>
      </c>
      <c r="J959" s="8">
        <f>AVERAGE(Table1[[#This Row],[math score]:[writing score]])</f>
        <v>54.666666666666664</v>
      </c>
      <c r="K959" s="2">
        <f t="shared" si="28"/>
        <v>300</v>
      </c>
      <c r="L959" s="4">
        <f>Table1[[#This Row],[Total Score]]/Table1[[#This Row],[Minimum Mark]]</f>
        <v>0.54666666666666663</v>
      </c>
      <c r="M959" s="70" t="str">
        <f>_xlfn.XLOOKUP(Table1[[#This Row],[Pass(%)]],O:O,P:P,,-1)</f>
        <v>D+</v>
      </c>
    </row>
    <row r="960" spans="1:13" x14ac:dyDescent="0.35">
      <c r="A960" s="2" t="s">
        <v>8</v>
      </c>
      <c r="B960" s="2" t="s">
        <v>13</v>
      </c>
      <c r="C960" s="6" t="s">
        <v>14</v>
      </c>
      <c r="D960" s="6" t="s">
        <v>11</v>
      </c>
      <c r="E960" s="6" t="s">
        <v>12</v>
      </c>
      <c r="F960" s="6">
        <v>62</v>
      </c>
      <c r="G960" s="6">
        <v>69</v>
      </c>
      <c r="H960" s="6">
        <v>69</v>
      </c>
      <c r="I960" s="2">
        <f t="shared" si="29"/>
        <v>200</v>
      </c>
      <c r="J960" s="8">
        <f>AVERAGE(Table1[[#This Row],[math score]:[writing score]])</f>
        <v>66.666666666666671</v>
      </c>
      <c r="K960" s="2">
        <f t="shared" si="28"/>
        <v>300</v>
      </c>
      <c r="L960" s="4">
        <f>Table1[[#This Row],[Total Score]]/Table1[[#This Row],[Minimum Mark]]</f>
        <v>0.66666666666666663</v>
      </c>
      <c r="M960" s="70" t="str">
        <f>_xlfn.XLOOKUP(Table1[[#This Row],[Pass(%)]],O:O,P:P,,-1)</f>
        <v>D+</v>
      </c>
    </row>
    <row r="961" spans="1:13" ht="20.5" x14ac:dyDescent="0.8">
      <c r="A961" s="3" t="s">
        <v>17</v>
      </c>
      <c r="B961" s="3" t="s">
        <v>24</v>
      </c>
      <c r="C961" s="7" t="s">
        <v>19</v>
      </c>
      <c r="D961" s="7" t="s">
        <v>11</v>
      </c>
      <c r="E961" s="7" t="s">
        <v>12</v>
      </c>
      <c r="F961" s="7">
        <v>72</v>
      </c>
      <c r="G961" s="7">
        <v>57</v>
      </c>
      <c r="H961" s="7">
        <v>62</v>
      </c>
      <c r="I961" s="3">
        <f t="shared" si="29"/>
        <v>191</v>
      </c>
      <c r="J961" s="14">
        <f>AVERAGE(Table1[[#This Row],[math score]:[writing score]])</f>
        <v>63.666666666666664</v>
      </c>
      <c r="K961" s="3">
        <f t="shared" si="28"/>
        <v>300</v>
      </c>
      <c r="L961" s="5">
        <f>Table1[[#This Row],[Total Score]]/Table1[[#This Row],[Minimum Mark]]</f>
        <v>0.63666666666666671</v>
      </c>
      <c r="M961" s="71" t="str">
        <f>_xlfn.XLOOKUP(Table1[[#This Row],[Pass(%)]],O:O,P:P,,-1)</f>
        <v>D+</v>
      </c>
    </row>
    <row r="962" spans="1:13" x14ac:dyDescent="0.35">
      <c r="A962" s="2" t="s">
        <v>17</v>
      </c>
      <c r="B962" s="2" t="s">
        <v>13</v>
      </c>
      <c r="C962" s="6" t="s">
        <v>14</v>
      </c>
      <c r="D962" s="6" t="s">
        <v>11</v>
      </c>
      <c r="E962" s="6" t="s">
        <v>12</v>
      </c>
      <c r="F962" s="6">
        <v>84</v>
      </c>
      <c r="G962" s="6">
        <v>87</v>
      </c>
      <c r="H962" s="6">
        <v>81</v>
      </c>
      <c r="I962" s="2">
        <f t="shared" si="29"/>
        <v>252</v>
      </c>
      <c r="J962" s="8">
        <f>AVERAGE(Table1[[#This Row],[math score]:[writing score]])</f>
        <v>84</v>
      </c>
      <c r="K962" s="2">
        <f t="shared" si="28"/>
        <v>300</v>
      </c>
      <c r="L962" s="4">
        <f>Table1[[#This Row],[Total Score]]/Table1[[#This Row],[Minimum Mark]]</f>
        <v>0.84</v>
      </c>
      <c r="M962" s="70" t="str">
        <f>_xlfn.XLOOKUP(Table1[[#This Row],[Pass(%)]],O:O,P:P,,-1)</f>
        <v>B</v>
      </c>
    </row>
    <row r="963" spans="1:13" x14ac:dyDescent="0.35">
      <c r="A963" s="2" t="s">
        <v>8</v>
      </c>
      <c r="B963" s="2" t="s">
        <v>21</v>
      </c>
      <c r="C963" s="6" t="s">
        <v>16</v>
      </c>
      <c r="D963" s="6" t="s">
        <v>11</v>
      </c>
      <c r="E963" s="6" t="s">
        <v>12</v>
      </c>
      <c r="F963" s="6">
        <v>92</v>
      </c>
      <c r="G963" s="6">
        <v>100</v>
      </c>
      <c r="H963" s="6">
        <v>100</v>
      </c>
      <c r="I963" s="2">
        <f t="shared" si="29"/>
        <v>292</v>
      </c>
      <c r="J963" s="8">
        <f>AVERAGE(Table1[[#This Row],[math score]:[writing score]])</f>
        <v>97.333333333333329</v>
      </c>
      <c r="K963" s="2">
        <f t="shared" si="28"/>
        <v>300</v>
      </c>
      <c r="L963" s="4">
        <f>Table1[[#This Row],[Total Score]]/Table1[[#This Row],[Minimum Mark]]</f>
        <v>0.97333333333333338</v>
      </c>
      <c r="M963" s="70" t="str">
        <f>_xlfn.XLOOKUP(Table1[[#This Row],[Pass(%)]],O:O,P:P,,-1)</f>
        <v>A+</v>
      </c>
    </row>
    <row r="964" spans="1:13" x14ac:dyDescent="0.35">
      <c r="A964" s="2" t="s">
        <v>8</v>
      </c>
      <c r="B964" s="2" t="s">
        <v>21</v>
      </c>
      <c r="C964" s="6" t="s">
        <v>22</v>
      </c>
      <c r="D964" s="6" t="s">
        <v>11</v>
      </c>
      <c r="E964" s="6" t="s">
        <v>12</v>
      </c>
      <c r="F964" s="6">
        <v>45</v>
      </c>
      <c r="G964" s="6">
        <v>63</v>
      </c>
      <c r="H964" s="6">
        <v>59</v>
      </c>
      <c r="I964" s="2">
        <f t="shared" si="29"/>
        <v>167</v>
      </c>
      <c r="J964" s="8">
        <f>AVERAGE(Table1[[#This Row],[math score]:[writing score]])</f>
        <v>55.666666666666664</v>
      </c>
      <c r="K964" s="2">
        <f t="shared" si="28"/>
        <v>300</v>
      </c>
      <c r="L964" s="4">
        <f>Table1[[#This Row],[Total Score]]/Table1[[#This Row],[Minimum Mark]]</f>
        <v>0.55666666666666664</v>
      </c>
      <c r="M964" s="70" t="str">
        <f>_xlfn.XLOOKUP(Table1[[#This Row],[Pass(%)]],O:O,P:P,,-1)</f>
        <v>D+</v>
      </c>
    </row>
    <row r="965" spans="1:13" x14ac:dyDescent="0.35">
      <c r="A965" s="2" t="s">
        <v>17</v>
      </c>
      <c r="B965" s="2" t="s">
        <v>13</v>
      </c>
      <c r="C965" s="6" t="s">
        <v>22</v>
      </c>
      <c r="D965" s="6" t="s">
        <v>11</v>
      </c>
      <c r="E965" s="6" t="s">
        <v>12</v>
      </c>
      <c r="F965" s="6">
        <v>75</v>
      </c>
      <c r="G965" s="6">
        <v>81</v>
      </c>
      <c r="H965" s="6">
        <v>71</v>
      </c>
      <c r="I965" s="2">
        <f t="shared" si="29"/>
        <v>227</v>
      </c>
      <c r="J965" s="8">
        <f>AVERAGE(Table1[[#This Row],[math score]:[writing score]])</f>
        <v>75.666666666666671</v>
      </c>
      <c r="K965" s="2">
        <f t="shared" si="28"/>
        <v>300</v>
      </c>
      <c r="L965" s="4">
        <f>Table1[[#This Row],[Total Score]]/Table1[[#This Row],[Minimum Mark]]</f>
        <v>0.75666666666666671</v>
      </c>
      <c r="M965" s="70" t="str">
        <f>_xlfn.XLOOKUP(Table1[[#This Row],[Pass(%)]],O:O,P:P,,-1)</f>
        <v>C</v>
      </c>
    </row>
    <row r="966" spans="1:13" x14ac:dyDescent="0.35">
      <c r="A966" s="2" t="s">
        <v>8</v>
      </c>
      <c r="B966" s="2" t="s">
        <v>18</v>
      </c>
      <c r="C966" s="6" t="s">
        <v>14</v>
      </c>
      <c r="D966" s="6" t="s">
        <v>11</v>
      </c>
      <c r="E966" s="6" t="s">
        <v>12</v>
      </c>
      <c r="F966" s="6">
        <v>56</v>
      </c>
      <c r="G966" s="6">
        <v>58</v>
      </c>
      <c r="H966" s="6">
        <v>64</v>
      </c>
      <c r="I966" s="2">
        <f t="shared" si="29"/>
        <v>178</v>
      </c>
      <c r="J966" s="8">
        <f>AVERAGE(Table1[[#This Row],[math score]:[writing score]])</f>
        <v>59.333333333333336</v>
      </c>
      <c r="K966" s="2">
        <f t="shared" ref="K966:K1005" si="30">3*100</f>
        <v>300</v>
      </c>
      <c r="L966" s="4">
        <f>Table1[[#This Row],[Total Score]]/Table1[[#This Row],[Minimum Mark]]</f>
        <v>0.59333333333333338</v>
      </c>
      <c r="M966" s="70" t="str">
        <f>_xlfn.XLOOKUP(Table1[[#This Row],[Pass(%)]],O:O,P:P,,-1)</f>
        <v>D+</v>
      </c>
    </row>
    <row r="967" spans="1:13" x14ac:dyDescent="0.35">
      <c r="A967" s="2" t="s">
        <v>8</v>
      </c>
      <c r="B967" s="2" t="s">
        <v>21</v>
      </c>
      <c r="C967" s="6" t="s">
        <v>23</v>
      </c>
      <c r="D967" s="6" t="s">
        <v>20</v>
      </c>
      <c r="E967" s="6" t="s">
        <v>12</v>
      </c>
      <c r="F967" s="6">
        <v>48</v>
      </c>
      <c r="G967" s="6">
        <v>54</v>
      </c>
      <c r="H967" s="6">
        <v>53</v>
      </c>
      <c r="I967" s="2">
        <f t="shared" ref="I967:I1005" si="31">SUM(F967:H967)</f>
        <v>155</v>
      </c>
      <c r="J967" s="8">
        <f>AVERAGE(Table1[[#This Row],[math score]:[writing score]])</f>
        <v>51.666666666666664</v>
      </c>
      <c r="K967" s="2">
        <f t="shared" si="30"/>
        <v>300</v>
      </c>
      <c r="L967" s="4">
        <f>Table1[[#This Row],[Total Score]]/Table1[[#This Row],[Minimum Mark]]</f>
        <v>0.51666666666666672</v>
      </c>
      <c r="M967" s="70" t="str">
        <f>_xlfn.XLOOKUP(Table1[[#This Row],[Pass(%)]],O:O,P:P,,-1)</f>
        <v>D</v>
      </c>
    </row>
    <row r="968" spans="1:13" ht="20.5" x14ac:dyDescent="0.8">
      <c r="A968" s="3" t="s">
        <v>8</v>
      </c>
      <c r="B968" s="3" t="s">
        <v>24</v>
      </c>
      <c r="C968" s="7" t="s">
        <v>19</v>
      </c>
      <c r="D968" s="7" t="s">
        <v>11</v>
      </c>
      <c r="E968" s="7" t="s">
        <v>12</v>
      </c>
      <c r="F968" s="7">
        <v>100</v>
      </c>
      <c r="G968" s="7">
        <v>100</v>
      </c>
      <c r="H968" s="7">
        <v>100</v>
      </c>
      <c r="I968" s="3">
        <f t="shared" si="31"/>
        <v>300</v>
      </c>
      <c r="J968" s="14">
        <f>AVERAGE(Table1[[#This Row],[math score]:[writing score]])</f>
        <v>100</v>
      </c>
      <c r="K968" s="3">
        <f t="shared" si="30"/>
        <v>300</v>
      </c>
      <c r="L968" s="5">
        <f>Table1[[#This Row],[Total Score]]/Table1[[#This Row],[Minimum Mark]]</f>
        <v>1</v>
      </c>
      <c r="M968" s="71" t="str">
        <f>_xlfn.XLOOKUP(Table1[[#This Row],[Pass(%)]],O:O,P:P,,-1)</f>
        <v>A+</v>
      </c>
    </row>
    <row r="969" spans="1:13" x14ac:dyDescent="0.35">
      <c r="A969" s="2" t="s">
        <v>8</v>
      </c>
      <c r="B969" s="2" t="s">
        <v>13</v>
      </c>
      <c r="C969" s="6" t="s">
        <v>23</v>
      </c>
      <c r="D969" s="6" t="s">
        <v>20</v>
      </c>
      <c r="E969" s="6" t="s">
        <v>15</v>
      </c>
      <c r="F969" s="6">
        <v>65</v>
      </c>
      <c r="G969" s="6">
        <v>76</v>
      </c>
      <c r="H969" s="6">
        <v>75</v>
      </c>
      <c r="I969" s="2">
        <f t="shared" si="31"/>
        <v>216</v>
      </c>
      <c r="J969" s="8">
        <f>AVERAGE(Table1[[#This Row],[math score]:[writing score]])</f>
        <v>72</v>
      </c>
      <c r="K969" s="2">
        <f t="shared" si="30"/>
        <v>300</v>
      </c>
      <c r="L969" s="4">
        <f>Table1[[#This Row],[Total Score]]/Table1[[#This Row],[Minimum Mark]]</f>
        <v>0.72</v>
      </c>
      <c r="M969" s="70" t="str">
        <f>_xlfn.XLOOKUP(Table1[[#This Row],[Pass(%)]],O:O,P:P,,-1)</f>
        <v>C-</v>
      </c>
    </row>
    <row r="970" spans="1:13" x14ac:dyDescent="0.35">
      <c r="A970" s="2" t="s">
        <v>17</v>
      </c>
      <c r="B970" s="2" t="s">
        <v>21</v>
      </c>
      <c r="C970" s="6" t="s">
        <v>14</v>
      </c>
      <c r="D970" s="6" t="s">
        <v>11</v>
      </c>
      <c r="E970" s="6" t="s">
        <v>12</v>
      </c>
      <c r="F970" s="6">
        <v>72</v>
      </c>
      <c r="G970" s="6">
        <v>57</v>
      </c>
      <c r="H970" s="6">
        <v>58</v>
      </c>
      <c r="I970" s="2">
        <f t="shared" si="31"/>
        <v>187</v>
      </c>
      <c r="J970" s="8">
        <f>AVERAGE(Table1[[#This Row],[math score]:[writing score]])</f>
        <v>62.333333333333336</v>
      </c>
      <c r="K970" s="2">
        <f t="shared" si="30"/>
        <v>300</v>
      </c>
      <c r="L970" s="4">
        <f>Table1[[#This Row],[Total Score]]/Table1[[#This Row],[Minimum Mark]]</f>
        <v>0.62333333333333329</v>
      </c>
      <c r="M970" s="70" t="str">
        <f>_xlfn.XLOOKUP(Table1[[#This Row],[Pass(%)]],O:O,P:P,,-1)</f>
        <v>D+</v>
      </c>
    </row>
    <row r="971" spans="1:13" x14ac:dyDescent="0.35">
      <c r="A971" s="2" t="s">
        <v>8</v>
      </c>
      <c r="B971" s="2" t="s">
        <v>21</v>
      </c>
      <c r="C971" s="6" t="s">
        <v>14</v>
      </c>
      <c r="D971" s="6" t="s">
        <v>11</v>
      </c>
      <c r="E971" s="6" t="s">
        <v>12</v>
      </c>
      <c r="F971" s="6">
        <v>62</v>
      </c>
      <c r="G971" s="6">
        <v>70</v>
      </c>
      <c r="H971" s="6">
        <v>72</v>
      </c>
      <c r="I971" s="2">
        <f t="shared" si="31"/>
        <v>204</v>
      </c>
      <c r="J971" s="8">
        <f>AVERAGE(Table1[[#This Row],[math score]:[writing score]])</f>
        <v>68</v>
      </c>
      <c r="K971" s="2">
        <f t="shared" si="30"/>
        <v>300</v>
      </c>
      <c r="L971" s="4">
        <f>Table1[[#This Row],[Total Score]]/Table1[[#This Row],[Minimum Mark]]</f>
        <v>0.68</v>
      </c>
      <c r="M971" s="70" t="str">
        <f>_xlfn.XLOOKUP(Table1[[#This Row],[Pass(%)]],O:O,P:P,,-1)</f>
        <v>D+</v>
      </c>
    </row>
    <row r="972" spans="1:13" x14ac:dyDescent="0.35">
      <c r="A972" s="2" t="s">
        <v>17</v>
      </c>
      <c r="B972" s="2" t="s">
        <v>18</v>
      </c>
      <c r="C972" s="6" t="s">
        <v>23</v>
      </c>
      <c r="D972" s="6" t="s">
        <v>11</v>
      </c>
      <c r="E972" s="6" t="s">
        <v>15</v>
      </c>
      <c r="F972" s="6">
        <v>66</v>
      </c>
      <c r="G972" s="6">
        <v>68</v>
      </c>
      <c r="H972" s="6">
        <v>64</v>
      </c>
      <c r="I972" s="2">
        <f t="shared" si="31"/>
        <v>198</v>
      </c>
      <c r="J972" s="8">
        <f>AVERAGE(Table1[[#This Row],[math score]:[writing score]])</f>
        <v>66</v>
      </c>
      <c r="K972" s="2">
        <f t="shared" si="30"/>
        <v>300</v>
      </c>
      <c r="L972" s="4">
        <f>Table1[[#This Row],[Total Score]]/Table1[[#This Row],[Minimum Mark]]</f>
        <v>0.66</v>
      </c>
      <c r="M972" s="70" t="str">
        <f>_xlfn.XLOOKUP(Table1[[#This Row],[Pass(%)]],O:O,P:P,,-1)</f>
        <v>D+</v>
      </c>
    </row>
    <row r="973" spans="1:13" x14ac:dyDescent="0.35">
      <c r="A973" s="2" t="s">
        <v>17</v>
      </c>
      <c r="B973" s="2" t="s">
        <v>13</v>
      </c>
      <c r="C973" s="6" t="s">
        <v>14</v>
      </c>
      <c r="D973" s="6" t="s">
        <v>11</v>
      </c>
      <c r="E973" s="6" t="s">
        <v>12</v>
      </c>
      <c r="F973" s="6">
        <v>63</v>
      </c>
      <c r="G973" s="6">
        <v>63</v>
      </c>
      <c r="H973" s="6">
        <v>60</v>
      </c>
      <c r="I973" s="2">
        <f t="shared" si="31"/>
        <v>186</v>
      </c>
      <c r="J973" s="8">
        <f>AVERAGE(Table1[[#This Row],[math score]:[writing score]])</f>
        <v>62</v>
      </c>
      <c r="K973" s="2">
        <f t="shared" si="30"/>
        <v>300</v>
      </c>
      <c r="L973" s="4">
        <f>Table1[[#This Row],[Total Score]]/Table1[[#This Row],[Minimum Mark]]</f>
        <v>0.62</v>
      </c>
      <c r="M973" s="70" t="str">
        <f>_xlfn.XLOOKUP(Table1[[#This Row],[Pass(%)]],O:O,P:P,,-1)</f>
        <v>D+</v>
      </c>
    </row>
    <row r="974" spans="1:13" ht="20.5" x14ac:dyDescent="0.8">
      <c r="A974" s="3" t="s">
        <v>8</v>
      </c>
      <c r="B974" s="3" t="s">
        <v>24</v>
      </c>
      <c r="C974" s="7" t="s">
        <v>19</v>
      </c>
      <c r="D974" s="7" t="s">
        <v>11</v>
      </c>
      <c r="E974" s="7" t="s">
        <v>12</v>
      </c>
      <c r="F974" s="7">
        <v>68</v>
      </c>
      <c r="G974" s="7">
        <v>76</v>
      </c>
      <c r="H974" s="7">
        <v>67</v>
      </c>
      <c r="I974" s="3">
        <f t="shared" si="31"/>
        <v>211</v>
      </c>
      <c r="J974" s="14">
        <f>AVERAGE(Table1[[#This Row],[math score]:[writing score]])</f>
        <v>70.333333333333329</v>
      </c>
      <c r="K974" s="3">
        <f t="shared" si="30"/>
        <v>300</v>
      </c>
      <c r="L974" s="5">
        <f>Table1[[#This Row],[Total Score]]/Table1[[#This Row],[Minimum Mark]]</f>
        <v>0.70333333333333337</v>
      </c>
      <c r="M974" s="71" t="str">
        <f>_xlfn.XLOOKUP(Table1[[#This Row],[Pass(%)]],O:O,P:P,,-1)</f>
        <v>C-</v>
      </c>
    </row>
    <row r="975" spans="1:13" x14ac:dyDescent="0.35">
      <c r="A975" s="2" t="s">
        <v>8</v>
      </c>
      <c r="B975" s="2" t="s">
        <v>9</v>
      </c>
      <c r="C975" s="6" t="s">
        <v>10</v>
      </c>
      <c r="D975" s="6" t="s">
        <v>11</v>
      </c>
      <c r="E975" s="6" t="s">
        <v>12</v>
      </c>
      <c r="F975" s="6">
        <v>75</v>
      </c>
      <c r="G975" s="6">
        <v>84</v>
      </c>
      <c r="H975" s="6">
        <v>80</v>
      </c>
      <c r="I975" s="2">
        <f t="shared" si="31"/>
        <v>239</v>
      </c>
      <c r="J975" s="8">
        <f>AVERAGE(Table1[[#This Row],[math score]:[writing score]])</f>
        <v>79.666666666666671</v>
      </c>
      <c r="K975" s="2">
        <f t="shared" si="30"/>
        <v>300</v>
      </c>
      <c r="L975" s="4">
        <f>Table1[[#This Row],[Total Score]]/Table1[[#This Row],[Minimum Mark]]</f>
        <v>0.79666666666666663</v>
      </c>
      <c r="M975" s="70" t="str">
        <f>_xlfn.XLOOKUP(Table1[[#This Row],[Pass(%)]],O:O,P:P,,-1)</f>
        <v>C+</v>
      </c>
    </row>
    <row r="976" spans="1:13" x14ac:dyDescent="0.35">
      <c r="A976" s="2" t="s">
        <v>8</v>
      </c>
      <c r="B976" s="2" t="s">
        <v>21</v>
      </c>
      <c r="C976" s="6" t="s">
        <v>10</v>
      </c>
      <c r="D976" s="6" t="s">
        <v>11</v>
      </c>
      <c r="E976" s="6" t="s">
        <v>12</v>
      </c>
      <c r="F976" s="6">
        <v>89</v>
      </c>
      <c r="G976" s="6">
        <v>100</v>
      </c>
      <c r="H976" s="6">
        <v>100</v>
      </c>
      <c r="I976" s="2">
        <f t="shared" si="31"/>
        <v>289</v>
      </c>
      <c r="J976" s="8">
        <f>AVERAGE(Table1[[#This Row],[math score]:[writing score]])</f>
        <v>96.333333333333329</v>
      </c>
      <c r="K976" s="2">
        <f t="shared" si="30"/>
        <v>300</v>
      </c>
      <c r="L976" s="4">
        <f>Table1[[#This Row],[Total Score]]/Table1[[#This Row],[Minimum Mark]]</f>
        <v>0.96333333333333337</v>
      </c>
      <c r="M976" s="70" t="str">
        <f>_xlfn.XLOOKUP(Table1[[#This Row],[Pass(%)]],O:O,P:P,,-1)</f>
        <v>A</v>
      </c>
    </row>
    <row r="977" spans="1:13" x14ac:dyDescent="0.35">
      <c r="A977" s="2" t="s">
        <v>17</v>
      </c>
      <c r="B977" s="2" t="s">
        <v>13</v>
      </c>
      <c r="C977" s="6" t="s">
        <v>23</v>
      </c>
      <c r="D977" s="6" t="s">
        <v>11</v>
      </c>
      <c r="E977" s="6" t="s">
        <v>15</v>
      </c>
      <c r="F977" s="6">
        <v>78</v>
      </c>
      <c r="G977" s="6">
        <v>72</v>
      </c>
      <c r="H977" s="6">
        <v>69</v>
      </c>
      <c r="I977" s="2">
        <f t="shared" si="31"/>
        <v>219</v>
      </c>
      <c r="J977" s="8">
        <f>AVERAGE(Table1[[#This Row],[math score]:[writing score]])</f>
        <v>73</v>
      </c>
      <c r="K977" s="2">
        <f t="shared" si="30"/>
        <v>300</v>
      </c>
      <c r="L977" s="4">
        <f>Table1[[#This Row],[Total Score]]/Table1[[#This Row],[Minimum Mark]]</f>
        <v>0.73</v>
      </c>
      <c r="M977" s="70" t="str">
        <f>_xlfn.XLOOKUP(Table1[[#This Row],[Pass(%)]],O:O,P:P,,-1)</f>
        <v>C</v>
      </c>
    </row>
    <row r="978" spans="1:13" x14ac:dyDescent="0.35">
      <c r="A978" s="2" t="s">
        <v>8</v>
      </c>
      <c r="B978" s="2" t="s">
        <v>18</v>
      </c>
      <c r="C978" s="6" t="s">
        <v>22</v>
      </c>
      <c r="D978" s="6" t="s">
        <v>20</v>
      </c>
      <c r="E978" s="6" t="s">
        <v>15</v>
      </c>
      <c r="F978" s="6">
        <v>53</v>
      </c>
      <c r="G978" s="6">
        <v>50</v>
      </c>
      <c r="H978" s="6">
        <v>60</v>
      </c>
      <c r="I978" s="2">
        <f t="shared" si="31"/>
        <v>163</v>
      </c>
      <c r="J978" s="8">
        <f>AVERAGE(Table1[[#This Row],[math score]:[writing score]])</f>
        <v>54.333333333333336</v>
      </c>
      <c r="K978" s="2">
        <f t="shared" si="30"/>
        <v>300</v>
      </c>
      <c r="L978" s="4">
        <f>Table1[[#This Row],[Total Score]]/Table1[[#This Row],[Minimum Mark]]</f>
        <v>0.54333333333333333</v>
      </c>
      <c r="M978" s="70" t="str">
        <f>_xlfn.XLOOKUP(Table1[[#This Row],[Pass(%)]],O:O,P:P,,-1)</f>
        <v>D+</v>
      </c>
    </row>
    <row r="979" spans="1:13" x14ac:dyDescent="0.35">
      <c r="A979" s="2" t="s">
        <v>8</v>
      </c>
      <c r="B979" s="2" t="s">
        <v>21</v>
      </c>
      <c r="C979" s="6" t="s">
        <v>14</v>
      </c>
      <c r="D979" s="6" t="s">
        <v>20</v>
      </c>
      <c r="E979" s="6" t="s">
        <v>12</v>
      </c>
      <c r="F979" s="6">
        <v>49</v>
      </c>
      <c r="G979" s="6">
        <v>65</v>
      </c>
      <c r="H979" s="6">
        <v>61</v>
      </c>
      <c r="I979" s="2">
        <f t="shared" si="31"/>
        <v>175</v>
      </c>
      <c r="J979" s="8">
        <f>AVERAGE(Table1[[#This Row],[math score]:[writing score]])</f>
        <v>58.333333333333336</v>
      </c>
      <c r="K979" s="2">
        <f t="shared" si="30"/>
        <v>300</v>
      </c>
      <c r="L979" s="4">
        <f>Table1[[#This Row],[Total Score]]/Table1[[#This Row],[Minimum Mark]]</f>
        <v>0.58333333333333337</v>
      </c>
      <c r="M979" s="70" t="str">
        <f>_xlfn.XLOOKUP(Table1[[#This Row],[Pass(%)]],O:O,P:P,,-1)</f>
        <v>D+</v>
      </c>
    </row>
    <row r="980" spans="1:13" x14ac:dyDescent="0.35">
      <c r="A980" s="2" t="s">
        <v>8</v>
      </c>
      <c r="B980" s="2" t="s">
        <v>18</v>
      </c>
      <c r="C980" s="6" t="s">
        <v>14</v>
      </c>
      <c r="D980" s="6" t="s">
        <v>11</v>
      </c>
      <c r="E980" s="6" t="s">
        <v>12</v>
      </c>
      <c r="F980" s="6">
        <v>54</v>
      </c>
      <c r="G980" s="6">
        <v>63</v>
      </c>
      <c r="H980" s="6">
        <v>67</v>
      </c>
      <c r="I980" s="2">
        <f t="shared" si="31"/>
        <v>184</v>
      </c>
      <c r="J980" s="8">
        <f>AVERAGE(Table1[[#This Row],[math score]:[writing score]])</f>
        <v>61.333333333333336</v>
      </c>
      <c r="K980" s="2">
        <f t="shared" si="30"/>
        <v>300</v>
      </c>
      <c r="L980" s="4">
        <f>Table1[[#This Row],[Total Score]]/Table1[[#This Row],[Minimum Mark]]</f>
        <v>0.61333333333333329</v>
      </c>
      <c r="M980" s="70" t="str">
        <f>_xlfn.XLOOKUP(Table1[[#This Row],[Pass(%)]],O:O,P:P,,-1)</f>
        <v>D+</v>
      </c>
    </row>
    <row r="981" spans="1:13" x14ac:dyDescent="0.35">
      <c r="A981" s="2" t="s">
        <v>8</v>
      </c>
      <c r="B981" s="2" t="s">
        <v>13</v>
      </c>
      <c r="C981" s="6" t="s">
        <v>14</v>
      </c>
      <c r="D981" s="6" t="s">
        <v>11</v>
      </c>
      <c r="E981" s="6" t="s">
        <v>15</v>
      </c>
      <c r="F981" s="6">
        <v>64</v>
      </c>
      <c r="G981" s="6">
        <v>82</v>
      </c>
      <c r="H981" s="6">
        <v>77</v>
      </c>
      <c r="I981" s="2">
        <f t="shared" si="31"/>
        <v>223</v>
      </c>
      <c r="J981" s="8">
        <f>AVERAGE(Table1[[#This Row],[math score]:[writing score]])</f>
        <v>74.333333333333329</v>
      </c>
      <c r="K981" s="2">
        <f t="shared" si="30"/>
        <v>300</v>
      </c>
      <c r="L981" s="4">
        <f>Table1[[#This Row],[Total Score]]/Table1[[#This Row],[Minimum Mark]]</f>
        <v>0.74333333333333329</v>
      </c>
      <c r="M981" s="70" t="str">
        <f>_xlfn.XLOOKUP(Table1[[#This Row],[Pass(%)]],O:O,P:P,,-1)</f>
        <v>C</v>
      </c>
    </row>
    <row r="982" spans="1:13" x14ac:dyDescent="0.35">
      <c r="A982" s="2" t="s">
        <v>17</v>
      </c>
      <c r="B982" s="2" t="s">
        <v>9</v>
      </c>
      <c r="C982" s="6" t="s">
        <v>14</v>
      </c>
      <c r="D982" s="6" t="s">
        <v>20</v>
      </c>
      <c r="E982" s="6" t="s">
        <v>15</v>
      </c>
      <c r="F982" s="6">
        <v>60</v>
      </c>
      <c r="G982" s="6">
        <v>62</v>
      </c>
      <c r="H982" s="6">
        <v>60</v>
      </c>
      <c r="I982" s="2">
        <f t="shared" si="31"/>
        <v>182</v>
      </c>
      <c r="J982" s="8">
        <f>AVERAGE(Table1[[#This Row],[math score]:[writing score]])</f>
        <v>60.666666666666664</v>
      </c>
      <c r="K982" s="2">
        <f t="shared" si="30"/>
        <v>300</v>
      </c>
      <c r="L982" s="4">
        <f>Table1[[#This Row],[Total Score]]/Table1[[#This Row],[Minimum Mark]]</f>
        <v>0.60666666666666669</v>
      </c>
      <c r="M982" s="70" t="str">
        <f>_xlfn.XLOOKUP(Table1[[#This Row],[Pass(%)]],O:O,P:P,,-1)</f>
        <v>D+</v>
      </c>
    </row>
    <row r="983" spans="1:13" ht="20.5" x14ac:dyDescent="0.8">
      <c r="A983" s="3" t="s">
        <v>17</v>
      </c>
      <c r="B983" s="3" t="s">
        <v>13</v>
      </c>
      <c r="C983" s="7" t="s">
        <v>19</v>
      </c>
      <c r="D983" s="7" t="s">
        <v>11</v>
      </c>
      <c r="E983" s="7" t="s">
        <v>12</v>
      </c>
      <c r="F983" s="7">
        <v>62</v>
      </c>
      <c r="G983" s="7">
        <v>65</v>
      </c>
      <c r="H983" s="7">
        <v>58</v>
      </c>
      <c r="I983" s="3">
        <f t="shared" si="31"/>
        <v>185</v>
      </c>
      <c r="J983" s="14">
        <f>AVERAGE(Table1[[#This Row],[math score]:[writing score]])</f>
        <v>61.666666666666664</v>
      </c>
      <c r="K983" s="3">
        <f t="shared" si="30"/>
        <v>300</v>
      </c>
      <c r="L983" s="5">
        <f>Table1[[#This Row],[Total Score]]/Table1[[#This Row],[Minimum Mark]]</f>
        <v>0.6166666666666667</v>
      </c>
      <c r="M983" s="71" t="str">
        <f>_xlfn.XLOOKUP(Table1[[#This Row],[Pass(%)]],O:O,P:P,,-1)</f>
        <v>D+</v>
      </c>
    </row>
    <row r="984" spans="1:13" x14ac:dyDescent="0.35">
      <c r="A984" s="2" t="s">
        <v>17</v>
      </c>
      <c r="B984" s="2" t="s">
        <v>21</v>
      </c>
      <c r="C984" s="6" t="s">
        <v>22</v>
      </c>
      <c r="D984" s="6" t="s">
        <v>11</v>
      </c>
      <c r="E984" s="6" t="s">
        <v>15</v>
      </c>
      <c r="F984" s="6">
        <v>55</v>
      </c>
      <c r="G984" s="6">
        <v>41</v>
      </c>
      <c r="H984" s="6">
        <v>48</v>
      </c>
      <c r="I984" s="2">
        <f t="shared" si="31"/>
        <v>144</v>
      </c>
      <c r="J984" s="8">
        <f>AVERAGE(Table1[[#This Row],[math score]:[writing score]])</f>
        <v>48</v>
      </c>
      <c r="K984" s="2">
        <f t="shared" si="30"/>
        <v>300</v>
      </c>
      <c r="L984" s="4">
        <f>Table1[[#This Row],[Total Score]]/Table1[[#This Row],[Minimum Mark]]</f>
        <v>0.48</v>
      </c>
      <c r="M984" s="70" t="str">
        <f>_xlfn.XLOOKUP(Table1[[#This Row],[Pass(%)]],O:O,P:P,,-1)</f>
        <v>D</v>
      </c>
    </row>
    <row r="985" spans="1:13" ht="20.5" x14ac:dyDescent="0.8">
      <c r="A985" s="3" t="s">
        <v>8</v>
      </c>
      <c r="B985" s="3" t="s">
        <v>13</v>
      </c>
      <c r="C985" s="7" t="s">
        <v>19</v>
      </c>
      <c r="D985" s="7" t="s">
        <v>11</v>
      </c>
      <c r="E985" s="7" t="s">
        <v>12</v>
      </c>
      <c r="F985" s="7">
        <v>91</v>
      </c>
      <c r="G985" s="7">
        <v>95</v>
      </c>
      <c r="H985" s="7">
        <v>94</v>
      </c>
      <c r="I985" s="3">
        <f t="shared" si="31"/>
        <v>280</v>
      </c>
      <c r="J985" s="14">
        <f>AVERAGE(Table1[[#This Row],[math score]:[writing score]])</f>
        <v>93.333333333333329</v>
      </c>
      <c r="K985" s="3">
        <f t="shared" si="30"/>
        <v>300</v>
      </c>
      <c r="L985" s="5">
        <f>Table1[[#This Row],[Total Score]]/Table1[[#This Row],[Minimum Mark]]</f>
        <v>0.93333333333333335</v>
      </c>
      <c r="M985" s="71" t="str">
        <f>_xlfn.XLOOKUP(Table1[[#This Row],[Pass(%)]],O:O,P:P,,-1)</f>
        <v>A</v>
      </c>
    </row>
    <row r="986" spans="1:13" x14ac:dyDescent="0.35">
      <c r="A986" s="2" t="s">
        <v>8</v>
      </c>
      <c r="B986" s="2" t="s">
        <v>9</v>
      </c>
      <c r="C986" s="6" t="s">
        <v>22</v>
      </c>
      <c r="D986" s="6" t="s">
        <v>20</v>
      </c>
      <c r="E986" s="6" t="s">
        <v>12</v>
      </c>
      <c r="F986" s="6">
        <v>8</v>
      </c>
      <c r="G986" s="6">
        <v>24</v>
      </c>
      <c r="H986" s="6">
        <v>23</v>
      </c>
      <c r="I986" s="2">
        <f t="shared" si="31"/>
        <v>55</v>
      </c>
      <c r="J986" s="8">
        <f>AVERAGE(Table1[[#This Row],[math score]:[writing score]])</f>
        <v>18.333333333333332</v>
      </c>
      <c r="K986" s="2">
        <f t="shared" si="30"/>
        <v>300</v>
      </c>
      <c r="L986" s="4">
        <f>Table1[[#This Row],[Total Score]]/Table1[[#This Row],[Minimum Mark]]</f>
        <v>0.18333333333333332</v>
      </c>
      <c r="M986" s="70" t="str">
        <f>_xlfn.XLOOKUP(Table1[[#This Row],[Pass(%)]],O:O,P:P,,-1)</f>
        <v>F</v>
      </c>
    </row>
    <row r="987" spans="1:13" x14ac:dyDescent="0.35">
      <c r="A987" s="2" t="s">
        <v>17</v>
      </c>
      <c r="B987" s="2" t="s">
        <v>21</v>
      </c>
      <c r="C987" s="6" t="s">
        <v>23</v>
      </c>
      <c r="D987" s="6" t="s">
        <v>11</v>
      </c>
      <c r="E987" s="6" t="s">
        <v>12</v>
      </c>
      <c r="F987" s="6">
        <v>81</v>
      </c>
      <c r="G987" s="6">
        <v>78</v>
      </c>
      <c r="H987" s="6">
        <v>78</v>
      </c>
      <c r="I987" s="2">
        <f t="shared" si="31"/>
        <v>237</v>
      </c>
      <c r="J987" s="8">
        <f>AVERAGE(Table1[[#This Row],[math score]:[writing score]])</f>
        <v>79</v>
      </c>
      <c r="K987" s="2">
        <f t="shared" si="30"/>
        <v>300</v>
      </c>
      <c r="L987" s="4">
        <f>Table1[[#This Row],[Total Score]]/Table1[[#This Row],[Minimum Mark]]</f>
        <v>0.79</v>
      </c>
      <c r="M987" s="70" t="str">
        <f>_xlfn.XLOOKUP(Table1[[#This Row],[Pass(%)]],O:O,P:P,,-1)</f>
        <v>C+</v>
      </c>
    </row>
    <row r="988" spans="1:13" x14ac:dyDescent="0.35">
      <c r="A988" s="2" t="s">
        <v>17</v>
      </c>
      <c r="B988" s="2" t="s">
        <v>9</v>
      </c>
      <c r="C988" s="6" t="s">
        <v>23</v>
      </c>
      <c r="D988" s="6" t="s">
        <v>11</v>
      </c>
      <c r="E988" s="6" t="s">
        <v>15</v>
      </c>
      <c r="F988" s="6">
        <v>79</v>
      </c>
      <c r="G988" s="6">
        <v>85</v>
      </c>
      <c r="H988" s="6">
        <v>86</v>
      </c>
      <c r="I988" s="2">
        <f t="shared" si="31"/>
        <v>250</v>
      </c>
      <c r="J988" s="8">
        <f>AVERAGE(Table1[[#This Row],[math score]:[writing score]])</f>
        <v>83.333333333333329</v>
      </c>
      <c r="K988" s="2">
        <f t="shared" si="30"/>
        <v>300</v>
      </c>
      <c r="L988" s="4">
        <f>Table1[[#This Row],[Total Score]]/Table1[[#This Row],[Minimum Mark]]</f>
        <v>0.83333333333333337</v>
      </c>
      <c r="M988" s="70" t="str">
        <f>_xlfn.XLOOKUP(Table1[[#This Row],[Pass(%)]],O:O,P:P,,-1)</f>
        <v>B</v>
      </c>
    </row>
    <row r="989" spans="1:13" x14ac:dyDescent="0.35">
      <c r="A989" s="2" t="s">
        <v>8</v>
      </c>
      <c r="B989" s="2" t="s">
        <v>18</v>
      </c>
      <c r="C989" s="6" t="s">
        <v>14</v>
      </c>
      <c r="D989" s="6" t="s">
        <v>11</v>
      </c>
      <c r="E989" s="6" t="s">
        <v>15</v>
      </c>
      <c r="F989" s="6">
        <v>78</v>
      </c>
      <c r="G989" s="6">
        <v>87</v>
      </c>
      <c r="H989" s="6">
        <v>91</v>
      </c>
      <c r="I989" s="2">
        <f t="shared" si="31"/>
        <v>256</v>
      </c>
      <c r="J989" s="8">
        <f>AVERAGE(Table1[[#This Row],[math score]:[writing score]])</f>
        <v>85.333333333333329</v>
      </c>
      <c r="K989" s="2">
        <f t="shared" si="30"/>
        <v>300</v>
      </c>
      <c r="L989" s="4">
        <f>Table1[[#This Row],[Total Score]]/Table1[[#This Row],[Minimum Mark]]</f>
        <v>0.85333333333333339</v>
      </c>
      <c r="M989" s="70" t="str">
        <f>_xlfn.XLOOKUP(Table1[[#This Row],[Pass(%)]],O:O,P:P,,-1)</f>
        <v>B</v>
      </c>
    </row>
    <row r="990" spans="1:13" x14ac:dyDescent="0.35">
      <c r="A990" s="2" t="s">
        <v>8</v>
      </c>
      <c r="B990" s="2" t="s">
        <v>13</v>
      </c>
      <c r="C990" s="6" t="s">
        <v>23</v>
      </c>
      <c r="D990" s="6" t="s">
        <v>11</v>
      </c>
      <c r="E990" s="6" t="s">
        <v>12</v>
      </c>
      <c r="F990" s="6">
        <v>74</v>
      </c>
      <c r="G990" s="6">
        <v>75</v>
      </c>
      <c r="H990" s="6">
        <v>82</v>
      </c>
      <c r="I990" s="2">
        <f t="shared" si="31"/>
        <v>231</v>
      </c>
      <c r="J990" s="8">
        <f>AVERAGE(Table1[[#This Row],[math score]:[writing score]])</f>
        <v>77</v>
      </c>
      <c r="K990" s="2">
        <f t="shared" si="30"/>
        <v>300</v>
      </c>
      <c r="L990" s="4">
        <f>Table1[[#This Row],[Total Score]]/Table1[[#This Row],[Minimum Mark]]</f>
        <v>0.77</v>
      </c>
      <c r="M990" s="70" t="str">
        <f>_xlfn.XLOOKUP(Table1[[#This Row],[Pass(%)]],O:O,P:P,,-1)</f>
        <v>C+</v>
      </c>
    </row>
    <row r="991" spans="1:13" x14ac:dyDescent="0.35">
      <c r="A991" s="2" t="s">
        <v>17</v>
      </c>
      <c r="B991" s="2" t="s">
        <v>18</v>
      </c>
      <c r="C991" s="6" t="s">
        <v>22</v>
      </c>
      <c r="D991" s="6" t="s">
        <v>11</v>
      </c>
      <c r="E991" s="6" t="s">
        <v>12</v>
      </c>
      <c r="F991" s="6">
        <v>57</v>
      </c>
      <c r="G991" s="6">
        <v>51</v>
      </c>
      <c r="H991" s="6">
        <v>54</v>
      </c>
      <c r="I991" s="2">
        <f t="shared" si="31"/>
        <v>162</v>
      </c>
      <c r="J991" s="8">
        <f>AVERAGE(Table1[[#This Row],[math score]:[writing score]])</f>
        <v>54</v>
      </c>
      <c r="K991" s="2">
        <f t="shared" si="30"/>
        <v>300</v>
      </c>
      <c r="L991" s="4">
        <f>Table1[[#This Row],[Total Score]]/Table1[[#This Row],[Minimum Mark]]</f>
        <v>0.54</v>
      </c>
      <c r="M991" s="70" t="str">
        <f>_xlfn.XLOOKUP(Table1[[#This Row],[Pass(%)]],O:O,P:P,,-1)</f>
        <v>D+</v>
      </c>
    </row>
    <row r="992" spans="1:13" ht="20.5" x14ac:dyDescent="0.8">
      <c r="A992" s="3" t="s">
        <v>8</v>
      </c>
      <c r="B992" s="3" t="s">
        <v>13</v>
      </c>
      <c r="C992" s="7" t="s">
        <v>19</v>
      </c>
      <c r="D992" s="7" t="s">
        <v>11</v>
      </c>
      <c r="E992" s="7" t="s">
        <v>12</v>
      </c>
      <c r="F992" s="7">
        <v>40</v>
      </c>
      <c r="G992" s="7">
        <v>59</v>
      </c>
      <c r="H992" s="7">
        <v>51</v>
      </c>
      <c r="I992" s="3">
        <f t="shared" si="31"/>
        <v>150</v>
      </c>
      <c r="J992" s="14">
        <f>AVERAGE(Table1[[#This Row],[math score]:[writing score]])</f>
        <v>50</v>
      </c>
      <c r="K992" s="3">
        <f t="shared" si="30"/>
        <v>300</v>
      </c>
      <c r="L992" s="5">
        <f>Table1[[#This Row],[Total Score]]/Table1[[#This Row],[Minimum Mark]]</f>
        <v>0.5</v>
      </c>
      <c r="M992" s="71" t="str">
        <f>_xlfn.XLOOKUP(Table1[[#This Row],[Pass(%)]],O:O,P:P,,-1)</f>
        <v>D</v>
      </c>
    </row>
    <row r="993" spans="1:13" x14ac:dyDescent="0.35">
      <c r="A993" s="2" t="s">
        <v>17</v>
      </c>
      <c r="B993" s="2" t="s">
        <v>24</v>
      </c>
      <c r="C993" s="6" t="s">
        <v>23</v>
      </c>
      <c r="D993" s="6" t="s">
        <v>11</v>
      </c>
      <c r="E993" s="6" t="s">
        <v>15</v>
      </c>
      <c r="F993" s="6">
        <v>81</v>
      </c>
      <c r="G993" s="6">
        <v>75</v>
      </c>
      <c r="H993" s="6">
        <v>76</v>
      </c>
      <c r="I993" s="2">
        <f t="shared" si="31"/>
        <v>232</v>
      </c>
      <c r="J993" s="8">
        <f>AVERAGE(Table1[[#This Row],[math score]:[writing score]])</f>
        <v>77.333333333333329</v>
      </c>
      <c r="K993" s="2">
        <f t="shared" si="30"/>
        <v>300</v>
      </c>
      <c r="L993" s="4">
        <f>Table1[[#This Row],[Total Score]]/Table1[[#This Row],[Minimum Mark]]</f>
        <v>0.77333333333333332</v>
      </c>
      <c r="M993" s="70" t="str">
        <f>_xlfn.XLOOKUP(Table1[[#This Row],[Pass(%)]],O:O,P:P,,-1)</f>
        <v>C+</v>
      </c>
    </row>
    <row r="994" spans="1:13" x14ac:dyDescent="0.35">
      <c r="A994" s="2" t="s">
        <v>8</v>
      </c>
      <c r="B994" s="2" t="s">
        <v>18</v>
      </c>
      <c r="C994" s="6" t="s">
        <v>23</v>
      </c>
      <c r="D994" s="6" t="s">
        <v>20</v>
      </c>
      <c r="E994" s="6" t="s">
        <v>12</v>
      </c>
      <c r="F994" s="6">
        <v>44</v>
      </c>
      <c r="G994" s="6">
        <v>45</v>
      </c>
      <c r="H994" s="6">
        <v>45</v>
      </c>
      <c r="I994" s="2">
        <f t="shared" si="31"/>
        <v>134</v>
      </c>
      <c r="J994" s="8">
        <f>AVERAGE(Table1[[#This Row],[math score]:[writing score]])</f>
        <v>44.666666666666664</v>
      </c>
      <c r="K994" s="2">
        <f t="shared" si="30"/>
        <v>300</v>
      </c>
      <c r="L994" s="4">
        <f>Table1[[#This Row],[Total Score]]/Table1[[#This Row],[Minimum Mark]]</f>
        <v>0.44666666666666666</v>
      </c>
      <c r="M994" s="70" t="str">
        <f>_xlfn.XLOOKUP(Table1[[#This Row],[Pass(%)]],O:O,P:P,,-1)</f>
        <v>D</v>
      </c>
    </row>
    <row r="995" spans="1:13" x14ac:dyDescent="0.35">
      <c r="A995" s="2" t="s">
        <v>8</v>
      </c>
      <c r="B995" s="2" t="s">
        <v>21</v>
      </c>
      <c r="C995" s="6" t="s">
        <v>14</v>
      </c>
      <c r="D995" s="6" t="s">
        <v>20</v>
      </c>
      <c r="E995" s="6" t="s">
        <v>15</v>
      </c>
      <c r="F995" s="6">
        <v>67</v>
      </c>
      <c r="G995" s="6">
        <v>86</v>
      </c>
      <c r="H995" s="6">
        <v>83</v>
      </c>
      <c r="I995" s="2">
        <f t="shared" si="31"/>
        <v>236</v>
      </c>
      <c r="J995" s="8">
        <f>AVERAGE(Table1[[#This Row],[math score]:[writing score]])</f>
        <v>78.666666666666671</v>
      </c>
      <c r="K995" s="2">
        <f t="shared" si="30"/>
        <v>300</v>
      </c>
      <c r="L995" s="4">
        <f>Table1[[#This Row],[Total Score]]/Table1[[#This Row],[Minimum Mark]]</f>
        <v>0.78666666666666663</v>
      </c>
      <c r="M995" s="70" t="str">
        <f>_xlfn.XLOOKUP(Table1[[#This Row],[Pass(%)]],O:O,P:P,,-1)</f>
        <v>C+</v>
      </c>
    </row>
    <row r="996" spans="1:13" x14ac:dyDescent="0.35">
      <c r="A996" s="2" t="s">
        <v>17</v>
      </c>
      <c r="B996" s="2" t="s">
        <v>24</v>
      </c>
      <c r="C996" s="6" t="s">
        <v>22</v>
      </c>
      <c r="D996" s="6" t="s">
        <v>20</v>
      </c>
      <c r="E996" s="6" t="s">
        <v>15</v>
      </c>
      <c r="F996" s="6">
        <v>86</v>
      </c>
      <c r="G996" s="6">
        <v>81</v>
      </c>
      <c r="H996" s="6">
        <v>75</v>
      </c>
      <c r="I996" s="2">
        <f t="shared" si="31"/>
        <v>242</v>
      </c>
      <c r="J996" s="8">
        <f>AVERAGE(Table1[[#This Row],[math score]:[writing score]])</f>
        <v>80.666666666666671</v>
      </c>
      <c r="K996" s="2">
        <f t="shared" si="30"/>
        <v>300</v>
      </c>
      <c r="L996" s="4">
        <f>Table1[[#This Row],[Total Score]]/Table1[[#This Row],[Minimum Mark]]</f>
        <v>0.80666666666666664</v>
      </c>
      <c r="M996" s="70" t="str">
        <f>_xlfn.XLOOKUP(Table1[[#This Row],[Pass(%)]],O:O,P:P,,-1)</f>
        <v>B-</v>
      </c>
    </row>
    <row r="997" spans="1:13" x14ac:dyDescent="0.35">
      <c r="A997" s="2" t="s">
        <v>8</v>
      </c>
      <c r="B997" s="2" t="s">
        <v>9</v>
      </c>
      <c r="C997" s="6" t="s">
        <v>23</v>
      </c>
      <c r="D997" s="6" t="s">
        <v>11</v>
      </c>
      <c r="E997" s="6" t="s">
        <v>15</v>
      </c>
      <c r="F997" s="6">
        <v>65</v>
      </c>
      <c r="G997" s="6">
        <v>82</v>
      </c>
      <c r="H997" s="6">
        <v>78</v>
      </c>
      <c r="I997" s="2">
        <f t="shared" si="31"/>
        <v>225</v>
      </c>
      <c r="J997" s="8">
        <f>AVERAGE(Table1[[#This Row],[math score]:[writing score]])</f>
        <v>75</v>
      </c>
      <c r="K997" s="2">
        <f t="shared" si="30"/>
        <v>300</v>
      </c>
      <c r="L997" s="4">
        <f>Table1[[#This Row],[Total Score]]/Table1[[#This Row],[Minimum Mark]]</f>
        <v>0.75</v>
      </c>
      <c r="M997" s="70" t="str">
        <f>_xlfn.XLOOKUP(Table1[[#This Row],[Pass(%)]],O:O,P:P,,-1)</f>
        <v>C</v>
      </c>
    </row>
    <row r="998" spans="1:13" ht="20.5" x14ac:dyDescent="0.8">
      <c r="A998" s="3" t="s">
        <v>8</v>
      </c>
      <c r="B998" s="3" t="s">
        <v>21</v>
      </c>
      <c r="C998" s="7" t="s">
        <v>19</v>
      </c>
      <c r="D998" s="7" t="s">
        <v>20</v>
      </c>
      <c r="E998" s="7" t="s">
        <v>12</v>
      </c>
      <c r="F998" s="7">
        <v>55</v>
      </c>
      <c r="G998" s="7">
        <v>76</v>
      </c>
      <c r="H998" s="7">
        <v>76</v>
      </c>
      <c r="I998" s="3">
        <f t="shared" si="31"/>
        <v>207</v>
      </c>
      <c r="J998" s="14">
        <f>AVERAGE(Table1[[#This Row],[math score]:[writing score]])</f>
        <v>69</v>
      </c>
      <c r="K998" s="3">
        <f t="shared" si="30"/>
        <v>300</v>
      </c>
      <c r="L998" s="5">
        <f>Table1[[#This Row],[Total Score]]/Table1[[#This Row],[Minimum Mark]]</f>
        <v>0.69</v>
      </c>
      <c r="M998" s="71" t="str">
        <f>_xlfn.XLOOKUP(Table1[[#This Row],[Pass(%)]],O:O,P:P,,-1)</f>
        <v>D+</v>
      </c>
    </row>
    <row r="999" spans="1:13" x14ac:dyDescent="0.35">
      <c r="A999" s="2" t="s">
        <v>8</v>
      </c>
      <c r="B999" s="2" t="s">
        <v>21</v>
      </c>
      <c r="C999" s="6" t="s">
        <v>10</v>
      </c>
      <c r="D999" s="6" t="s">
        <v>20</v>
      </c>
      <c r="E999" s="6" t="s">
        <v>12</v>
      </c>
      <c r="F999" s="6">
        <v>62</v>
      </c>
      <c r="G999" s="6">
        <v>72</v>
      </c>
      <c r="H999" s="6">
        <v>74</v>
      </c>
      <c r="I999" s="2">
        <f t="shared" si="31"/>
        <v>208</v>
      </c>
      <c r="J999" s="8">
        <f>AVERAGE(Table1[[#This Row],[math score]:[writing score]])</f>
        <v>69.333333333333329</v>
      </c>
      <c r="K999" s="2">
        <f t="shared" si="30"/>
        <v>300</v>
      </c>
      <c r="L999" s="4">
        <f>Table1[[#This Row],[Total Score]]/Table1[[#This Row],[Minimum Mark]]</f>
        <v>0.69333333333333336</v>
      </c>
      <c r="M999" s="70" t="str">
        <f>_xlfn.XLOOKUP(Table1[[#This Row],[Pass(%)]],O:O,P:P,,-1)</f>
        <v>D+</v>
      </c>
    </row>
    <row r="1000" spans="1:13" x14ac:dyDescent="0.35">
      <c r="A1000" s="2" t="s">
        <v>17</v>
      </c>
      <c r="B1000" s="2" t="s">
        <v>18</v>
      </c>
      <c r="C1000" s="6" t="s">
        <v>22</v>
      </c>
      <c r="D1000" s="6" t="s">
        <v>11</v>
      </c>
      <c r="E1000" s="6" t="s">
        <v>12</v>
      </c>
      <c r="F1000" s="6">
        <v>63</v>
      </c>
      <c r="G1000" s="6">
        <v>63</v>
      </c>
      <c r="H1000" s="6">
        <v>62</v>
      </c>
      <c r="I1000" s="2">
        <f t="shared" si="31"/>
        <v>188</v>
      </c>
      <c r="J1000" s="8">
        <f>AVERAGE(Table1[[#This Row],[math score]:[writing score]])</f>
        <v>62.666666666666664</v>
      </c>
      <c r="K1000" s="2">
        <f t="shared" si="30"/>
        <v>300</v>
      </c>
      <c r="L1000" s="4">
        <f>Table1[[#This Row],[Total Score]]/Table1[[#This Row],[Minimum Mark]]</f>
        <v>0.62666666666666671</v>
      </c>
      <c r="M1000" s="70" t="str">
        <f>_xlfn.XLOOKUP(Table1[[#This Row],[Pass(%)]],O:O,P:P,,-1)</f>
        <v>D+</v>
      </c>
    </row>
    <row r="1001" spans="1:13" x14ac:dyDescent="0.35">
      <c r="A1001" s="2" t="s">
        <v>8</v>
      </c>
      <c r="B1001" s="2" t="s">
        <v>24</v>
      </c>
      <c r="C1001" s="6" t="s">
        <v>16</v>
      </c>
      <c r="D1001" s="6" t="s">
        <v>11</v>
      </c>
      <c r="E1001" s="6" t="s">
        <v>15</v>
      </c>
      <c r="F1001" s="6">
        <v>88</v>
      </c>
      <c r="G1001" s="6">
        <v>99</v>
      </c>
      <c r="H1001" s="6">
        <v>95</v>
      </c>
      <c r="I1001" s="2">
        <f t="shared" si="31"/>
        <v>282</v>
      </c>
      <c r="J1001" s="8">
        <f>AVERAGE(Table1[[#This Row],[math score]:[writing score]])</f>
        <v>94</v>
      </c>
      <c r="K1001" s="2">
        <f t="shared" si="30"/>
        <v>300</v>
      </c>
      <c r="L1001" s="4">
        <f>Table1[[#This Row],[Total Score]]/Table1[[#This Row],[Minimum Mark]]</f>
        <v>0.94</v>
      </c>
      <c r="M1001" s="70" t="str">
        <f>_xlfn.XLOOKUP(Table1[[#This Row],[Pass(%)]],O:O,P:P,,-1)</f>
        <v>A</v>
      </c>
    </row>
    <row r="1002" spans="1:13" x14ac:dyDescent="0.35">
      <c r="A1002" s="2" t="s">
        <v>17</v>
      </c>
      <c r="B1002" s="2" t="s">
        <v>13</v>
      </c>
      <c r="C1002" s="6" t="s">
        <v>22</v>
      </c>
      <c r="D1002" s="6" t="s">
        <v>20</v>
      </c>
      <c r="E1002" s="6" t="s">
        <v>12</v>
      </c>
      <c r="F1002" s="6">
        <v>62</v>
      </c>
      <c r="G1002" s="6">
        <v>55</v>
      </c>
      <c r="H1002" s="6">
        <v>55</v>
      </c>
      <c r="I1002" s="2">
        <f t="shared" si="31"/>
        <v>172</v>
      </c>
      <c r="J1002" s="8">
        <f>AVERAGE(Table1[[#This Row],[math score]:[writing score]])</f>
        <v>57.333333333333336</v>
      </c>
      <c r="K1002" s="2">
        <f t="shared" si="30"/>
        <v>300</v>
      </c>
      <c r="L1002" s="4">
        <f>Table1[[#This Row],[Total Score]]/Table1[[#This Row],[Minimum Mark]]</f>
        <v>0.57333333333333336</v>
      </c>
      <c r="M1002" s="70" t="str">
        <f>_xlfn.XLOOKUP(Table1[[#This Row],[Pass(%)]],O:O,P:P,,-1)</f>
        <v>D+</v>
      </c>
    </row>
    <row r="1003" spans="1:13" x14ac:dyDescent="0.35">
      <c r="A1003" s="2" t="s">
        <v>8</v>
      </c>
      <c r="B1003" s="2" t="s">
        <v>13</v>
      </c>
      <c r="C1003" s="6" t="s">
        <v>22</v>
      </c>
      <c r="D1003" s="6" t="s">
        <v>20</v>
      </c>
      <c r="E1003" s="6" t="s">
        <v>15</v>
      </c>
      <c r="F1003" s="6">
        <v>59</v>
      </c>
      <c r="G1003" s="6">
        <v>71</v>
      </c>
      <c r="H1003" s="6">
        <v>65</v>
      </c>
      <c r="I1003" s="2">
        <f t="shared" si="31"/>
        <v>195</v>
      </c>
      <c r="J1003" s="8">
        <f>AVERAGE(Table1[[#This Row],[math score]:[writing score]])</f>
        <v>65</v>
      </c>
      <c r="K1003" s="2">
        <f t="shared" si="30"/>
        <v>300</v>
      </c>
      <c r="L1003" s="4">
        <f>Table1[[#This Row],[Total Score]]/Table1[[#This Row],[Minimum Mark]]</f>
        <v>0.65</v>
      </c>
      <c r="M1003" s="70" t="str">
        <f>_xlfn.XLOOKUP(Table1[[#This Row],[Pass(%)]],O:O,P:P,,-1)</f>
        <v>D+</v>
      </c>
    </row>
    <row r="1004" spans="1:13" x14ac:dyDescent="0.35">
      <c r="A1004" s="2" t="s">
        <v>8</v>
      </c>
      <c r="B1004" s="2" t="s">
        <v>21</v>
      </c>
      <c r="C1004" s="6" t="s">
        <v>14</v>
      </c>
      <c r="D1004" s="6" t="s">
        <v>11</v>
      </c>
      <c r="E1004" s="6" t="s">
        <v>15</v>
      </c>
      <c r="F1004" s="6">
        <v>68</v>
      </c>
      <c r="G1004" s="6">
        <v>78</v>
      </c>
      <c r="H1004" s="6">
        <v>77</v>
      </c>
      <c r="I1004" s="2">
        <f t="shared" si="31"/>
        <v>223</v>
      </c>
      <c r="J1004" s="8">
        <f>AVERAGE(Table1[[#This Row],[math score]:[writing score]])</f>
        <v>74.333333333333329</v>
      </c>
      <c r="K1004" s="2">
        <f t="shared" si="30"/>
        <v>300</v>
      </c>
      <c r="L1004" s="4">
        <f>Table1[[#This Row],[Total Score]]/Table1[[#This Row],[Minimum Mark]]</f>
        <v>0.74333333333333329</v>
      </c>
      <c r="M1004" s="70" t="str">
        <f>_xlfn.XLOOKUP(Table1[[#This Row],[Pass(%)]],O:O,P:P,,-1)</f>
        <v>C</v>
      </c>
    </row>
    <row r="1005" spans="1:13" x14ac:dyDescent="0.35">
      <c r="A1005" s="2" t="s">
        <v>8</v>
      </c>
      <c r="B1005" s="2" t="s">
        <v>21</v>
      </c>
      <c r="C1005" s="6" t="s">
        <v>14</v>
      </c>
      <c r="D1005" s="6" t="s">
        <v>20</v>
      </c>
      <c r="E1005" s="6" t="s">
        <v>12</v>
      </c>
      <c r="F1005" s="6">
        <v>77</v>
      </c>
      <c r="G1005" s="6">
        <v>86</v>
      </c>
      <c r="H1005" s="6">
        <v>86</v>
      </c>
      <c r="I1005" s="2">
        <f t="shared" si="31"/>
        <v>249</v>
      </c>
      <c r="J1005" s="8">
        <f>AVERAGE(Table1[[#This Row],[math score]:[writing score]])</f>
        <v>83</v>
      </c>
      <c r="K1005" s="2">
        <f t="shared" si="30"/>
        <v>300</v>
      </c>
      <c r="L1005" s="4">
        <f>Table1[[#This Row],[Total Score]]/Table1[[#This Row],[Minimum Mark]]</f>
        <v>0.83</v>
      </c>
      <c r="M1005" s="70" t="str">
        <f>_xlfn.XLOOKUP(Table1[[#This Row],[Pass(%)]],O:O,P:P,,-1)</f>
        <v>B</v>
      </c>
    </row>
    <row r="1006" spans="1:13" x14ac:dyDescent="0.35">
      <c r="A1006" s="2" t="s">
        <v>58</v>
      </c>
      <c r="B1006" s="2"/>
      <c r="C1006" s="6"/>
      <c r="D1006" s="6"/>
      <c r="E1006" s="6"/>
      <c r="F1006" s="6"/>
      <c r="G1006" s="6"/>
      <c r="H1006" s="6"/>
      <c r="I1006" s="8">
        <f>_xlfn.AGGREGATE(9,2,Table1[Total Score])</f>
        <v>203312</v>
      </c>
      <c r="J1006" s="8"/>
      <c r="K1006" s="2"/>
      <c r="L1006" s="2">
        <f>SUBTOTAL(9,Table1[Pass(%)])</f>
        <v>677.70666666666682</v>
      </c>
      <c r="M1006" s="70">
        <f>SUBTOTAL(103,Table1[Grade])</f>
        <v>1000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B4FB2-F95B-48E8-B1E6-567CEF11ED01}">
  <sheetPr>
    <tabColor rgb="FF7030A0"/>
  </sheetPr>
  <dimension ref="A5:U186"/>
  <sheetViews>
    <sheetView showGridLines="0" topLeftCell="O1" zoomScale="87" zoomScaleNormal="87" workbookViewId="0">
      <selection activeCell="AG4" sqref="AG4"/>
    </sheetView>
  </sheetViews>
  <sheetFormatPr defaultRowHeight="14.5" x14ac:dyDescent="0.35"/>
  <cols>
    <col min="1" max="1" width="9.26953125" hidden="1" customWidth="1"/>
    <col min="3" max="3" width="8.90625" style="1" customWidth="1"/>
    <col min="4" max="4" width="15.1796875" style="1" customWidth="1"/>
    <col min="5" max="5" width="14.36328125" style="1" customWidth="1"/>
    <col min="6" max="6" width="10.7265625" style="1" customWidth="1"/>
    <col min="7" max="8" width="12" style="187" customWidth="1"/>
    <col min="9" max="9" width="12" style="1" customWidth="1"/>
    <col min="10" max="10" width="8.7265625" hidden="1" customWidth="1"/>
    <col min="11" max="11" width="12.1796875" hidden="1" customWidth="1"/>
    <col min="12" max="12" width="9.36328125" hidden="1" customWidth="1"/>
    <col min="13" max="13" width="2.54296875" style="1" customWidth="1"/>
    <col min="14" max="14" width="16.81640625" style="1" bestFit="1" customWidth="1"/>
    <col min="15" max="15" width="24.7265625" style="1" bestFit="1" customWidth="1"/>
    <col min="16" max="16" width="8.26953125" style="1" bestFit="1" customWidth="1"/>
    <col min="17" max="17" width="14.6328125" style="1" bestFit="1" customWidth="1"/>
    <col min="18" max="18" width="12" style="1" bestFit="1" customWidth="1"/>
    <col min="19" max="19" width="8.26953125" style="1" bestFit="1" customWidth="1"/>
    <col min="20" max="20" width="9.7265625" style="1" bestFit="1" customWidth="1"/>
    <col min="21" max="21" width="10.54296875" bestFit="1" customWidth="1"/>
  </cols>
  <sheetData>
    <row r="5" spans="1:21" ht="15" thickBot="1" x14ac:dyDescent="0.4"/>
    <row r="6" spans="1:21" ht="35.5" customHeight="1" thickBot="1" x14ac:dyDescent="0.85">
      <c r="A6" s="21" t="s">
        <v>29</v>
      </c>
      <c r="C6" s="11" t="s">
        <v>25</v>
      </c>
      <c r="D6" s="11" t="s">
        <v>26</v>
      </c>
      <c r="E6" s="11" t="s">
        <v>59</v>
      </c>
      <c r="F6" s="11" t="s">
        <v>60</v>
      </c>
      <c r="G6" s="185" t="s">
        <v>27</v>
      </c>
      <c r="H6" s="185" t="s">
        <v>90</v>
      </c>
      <c r="I6" s="11" t="s">
        <v>28</v>
      </c>
      <c r="J6" s="25" t="s">
        <v>28</v>
      </c>
      <c r="K6" s="25" t="s">
        <v>30</v>
      </c>
      <c r="L6" s="25" t="s">
        <v>39</v>
      </c>
      <c r="N6" s="249" t="s">
        <v>63</v>
      </c>
      <c r="O6" s="254" t="s">
        <v>123</v>
      </c>
      <c r="P6" s="257"/>
      <c r="Q6" s="155"/>
      <c r="R6" s="164"/>
      <c r="S6" s="156"/>
      <c r="T6" s="156"/>
      <c r="U6" s="164"/>
    </row>
    <row r="7" spans="1:21" ht="21" thickBot="1" x14ac:dyDescent="0.85">
      <c r="A7" s="15">
        <v>0.97</v>
      </c>
      <c r="C7" s="12" t="s">
        <v>8</v>
      </c>
      <c r="D7" s="12" t="s">
        <v>13</v>
      </c>
      <c r="E7" s="12" t="s">
        <v>11</v>
      </c>
      <c r="F7" s="12" t="s">
        <v>12</v>
      </c>
      <c r="G7" s="186">
        <v>222</v>
      </c>
      <c r="H7" s="186">
        <f>RANK(Table2[[#This Row],[Total Score]],Table2[[Gender]:[Total Score]],0)</f>
        <v>55</v>
      </c>
      <c r="I7" s="12" t="str">
        <f>_xlfn.XLOOKUP(Table2[[#This Row],[Total Score]],J:J,K:K,,-1)</f>
        <v>C</v>
      </c>
      <c r="J7" s="24">
        <v>270</v>
      </c>
      <c r="K7" s="23" t="s">
        <v>37</v>
      </c>
      <c r="L7" s="23" t="s">
        <v>41</v>
      </c>
      <c r="N7" s="256"/>
      <c r="O7" s="247" t="s">
        <v>15</v>
      </c>
      <c r="P7" s="80"/>
      <c r="Q7" s="258" t="s">
        <v>121</v>
      </c>
      <c r="R7" s="255" t="s">
        <v>12</v>
      </c>
      <c r="S7" s="135"/>
      <c r="T7" s="259" t="s">
        <v>122</v>
      </c>
      <c r="U7" s="253" t="s">
        <v>88</v>
      </c>
    </row>
    <row r="8" spans="1:21" ht="21" thickBot="1" x14ac:dyDescent="0.85">
      <c r="A8" s="15">
        <v>0.93</v>
      </c>
      <c r="C8" s="12" t="s">
        <v>8</v>
      </c>
      <c r="D8" s="12" t="s">
        <v>9</v>
      </c>
      <c r="E8" s="12" t="s">
        <v>20</v>
      </c>
      <c r="F8" s="12" t="s">
        <v>12</v>
      </c>
      <c r="G8" s="186">
        <v>78</v>
      </c>
      <c r="H8" s="186">
        <f>RANK(Table2[[#This Row],[Total Score]],Table2[[Gender]:[Total Score]],0)</f>
        <v>177</v>
      </c>
      <c r="I8" s="12" t="str">
        <f>_xlfn.XLOOKUP(Table2[[#This Row],[Total Score]],J:J,K:K,,-1)</f>
        <v>F</v>
      </c>
      <c r="J8" s="24">
        <v>240</v>
      </c>
      <c r="K8" s="23" t="s">
        <v>38</v>
      </c>
      <c r="L8" s="23" t="s">
        <v>42</v>
      </c>
      <c r="N8" s="252" t="s">
        <v>89</v>
      </c>
      <c r="O8" s="247" t="s">
        <v>20</v>
      </c>
      <c r="P8" s="135" t="s">
        <v>11</v>
      </c>
      <c r="Q8" s="258"/>
      <c r="R8" s="255" t="s">
        <v>20</v>
      </c>
      <c r="S8" s="135" t="s">
        <v>11</v>
      </c>
      <c r="T8" s="259"/>
      <c r="U8" s="253"/>
    </row>
    <row r="9" spans="1:21" ht="21" thickBot="1" x14ac:dyDescent="0.85">
      <c r="A9" s="15">
        <v>0.9</v>
      </c>
      <c r="C9" s="12" t="s">
        <v>8</v>
      </c>
      <c r="D9" s="12" t="s">
        <v>13</v>
      </c>
      <c r="E9" s="12" t="s">
        <v>11</v>
      </c>
      <c r="F9" s="12" t="s">
        <v>12</v>
      </c>
      <c r="G9" s="186">
        <v>215</v>
      </c>
      <c r="H9" s="186">
        <f>RANK(Table2[[#This Row],[Total Score]],Table2[[Gender]:[Total Score]],0)</f>
        <v>68</v>
      </c>
      <c r="I9" s="12" t="str">
        <f>_xlfn.XLOOKUP(Table2[[#This Row],[Total Score]],J:J,K:K,,-1)</f>
        <v>C</v>
      </c>
      <c r="J9" s="24">
        <v>210</v>
      </c>
      <c r="K9" s="23" t="s">
        <v>35</v>
      </c>
      <c r="L9" s="23" t="s">
        <v>43</v>
      </c>
      <c r="N9" s="265" t="s">
        <v>18</v>
      </c>
      <c r="O9" s="266">
        <v>184</v>
      </c>
      <c r="P9" s="267">
        <v>1451</v>
      </c>
      <c r="Q9" s="266">
        <v>1635</v>
      </c>
      <c r="R9" s="266">
        <v>1652</v>
      </c>
      <c r="S9" s="267">
        <v>1023</v>
      </c>
      <c r="T9" s="267">
        <v>2675</v>
      </c>
      <c r="U9" s="268">
        <v>4310</v>
      </c>
    </row>
    <row r="10" spans="1:21" ht="21" thickBot="1" x14ac:dyDescent="0.85">
      <c r="A10" s="15"/>
      <c r="C10" s="12" t="s">
        <v>8</v>
      </c>
      <c r="D10" s="12" t="s">
        <v>21</v>
      </c>
      <c r="E10" s="12" t="s">
        <v>20</v>
      </c>
      <c r="F10" s="12" t="s">
        <v>12</v>
      </c>
      <c r="G10" s="186">
        <v>173</v>
      </c>
      <c r="H10" s="186">
        <f>RANK(Table2[[#This Row],[Total Score]],Table2[[Gender]:[Total Score]],0)</f>
        <v>126</v>
      </c>
      <c r="I10" s="12" t="str">
        <f>_xlfn.XLOOKUP(Table2[[#This Row],[Total Score]],J:J,K:K,,-1)</f>
        <v>F</v>
      </c>
      <c r="J10" s="24">
        <v>180</v>
      </c>
      <c r="K10" s="23" t="s">
        <v>51</v>
      </c>
      <c r="L10" s="23" t="s">
        <v>64</v>
      </c>
      <c r="N10" s="278" t="s">
        <v>8</v>
      </c>
      <c r="O10" s="264"/>
      <c r="P10" s="273">
        <v>780</v>
      </c>
      <c r="Q10" s="274">
        <v>780</v>
      </c>
      <c r="R10" s="264">
        <v>781</v>
      </c>
      <c r="S10" s="273">
        <v>410</v>
      </c>
      <c r="T10" s="275">
        <v>1191</v>
      </c>
      <c r="U10" s="276">
        <v>1971</v>
      </c>
    </row>
    <row r="11" spans="1:21" ht="21" thickBot="1" x14ac:dyDescent="0.85">
      <c r="A11" s="16">
        <v>0.87</v>
      </c>
      <c r="C11" s="12" t="s">
        <v>8</v>
      </c>
      <c r="D11" s="12" t="s">
        <v>13</v>
      </c>
      <c r="E11" s="12" t="s">
        <v>20</v>
      </c>
      <c r="F11" s="12" t="s">
        <v>15</v>
      </c>
      <c r="G11" s="186">
        <v>242</v>
      </c>
      <c r="H11" s="186">
        <f>RANK(Table2[[#This Row],[Total Score]],Table2[[Gender]:[Total Score]],0)</f>
        <v>25</v>
      </c>
      <c r="I11" s="12" t="str">
        <f>_xlfn.XLOOKUP(Table2[[#This Row],[Total Score]],J:J,K:K,,-1)</f>
        <v>B</v>
      </c>
      <c r="J11" s="24">
        <v>27</v>
      </c>
      <c r="K11" s="23" t="s">
        <v>53</v>
      </c>
      <c r="L11" s="23" t="s">
        <v>54</v>
      </c>
      <c r="N11" s="277" t="s">
        <v>17</v>
      </c>
      <c r="O11" s="248">
        <v>184</v>
      </c>
      <c r="P11" s="250">
        <v>671</v>
      </c>
      <c r="Q11" s="260">
        <v>855</v>
      </c>
      <c r="R11" s="248">
        <v>871</v>
      </c>
      <c r="S11" s="250">
        <v>613</v>
      </c>
      <c r="T11" s="261">
        <v>1484</v>
      </c>
      <c r="U11" s="251">
        <v>2339</v>
      </c>
    </row>
    <row r="12" spans="1:21" ht="21" thickBot="1" x14ac:dyDescent="0.85">
      <c r="A12" s="17"/>
      <c r="C12" s="12" t="s">
        <v>8</v>
      </c>
      <c r="D12" s="12" t="s">
        <v>13</v>
      </c>
      <c r="E12" s="12" t="s">
        <v>20</v>
      </c>
      <c r="F12" s="12" t="s">
        <v>12</v>
      </c>
      <c r="G12" s="186">
        <v>27</v>
      </c>
      <c r="H12" s="186">
        <f>RANK(Table2[[#This Row],[Total Score]],Table2[[Gender]:[Total Score]],0)</f>
        <v>179</v>
      </c>
      <c r="I12" s="12" t="str">
        <f>_xlfn.XLOOKUP(Table2[[#This Row],[Total Score]],J:J,K:K,,-1)</f>
        <v>F</v>
      </c>
      <c r="N12" s="265" t="s">
        <v>9</v>
      </c>
      <c r="O12" s="266">
        <v>1000</v>
      </c>
      <c r="P12" s="267">
        <v>2822</v>
      </c>
      <c r="Q12" s="266">
        <v>3822</v>
      </c>
      <c r="R12" s="266">
        <v>706</v>
      </c>
      <c r="S12" s="267">
        <v>2801</v>
      </c>
      <c r="T12" s="267">
        <v>3507</v>
      </c>
      <c r="U12" s="268">
        <v>7329</v>
      </c>
    </row>
    <row r="13" spans="1:21" ht="20.5" x14ac:dyDescent="0.8">
      <c r="A13" s="17"/>
      <c r="C13" s="12" t="s">
        <v>17</v>
      </c>
      <c r="D13" s="12" t="s">
        <v>18</v>
      </c>
      <c r="E13" s="12" t="s">
        <v>20</v>
      </c>
      <c r="F13" s="12" t="s">
        <v>12</v>
      </c>
      <c r="G13" s="186">
        <v>112</v>
      </c>
      <c r="H13" s="186">
        <f>RANK(Table2[[#This Row],[Total Score]],Table2[[Gender]:[Total Score]],0)</f>
        <v>173</v>
      </c>
      <c r="I13" s="12" t="str">
        <f>_xlfn.XLOOKUP(Table2[[#This Row],[Total Score]],J:J,K:K,,-1)</f>
        <v>F</v>
      </c>
      <c r="N13" s="278" t="s">
        <v>8</v>
      </c>
      <c r="O13" s="264">
        <v>849</v>
      </c>
      <c r="P13" s="273">
        <v>933</v>
      </c>
      <c r="Q13" s="274">
        <v>1782</v>
      </c>
      <c r="R13" s="264">
        <v>561</v>
      </c>
      <c r="S13" s="273">
        <v>1786</v>
      </c>
      <c r="T13" s="275">
        <v>2347</v>
      </c>
      <c r="U13" s="276">
        <v>4129</v>
      </c>
    </row>
    <row r="14" spans="1:21" ht="21" thickBot="1" x14ac:dyDescent="0.85">
      <c r="A14" s="17"/>
      <c r="C14" s="12" t="s">
        <v>8</v>
      </c>
      <c r="D14" s="12" t="s">
        <v>21</v>
      </c>
      <c r="E14" s="12" t="s">
        <v>11</v>
      </c>
      <c r="F14" s="12" t="s">
        <v>12</v>
      </c>
      <c r="G14" s="186">
        <v>176</v>
      </c>
      <c r="H14" s="186">
        <f>RANK(Table2[[#This Row],[Total Score]],Table2[[Gender]:[Total Score]],0)</f>
        <v>120</v>
      </c>
      <c r="I14" s="12" t="str">
        <f>_xlfn.XLOOKUP(Table2[[#This Row],[Total Score]],J:J,K:K,,-1)</f>
        <v>F</v>
      </c>
      <c r="N14" s="277" t="s">
        <v>17</v>
      </c>
      <c r="O14" s="248">
        <v>151</v>
      </c>
      <c r="P14" s="250">
        <v>1889</v>
      </c>
      <c r="Q14" s="260">
        <v>2040</v>
      </c>
      <c r="R14" s="248">
        <v>145</v>
      </c>
      <c r="S14" s="250">
        <v>1015</v>
      </c>
      <c r="T14" s="261">
        <v>1160</v>
      </c>
      <c r="U14" s="251">
        <v>3200</v>
      </c>
    </row>
    <row r="15" spans="1:21" ht="21" thickBot="1" x14ac:dyDescent="0.85">
      <c r="A15" s="18">
        <v>0.7</v>
      </c>
      <c r="C15" s="12" t="s">
        <v>17</v>
      </c>
      <c r="D15" s="12" t="s">
        <v>9</v>
      </c>
      <c r="E15" s="12" t="s">
        <v>11</v>
      </c>
      <c r="F15" s="12" t="s">
        <v>12</v>
      </c>
      <c r="G15" s="186">
        <v>192</v>
      </c>
      <c r="H15" s="186">
        <f>RANK(Table2[[#This Row],[Total Score]],Table2[[Gender]:[Total Score]],0)</f>
        <v>103</v>
      </c>
      <c r="I15" s="12" t="str">
        <f>_xlfn.XLOOKUP(Table2[[#This Row],[Total Score]],J:J,K:K,,-1)</f>
        <v>D</v>
      </c>
      <c r="N15" s="265" t="s">
        <v>13</v>
      </c>
      <c r="O15" s="266">
        <v>1767</v>
      </c>
      <c r="P15" s="267">
        <v>2598</v>
      </c>
      <c r="Q15" s="266">
        <v>4365</v>
      </c>
      <c r="R15" s="266">
        <v>1831</v>
      </c>
      <c r="S15" s="267">
        <v>3088</v>
      </c>
      <c r="T15" s="267">
        <v>4919</v>
      </c>
      <c r="U15" s="268">
        <v>9284</v>
      </c>
    </row>
    <row r="16" spans="1:21" ht="20.5" x14ac:dyDescent="0.8">
      <c r="A16" s="17"/>
      <c r="C16" s="12" t="s">
        <v>17</v>
      </c>
      <c r="D16" s="12" t="s">
        <v>21</v>
      </c>
      <c r="E16" s="12" t="s">
        <v>20</v>
      </c>
      <c r="F16" s="12" t="s">
        <v>12</v>
      </c>
      <c r="G16" s="186">
        <v>119</v>
      </c>
      <c r="H16" s="186">
        <f>RANK(Table2[[#This Row],[Total Score]],Table2[[Gender]:[Total Score]],0)</f>
        <v>170</v>
      </c>
      <c r="I16" s="12" t="str">
        <f>_xlfn.XLOOKUP(Table2[[#This Row],[Total Score]],J:J,K:K,,-1)</f>
        <v>F</v>
      </c>
      <c r="N16" s="278" t="s">
        <v>8</v>
      </c>
      <c r="O16" s="264">
        <v>961</v>
      </c>
      <c r="P16" s="273">
        <v>1762</v>
      </c>
      <c r="Q16" s="274">
        <v>2723</v>
      </c>
      <c r="R16" s="264">
        <v>1047</v>
      </c>
      <c r="S16" s="273">
        <v>1660</v>
      </c>
      <c r="T16" s="275">
        <v>2707</v>
      </c>
      <c r="U16" s="276">
        <v>5430</v>
      </c>
    </row>
    <row r="17" spans="1:21" ht="21" thickBot="1" x14ac:dyDescent="0.85">
      <c r="A17" s="17"/>
      <c r="C17" s="12" t="s">
        <v>17</v>
      </c>
      <c r="D17" s="12" t="s">
        <v>13</v>
      </c>
      <c r="E17" s="12" t="s">
        <v>20</v>
      </c>
      <c r="F17" s="12" t="s">
        <v>12</v>
      </c>
      <c r="G17" s="186">
        <v>174</v>
      </c>
      <c r="H17" s="186">
        <f>RANK(Table2[[#This Row],[Total Score]],Table2[[Gender]:[Total Score]],0)</f>
        <v>124</v>
      </c>
      <c r="I17" s="12" t="str">
        <f>_xlfn.XLOOKUP(Table2[[#This Row],[Total Score]],J:J,K:K,,-1)</f>
        <v>F</v>
      </c>
      <c r="N17" s="277" t="s">
        <v>17</v>
      </c>
      <c r="O17" s="248">
        <v>806</v>
      </c>
      <c r="P17" s="250">
        <v>836</v>
      </c>
      <c r="Q17" s="260">
        <v>1642</v>
      </c>
      <c r="R17" s="248">
        <v>784</v>
      </c>
      <c r="S17" s="250">
        <v>1428</v>
      </c>
      <c r="T17" s="261">
        <v>2212</v>
      </c>
      <c r="U17" s="251">
        <v>3854</v>
      </c>
    </row>
    <row r="18" spans="1:21" ht="21" thickBot="1" x14ac:dyDescent="0.85">
      <c r="A18" s="15">
        <v>0.6</v>
      </c>
      <c r="C18" s="12" t="s">
        <v>17</v>
      </c>
      <c r="D18" s="12" t="s">
        <v>13</v>
      </c>
      <c r="E18" s="12" t="s">
        <v>11</v>
      </c>
      <c r="F18" s="12" t="s">
        <v>12</v>
      </c>
      <c r="G18" s="186">
        <v>139</v>
      </c>
      <c r="H18" s="186">
        <f>RANK(Table2[[#This Row],[Total Score]],Table2[[Gender]:[Total Score]],0)</f>
        <v>162</v>
      </c>
      <c r="I18" s="12" t="str">
        <f>_xlfn.XLOOKUP(Table2[[#This Row],[Total Score]],J:J,K:K,,-1)</f>
        <v>F</v>
      </c>
      <c r="N18" s="265" t="s">
        <v>21</v>
      </c>
      <c r="O18" s="266">
        <v>966</v>
      </c>
      <c r="P18" s="267">
        <v>3206</v>
      </c>
      <c r="Q18" s="266">
        <v>4172</v>
      </c>
      <c r="R18" s="266">
        <v>1242</v>
      </c>
      <c r="S18" s="267">
        <v>4878</v>
      </c>
      <c r="T18" s="267">
        <v>6120</v>
      </c>
      <c r="U18" s="268">
        <v>10292</v>
      </c>
    </row>
    <row r="19" spans="1:21" ht="20.5" x14ac:dyDescent="0.8">
      <c r="A19" s="17"/>
      <c r="C19" s="12" t="s">
        <v>17</v>
      </c>
      <c r="D19" s="12" t="s">
        <v>24</v>
      </c>
      <c r="E19" s="12" t="s">
        <v>11</v>
      </c>
      <c r="F19" s="12" t="s">
        <v>12</v>
      </c>
      <c r="G19" s="186">
        <v>78</v>
      </c>
      <c r="H19" s="186">
        <f>RANK(Table2[[#This Row],[Total Score]],Table2[[Gender]:[Total Score]],0)</f>
        <v>177</v>
      </c>
      <c r="I19" s="12" t="str">
        <f>_xlfn.XLOOKUP(Table2[[#This Row],[Total Score]],J:J,K:K,,-1)</f>
        <v>F</v>
      </c>
      <c r="N19" s="278" t="s">
        <v>8</v>
      </c>
      <c r="O19" s="264">
        <v>555</v>
      </c>
      <c r="P19" s="273">
        <v>1409</v>
      </c>
      <c r="Q19" s="274">
        <v>1964</v>
      </c>
      <c r="R19" s="264">
        <v>656</v>
      </c>
      <c r="S19" s="273">
        <v>2579</v>
      </c>
      <c r="T19" s="275">
        <v>3235</v>
      </c>
      <c r="U19" s="276">
        <v>5199</v>
      </c>
    </row>
    <row r="20" spans="1:21" ht="21" thickBot="1" x14ac:dyDescent="0.85">
      <c r="A20" s="16">
        <v>0.66</v>
      </c>
      <c r="C20" s="12" t="s">
        <v>8</v>
      </c>
      <c r="D20" s="12" t="s">
        <v>21</v>
      </c>
      <c r="E20" s="12" t="s">
        <v>11</v>
      </c>
      <c r="F20" s="12" t="s">
        <v>15</v>
      </c>
      <c r="G20" s="186">
        <v>207</v>
      </c>
      <c r="H20" s="186">
        <f>RANK(Table2[[#This Row],[Total Score]],Table2[[Gender]:[Total Score]],0)</f>
        <v>78</v>
      </c>
      <c r="I20" s="12" t="str">
        <f>_xlfn.XLOOKUP(Table2[[#This Row],[Total Score]],J:J,K:K,,-1)</f>
        <v>D</v>
      </c>
      <c r="N20" s="277" t="s">
        <v>17</v>
      </c>
      <c r="O20" s="248">
        <v>411</v>
      </c>
      <c r="P20" s="250">
        <v>1797</v>
      </c>
      <c r="Q20" s="260">
        <v>2208</v>
      </c>
      <c r="R20" s="248">
        <v>586</v>
      </c>
      <c r="S20" s="250">
        <v>2299</v>
      </c>
      <c r="T20" s="261">
        <v>2885</v>
      </c>
      <c r="U20" s="251">
        <v>5093</v>
      </c>
    </row>
    <row r="21" spans="1:21" ht="21" thickBot="1" x14ac:dyDescent="0.85">
      <c r="A21" s="15"/>
      <c r="C21" s="12" t="s">
        <v>8</v>
      </c>
      <c r="D21" s="12" t="s">
        <v>21</v>
      </c>
      <c r="E21" s="12" t="s">
        <v>11</v>
      </c>
      <c r="F21" s="12" t="s">
        <v>12</v>
      </c>
      <c r="G21" s="186">
        <v>241</v>
      </c>
      <c r="H21" s="186">
        <f>RANK(Table2[[#This Row],[Total Score]],Table2[[Gender]:[Total Score]],0)</f>
        <v>28</v>
      </c>
      <c r="I21" s="12" t="str">
        <f>_xlfn.XLOOKUP(Table2[[#This Row],[Total Score]],J:J,K:K,,-1)</f>
        <v>B</v>
      </c>
      <c r="N21" s="265" t="s">
        <v>24</v>
      </c>
      <c r="O21" s="266">
        <v>440</v>
      </c>
      <c r="P21" s="267">
        <v>1583</v>
      </c>
      <c r="Q21" s="266">
        <v>2023</v>
      </c>
      <c r="R21" s="266">
        <v>684</v>
      </c>
      <c r="S21" s="267">
        <v>1041</v>
      </c>
      <c r="T21" s="267">
        <v>1725</v>
      </c>
      <c r="U21" s="268">
        <v>3748</v>
      </c>
    </row>
    <row r="22" spans="1:21" ht="20.5" x14ac:dyDescent="0.8">
      <c r="A22" s="15"/>
      <c r="C22" s="12" t="s">
        <v>17</v>
      </c>
      <c r="D22" s="12" t="s">
        <v>9</v>
      </c>
      <c r="E22" s="12" t="s">
        <v>11</v>
      </c>
      <c r="F22" s="12" t="s">
        <v>15</v>
      </c>
      <c r="G22" s="186">
        <v>193</v>
      </c>
      <c r="H22" s="186">
        <f>RANK(Table2[[#This Row],[Total Score]],Table2[[Gender]:[Total Score]],0)</f>
        <v>101</v>
      </c>
      <c r="I22" s="12" t="str">
        <f>_xlfn.XLOOKUP(Table2[[#This Row],[Total Score]],J:J,K:K,,-1)</f>
        <v>D</v>
      </c>
      <c r="N22" s="278" t="s">
        <v>8</v>
      </c>
      <c r="O22" s="264"/>
      <c r="P22" s="273">
        <v>250</v>
      </c>
      <c r="Q22" s="274">
        <v>250</v>
      </c>
      <c r="R22" s="264">
        <v>684</v>
      </c>
      <c r="S22" s="273">
        <v>236</v>
      </c>
      <c r="T22" s="275">
        <v>920</v>
      </c>
      <c r="U22" s="276">
        <v>1170</v>
      </c>
    </row>
    <row r="23" spans="1:21" ht="21" thickBot="1" x14ac:dyDescent="0.85">
      <c r="A23" s="15"/>
      <c r="C23" s="12" t="s">
        <v>8</v>
      </c>
      <c r="D23" s="12" t="s">
        <v>9</v>
      </c>
      <c r="E23" s="12" t="s">
        <v>11</v>
      </c>
      <c r="F23" s="12" t="s">
        <v>12</v>
      </c>
      <c r="G23" s="186">
        <v>206</v>
      </c>
      <c r="H23" s="186">
        <f>RANK(Table2[[#This Row],[Total Score]],Table2[[Gender]:[Total Score]],0)</f>
        <v>80</v>
      </c>
      <c r="I23" s="12" t="str">
        <f>_xlfn.XLOOKUP(Table2[[#This Row],[Total Score]],J:J,K:K,,-1)</f>
        <v>D</v>
      </c>
      <c r="N23" s="277" t="s">
        <v>17</v>
      </c>
      <c r="O23" s="248">
        <v>440</v>
      </c>
      <c r="P23" s="250">
        <v>1333</v>
      </c>
      <c r="Q23" s="260">
        <v>1773</v>
      </c>
      <c r="R23" s="248"/>
      <c r="S23" s="250">
        <v>805</v>
      </c>
      <c r="T23" s="261">
        <v>805</v>
      </c>
      <c r="U23" s="251">
        <v>2578</v>
      </c>
    </row>
    <row r="24" spans="1:21" ht="21" thickBot="1" x14ac:dyDescent="0.85">
      <c r="A24" s="15"/>
      <c r="C24" s="12" t="s">
        <v>8</v>
      </c>
      <c r="D24" s="12" t="s">
        <v>21</v>
      </c>
      <c r="E24" s="12" t="s">
        <v>11</v>
      </c>
      <c r="F24" s="12" t="s">
        <v>12</v>
      </c>
      <c r="G24" s="186">
        <v>175</v>
      </c>
      <c r="H24" s="186">
        <f>RANK(Table2[[#This Row],[Total Score]],Table2[[Gender]:[Total Score]],0)</f>
        <v>122</v>
      </c>
      <c r="I24" s="12" t="str">
        <f>_xlfn.XLOOKUP(Table2[[#This Row],[Total Score]],J:J,K:K,,-1)</f>
        <v>F</v>
      </c>
      <c r="N24" s="269" t="s">
        <v>88</v>
      </c>
      <c r="O24" s="262">
        <v>4357</v>
      </c>
      <c r="P24" s="270">
        <v>11660</v>
      </c>
      <c r="Q24" s="263">
        <v>16017</v>
      </c>
      <c r="R24" s="262">
        <v>6115</v>
      </c>
      <c r="S24" s="270">
        <v>12831</v>
      </c>
      <c r="T24" s="271">
        <v>18946</v>
      </c>
      <c r="U24" s="272">
        <v>34963</v>
      </c>
    </row>
    <row r="25" spans="1:21" ht="21" thickTop="1" x14ac:dyDescent="0.8">
      <c r="A25" s="18">
        <v>0.53</v>
      </c>
      <c r="C25" s="12" t="s">
        <v>17</v>
      </c>
      <c r="D25" s="12" t="s">
        <v>9</v>
      </c>
      <c r="E25" s="12" t="s">
        <v>11</v>
      </c>
      <c r="F25" s="12" t="s">
        <v>12</v>
      </c>
      <c r="G25" s="186">
        <v>207</v>
      </c>
      <c r="H25" s="186">
        <f>RANK(Table2[[#This Row],[Total Score]],Table2[[Gender]:[Total Score]],0)</f>
        <v>78</v>
      </c>
      <c r="I25" s="12" t="str">
        <f>_xlfn.XLOOKUP(Table2[[#This Row],[Total Score]],J:J,K:K,,-1)</f>
        <v>D</v>
      </c>
    </row>
    <row r="26" spans="1:21" ht="20.5" x14ac:dyDescent="0.8">
      <c r="A26" s="15">
        <v>0.5</v>
      </c>
      <c r="C26" s="12" t="s">
        <v>17</v>
      </c>
      <c r="D26" s="12" t="s">
        <v>13</v>
      </c>
      <c r="E26" s="12" t="s">
        <v>20</v>
      </c>
      <c r="F26" s="12" t="s">
        <v>15</v>
      </c>
      <c r="G26" s="186">
        <v>130</v>
      </c>
      <c r="H26" s="186">
        <f>RANK(Table2[[#This Row],[Total Score]],Table2[[Gender]:[Total Score]],0)</f>
        <v>165</v>
      </c>
      <c r="I26" s="12" t="str">
        <f>_xlfn.XLOOKUP(Table2[[#This Row],[Total Score]],J:J,K:K,,-1)</f>
        <v>F</v>
      </c>
    </row>
    <row r="27" spans="1:21" ht="20.5" x14ac:dyDescent="0.8">
      <c r="A27" s="15">
        <v>0.47</v>
      </c>
      <c r="C27" s="12" t="s">
        <v>17</v>
      </c>
      <c r="D27" s="12" t="s">
        <v>9</v>
      </c>
      <c r="E27" s="12" t="s">
        <v>11</v>
      </c>
      <c r="F27" s="12" t="s">
        <v>15</v>
      </c>
      <c r="G27" s="186">
        <v>146</v>
      </c>
      <c r="H27" s="186">
        <f>RANK(Table2[[#This Row],[Total Score]],Table2[[Gender]:[Total Score]],0)</f>
        <v>154</v>
      </c>
      <c r="I27" s="12" t="str">
        <f>_xlfn.XLOOKUP(Table2[[#This Row],[Total Score]],J:J,K:K,,-1)</f>
        <v>F</v>
      </c>
    </row>
    <row r="28" spans="1:21" ht="21" thickBot="1" x14ac:dyDescent="0.85">
      <c r="A28" s="16">
        <v>0.43</v>
      </c>
      <c r="C28" s="12" t="s">
        <v>8</v>
      </c>
      <c r="D28" s="12" t="s">
        <v>21</v>
      </c>
      <c r="E28" s="12" t="s">
        <v>11</v>
      </c>
      <c r="F28" s="12" t="s">
        <v>12</v>
      </c>
      <c r="G28" s="186">
        <v>219</v>
      </c>
      <c r="H28" s="186">
        <f>RANK(Table2[[#This Row],[Total Score]],Table2[[Gender]:[Total Score]],0)</f>
        <v>62</v>
      </c>
      <c r="I28" s="12" t="str">
        <f>_xlfn.XLOOKUP(Table2[[#This Row],[Total Score]],J:J,K:K,,-1)</f>
        <v>C</v>
      </c>
    </row>
    <row r="29" spans="1:21" ht="20.5" x14ac:dyDescent="0.8">
      <c r="A29" s="15"/>
      <c r="C29" s="12" t="s">
        <v>17</v>
      </c>
      <c r="D29" s="12" t="s">
        <v>9</v>
      </c>
      <c r="E29" s="12" t="s">
        <v>11</v>
      </c>
      <c r="F29" s="12" t="s">
        <v>12</v>
      </c>
      <c r="G29" s="186">
        <v>247</v>
      </c>
      <c r="H29" s="186">
        <f>RANK(Table2[[#This Row],[Total Score]],Table2[[Gender]:[Total Score]],0)</f>
        <v>20</v>
      </c>
      <c r="I29" s="12" t="str">
        <f>_xlfn.XLOOKUP(Table2[[#This Row],[Total Score]],J:J,K:K,,-1)</f>
        <v>B</v>
      </c>
    </row>
    <row r="30" spans="1:21" ht="21" thickBot="1" x14ac:dyDescent="0.85">
      <c r="A30" s="15"/>
      <c r="C30" s="12" t="s">
        <v>17</v>
      </c>
      <c r="D30" s="12" t="s">
        <v>18</v>
      </c>
      <c r="E30" s="12" t="s">
        <v>11</v>
      </c>
      <c r="F30" s="12" t="s">
        <v>15</v>
      </c>
      <c r="G30" s="186">
        <v>198</v>
      </c>
      <c r="H30" s="186">
        <f>RANK(Table2[[#This Row],[Total Score]],Table2[[Gender]:[Total Score]],0)</f>
        <v>92</v>
      </c>
      <c r="I30" s="12" t="str">
        <f>_xlfn.XLOOKUP(Table2[[#This Row],[Total Score]],J:J,K:K,,-1)</f>
        <v>D</v>
      </c>
    </row>
    <row r="31" spans="1:21" ht="20.5" x14ac:dyDescent="0.8">
      <c r="A31" s="18">
        <v>0</v>
      </c>
      <c r="C31" s="12" t="s">
        <v>17</v>
      </c>
      <c r="D31" s="12" t="s">
        <v>21</v>
      </c>
      <c r="E31" s="12" t="s">
        <v>11</v>
      </c>
      <c r="F31" s="12" t="s">
        <v>12</v>
      </c>
      <c r="G31" s="186">
        <v>190</v>
      </c>
      <c r="H31" s="186">
        <f>RANK(Table2[[#This Row],[Total Score]],Table2[[Gender]:[Total Score]],0)</f>
        <v>106</v>
      </c>
      <c r="I31" s="12" t="str">
        <f>_xlfn.XLOOKUP(Table2[[#This Row],[Total Score]],J:J,K:K,,-1)</f>
        <v>D</v>
      </c>
    </row>
    <row r="32" spans="1:21" ht="20.5" x14ac:dyDescent="0.8">
      <c r="A32" s="15">
        <v>0.3</v>
      </c>
      <c r="C32" s="12" t="s">
        <v>17</v>
      </c>
      <c r="D32" s="12" t="s">
        <v>24</v>
      </c>
      <c r="E32" s="12" t="s">
        <v>11</v>
      </c>
      <c r="F32" s="12" t="s">
        <v>12</v>
      </c>
      <c r="G32" s="186">
        <v>260</v>
      </c>
      <c r="H32" s="186">
        <f>RANK(Table2[[#This Row],[Total Score]],Table2[[Gender]:[Total Score]],0)</f>
        <v>7</v>
      </c>
      <c r="I32" s="12" t="str">
        <f>_xlfn.XLOOKUP(Table2[[#This Row],[Total Score]],J:J,K:K,,-1)</f>
        <v>B</v>
      </c>
    </row>
    <row r="33" spans="1:14" ht="20.5" x14ac:dyDescent="0.8">
      <c r="A33" s="15">
        <v>0.26</v>
      </c>
      <c r="C33" s="12" t="s">
        <v>8</v>
      </c>
      <c r="D33" s="12" t="s">
        <v>21</v>
      </c>
      <c r="E33" s="12" t="s">
        <v>11</v>
      </c>
      <c r="F33" s="12" t="s">
        <v>15</v>
      </c>
      <c r="G33" s="186">
        <v>297</v>
      </c>
      <c r="H33" s="186">
        <f>RANK(Table2[[#This Row],[Total Score]],Table2[[Gender]:[Total Score]],0)</f>
        <v>1</v>
      </c>
      <c r="I33" s="12" t="str">
        <f>_xlfn.XLOOKUP(Table2[[#This Row],[Total Score]],J:J,K:K,,-1)</f>
        <v>A</v>
      </c>
    </row>
    <row r="34" spans="1:14" ht="20.5" x14ac:dyDescent="0.8">
      <c r="A34" s="19">
        <v>0.23</v>
      </c>
      <c r="C34" s="12" t="s">
        <v>17</v>
      </c>
      <c r="D34" s="12" t="s">
        <v>13</v>
      </c>
      <c r="E34" s="12" t="s">
        <v>20</v>
      </c>
      <c r="F34" s="12" t="s">
        <v>15</v>
      </c>
      <c r="G34" s="186">
        <v>146</v>
      </c>
      <c r="H34" s="186">
        <f>RANK(Table2[[#This Row],[Total Score]],Table2[[Gender]:[Total Score]],0)</f>
        <v>154</v>
      </c>
      <c r="I34" s="12" t="str">
        <f>_xlfn.XLOOKUP(Table2[[#This Row],[Total Score]],J:J,K:K,,-1)</f>
        <v>F</v>
      </c>
      <c r="N34" s="2"/>
    </row>
    <row r="35" spans="1:14" ht="21" thickBot="1" x14ac:dyDescent="0.85">
      <c r="A35" s="20">
        <v>0.09</v>
      </c>
      <c r="C35" s="12" t="s">
        <v>17</v>
      </c>
      <c r="D35" s="12" t="s">
        <v>21</v>
      </c>
      <c r="E35" s="12" t="s">
        <v>11</v>
      </c>
      <c r="F35" s="12" t="s">
        <v>15</v>
      </c>
      <c r="G35" s="186">
        <v>196</v>
      </c>
      <c r="H35" s="186">
        <f>RANK(Table2[[#This Row],[Total Score]],Table2[[Gender]:[Total Score]],0)</f>
        <v>97</v>
      </c>
      <c r="I35" s="12" t="str">
        <f>_xlfn.XLOOKUP(Table2[[#This Row],[Total Score]],J:J,K:K,,-1)</f>
        <v>D</v>
      </c>
    </row>
    <row r="36" spans="1:14" x14ac:dyDescent="0.35">
      <c r="C36" s="12" t="s">
        <v>17</v>
      </c>
      <c r="D36" s="12" t="s">
        <v>9</v>
      </c>
      <c r="E36" s="12" t="s">
        <v>20</v>
      </c>
      <c r="F36" s="12" t="s">
        <v>12</v>
      </c>
      <c r="G36" s="186">
        <v>145</v>
      </c>
      <c r="H36" s="186">
        <f>RANK(Table2[[#This Row],[Total Score]],Table2[[Gender]:[Total Score]],0)</f>
        <v>157</v>
      </c>
      <c r="I36" s="12" t="str">
        <f>_xlfn.XLOOKUP(Table2[[#This Row],[Total Score]],J:J,K:K,,-1)</f>
        <v>F</v>
      </c>
    </row>
    <row r="37" spans="1:14" x14ac:dyDescent="0.35">
      <c r="C37" s="12" t="s">
        <v>8</v>
      </c>
      <c r="D37" s="12" t="s">
        <v>9</v>
      </c>
      <c r="E37" s="12" t="s">
        <v>11</v>
      </c>
      <c r="F37" s="12" t="s">
        <v>12</v>
      </c>
      <c r="G37" s="186">
        <v>192</v>
      </c>
      <c r="H37" s="186">
        <f>RANK(Table2[[#This Row],[Total Score]],Table2[[Gender]:[Total Score]],0)</f>
        <v>103</v>
      </c>
      <c r="I37" s="12" t="str">
        <f>_xlfn.XLOOKUP(Table2[[#This Row],[Total Score]],J:J,K:K,,-1)</f>
        <v>D</v>
      </c>
    </row>
    <row r="38" spans="1:14" x14ac:dyDescent="0.35">
      <c r="C38" s="12" t="s">
        <v>17</v>
      </c>
      <c r="D38" s="12" t="s">
        <v>13</v>
      </c>
      <c r="E38" s="12" t="s">
        <v>20</v>
      </c>
      <c r="F38" s="12" t="s">
        <v>15</v>
      </c>
      <c r="G38" s="186">
        <v>193</v>
      </c>
      <c r="H38" s="186">
        <f>RANK(Table2[[#This Row],[Total Score]],Table2[[Gender]:[Total Score]],0)</f>
        <v>101</v>
      </c>
      <c r="I38" s="12" t="str">
        <f>_xlfn.XLOOKUP(Table2[[#This Row],[Total Score]],J:J,K:K,,-1)</f>
        <v>D</v>
      </c>
    </row>
    <row r="39" spans="1:14" x14ac:dyDescent="0.35">
      <c r="C39" s="12" t="s">
        <v>17</v>
      </c>
      <c r="D39" s="12" t="s">
        <v>21</v>
      </c>
      <c r="E39" s="12" t="s">
        <v>11</v>
      </c>
      <c r="F39" s="12" t="s">
        <v>15</v>
      </c>
      <c r="G39" s="186">
        <v>223</v>
      </c>
      <c r="H39" s="186">
        <f>RANK(Table2[[#This Row],[Total Score]],Table2[[Gender]:[Total Score]],0)</f>
        <v>54</v>
      </c>
      <c r="I39" s="12" t="str">
        <f>_xlfn.XLOOKUP(Table2[[#This Row],[Total Score]],J:J,K:K,,-1)</f>
        <v>C</v>
      </c>
    </row>
    <row r="40" spans="1:14" x14ac:dyDescent="0.35">
      <c r="C40" s="12" t="s">
        <v>17</v>
      </c>
      <c r="D40" s="12" t="s">
        <v>21</v>
      </c>
      <c r="E40" s="12" t="s">
        <v>20</v>
      </c>
      <c r="F40" s="12" t="s">
        <v>15</v>
      </c>
      <c r="G40" s="186">
        <v>238</v>
      </c>
      <c r="H40" s="186">
        <f>RANK(Table2[[#This Row],[Total Score]],Table2[[Gender]:[Total Score]],0)</f>
        <v>31</v>
      </c>
      <c r="I40" s="12" t="str">
        <f>_xlfn.XLOOKUP(Table2[[#This Row],[Total Score]],J:J,K:K,,-1)</f>
        <v>C</v>
      </c>
    </row>
    <row r="41" spans="1:14" x14ac:dyDescent="0.35">
      <c r="C41" s="12" t="s">
        <v>17</v>
      </c>
      <c r="D41" s="12" t="s">
        <v>9</v>
      </c>
      <c r="E41" s="12" t="s">
        <v>11</v>
      </c>
      <c r="F41" s="12" t="s">
        <v>15</v>
      </c>
      <c r="G41" s="186">
        <v>242</v>
      </c>
      <c r="H41" s="186">
        <f>RANK(Table2[[#This Row],[Total Score]],Table2[[Gender]:[Total Score]],0)</f>
        <v>25</v>
      </c>
      <c r="I41" s="12" t="str">
        <f>_xlfn.XLOOKUP(Table2[[#This Row],[Total Score]],J:J,K:K,,-1)</f>
        <v>B</v>
      </c>
    </row>
    <row r="42" spans="1:14" x14ac:dyDescent="0.35">
      <c r="C42" s="12" t="s">
        <v>17</v>
      </c>
      <c r="D42" s="12" t="s">
        <v>9</v>
      </c>
      <c r="E42" s="12" t="s">
        <v>11</v>
      </c>
      <c r="F42" s="12" t="s">
        <v>15</v>
      </c>
      <c r="G42" s="186">
        <v>173</v>
      </c>
      <c r="H42" s="186">
        <f>RANK(Table2[[#This Row],[Total Score]],Table2[[Gender]:[Total Score]],0)</f>
        <v>126</v>
      </c>
      <c r="I42" s="12" t="str">
        <f>_xlfn.XLOOKUP(Table2[[#This Row],[Total Score]],J:J,K:K,,-1)</f>
        <v>F</v>
      </c>
    </row>
    <row r="43" spans="1:14" x14ac:dyDescent="0.35">
      <c r="C43" s="12" t="s">
        <v>8</v>
      </c>
      <c r="D43" s="12" t="s">
        <v>13</v>
      </c>
      <c r="E43" s="12" t="s">
        <v>20</v>
      </c>
      <c r="F43" s="12" t="s">
        <v>12</v>
      </c>
      <c r="G43" s="186">
        <v>182</v>
      </c>
      <c r="H43" s="186">
        <f>RANK(Table2[[#This Row],[Total Score]],Table2[[Gender]:[Total Score]],0)</f>
        <v>112</v>
      </c>
      <c r="I43" s="12" t="str">
        <f>_xlfn.XLOOKUP(Table2[[#This Row],[Total Score]],J:J,K:K,,-1)</f>
        <v>D</v>
      </c>
    </row>
    <row r="44" spans="1:14" x14ac:dyDescent="0.35">
      <c r="C44" s="12" t="s">
        <v>17</v>
      </c>
      <c r="D44" s="12" t="s">
        <v>21</v>
      </c>
      <c r="E44" s="12" t="s">
        <v>11</v>
      </c>
      <c r="F44" s="12" t="s">
        <v>12</v>
      </c>
      <c r="G44" s="186">
        <v>241</v>
      </c>
      <c r="H44" s="186">
        <f>RANK(Table2[[#This Row],[Total Score]],Table2[[Gender]:[Total Score]],0)</f>
        <v>28</v>
      </c>
      <c r="I44" s="12" t="str">
        <f>_xlfn.XLOOKUP(Table2[[#This Row],[Total Score]],J:J,K:K,,-1)</f>
        <v>B</v>
      </c>
    </row>
    <row r="45" spans="1:14" x14ac:dyDescent="0.35">
      <c r="C45" s="12" t="s">
        <v>17</v>
      </c>
      <c r="D45" s="12" t="s">
        <v>18</v>
      </c>
      <c r="E45" s="12" t="s">
        <v>20</v>
      </c>
      <c r="F45" s="12" t="s">
        <v>12</v>
      </c>
      <c r="G45" s="186">
        <v>204</v>
      </c>
      <c r="H45" s="186">
        <f>RANK(Table2[[#This Row],[Total Score]],Table2[[Gender]:[Total Score]],0)</f>
        <v>83</v>
      </c>
      <c r="I45" s="12" t="str">
        <f>_xlfn.XLOOKUP(Table2[[#This Row],[Total Score]],J:J,K:K,,-1)</f>
        <v>D</v>
      </c>
    </row>
    <row r="46" spans="1:14" x14ac:dyDescent="0.35">
      <c r="C46" s="12" t="s">
        <v>17</v>
      </c>
      <c r="D46" s="12" t="s">
        <v>24</v>
      </c>
      <c r="E46" s="12" t="s">
        <v>11</v>
      </c>
      <c r="F46" s="12" t="s">
        <v>12</v>
      </c>
      <c r="G46" s="186">
        <v>257</v>
      </c>
      <c r="H46" s="186">
        <f>RANK(Table2[[#This Row],[Total Score]],Table2[[Gender]:[Total Score]],0)</f>
        <v>10</v>
      </c>
      <c r="I46" s="12" t="str">
        <f>_xlfn.XLOOKUP(Table2[[#This Row],[Total Score]],J:J,K:K,,-1)</f>
        <v>B</v>
      </c>
    </row>
    <row r="47" spans="1:14" x14ac:dyDescent="0.35">
      <c r="C47" s="12" t="s">
        <v>8</v>
      </c>
      <c r="D47" s="12" t="s">
        <v>21</v>
      </c>
      <c r="E47" s="12" t="s">
        <v>11</v>
      </c>
      <c r="F47" s="12" t="s">
        <v>15</v>
      </c>
      <c r="G47" s="186">
        <v>198</v>
      </c>
      <c r="H47" s="186">
        <f>RANK(Table2[[#This Row],[Total Score]],Table2[[Gender]:[Total Score]],0)</f>
        <v>92</v>
      </c>
      <c r="I47" s="12" t="str">
        <f>_xlfn.XLOOKUP(Table2[[#This Row],[Total Score]],J:J,K:K,,-1)</f>
        <v>D</v>
      </c>
    </row>
    <row r="48" spans="1:14" x14ac:dyDescent="0.35">
      <c r="C48" s="12" t="s">
        <v>17</v>
      </c>
      <c r="D48" s="12" t="s">
        <v>21</v>
      </c>
      <c r="E48" s="12" t="s">
        <v>11</v>
      </c>
      <c r="F48" s="12" t="s">
        <v>12</v>
      </c>
      <c r="G48" s="186">
        <v>218</v>
      </c>
      <c r="H48" s="186">
        <f>RANK(Table2[[#This Row],[Total Score]],Table2[[Gender]:[Total Score]],0)</f>
        <v>64</v>
      </c>
      <c r="I48" s="12" t="str">
        <f>_xlfn.XLOOKUP(Table2[[#This Row],[Total Score]],J:J,K:K,,-1)</f>
        <v>C</v>
      </c>
    </row>
    <row r="49" spans="3:9" x14ac:dyDescent="0.35">
      <c r="C49" s="12" t="s">
        <v>17</v>
      </c>
      <c r="D49" s="12" t="s">
        <v>18</v>
      </c>
      <c r="E49" s="12" t="s">
        <v>11</v>
      </c>
      <c r="F49" s="12" t="s">
        <v>15</v>
      </c>
      <c r="G49" s="186">
        <v>145</v>
      </c>
      <c r="H49" s="186">
        <f>RANK(Table2[[#This Row],[Total Score]],Table2[[Gender]:[Total Score]],0)</f>
        <v>157</v>
      </c>
      <c r="I49" s="12" t="str">
        <f>_xlfn.XLOOKUP(Table2[[#This Row],[Total Score]],J:J,K:K,,-1)</f>
        <v>F</v>
      </c>
    </row>
    <row r="50" spans="3:9" x14ac:dyDescent="0.35">
      <c r="C50" s="12" t="s">
        <v>8</v>
      </c>
      <c r="D50" s="12" t="s">
        <v>9</v>
      </c>
      <c r="E50" s="12" t="s">
        <v>11</v>
      </c>
      <c r="F50" s="12" t="s">
        <v>15</v>
      </c>
      <c r="G50" s="186">
        <v>200</v>
      </c>
      <c r="H50" s="186">
        <f>RANK(Table2[[#This Row],[Total Score]],Table2[[Gender]:[Total Score]],0)</f>
        <v>90</v>
      </c>
      <c r="I50" s="12" t="str">
        <f>_xlfn.XLOOKUP(Table2[[#This Row],[Total Score]],J:J,K:K,,-1)</f>
        <v>D</v>
      </c>
    </row>
    <row r="51" spans="3:9" x14ac:dyDescent="0.35">
      <c r="C51" s="12" t="s">
        <v>8</v>
      </c>
      <c r="D51" s="12" t="s">
        <v>13</v>
      </c>
      <c r="E51" s="12" t="s">
        <v>20</v>
      </c>
      <c r="F51" s="12" t="s">
        <v>15</v>
      </c>
      <c r="G51" s="186">
        <v>220</v>
      </c>
      <c r="H51" s="186">
        <f>RANK(Table2[[#This Row],[Total Score]],Table2[[Gender]:[Total Score]],0)</f>
        <v>57</v>
      </c>
      <c r="I51" s="12" t="str">
        <f>_xlfn.XLOOKUP(Table2[[#This Row],[Total Score]],J:J,K:K,,-1)</f>
        <v>C</v>
      </c>
    </row>
    <row r="52" spans="3:9" x14ac:dyDescent="0.35">
      <c r="C52" s="12" t="s">
        <v>8</v>
      </c>
      <c r="D52" s="12" t="s">
        <v>13</v>
      </c>
      <c r="E52" s="12" t="s">
        <v>20</v>
      </c>
      <c r="F52" s="12" t="s">
        <v>12</v>
      </c>
      <c r="G52" s="186">
        <v>145</v>
      </c>
      <c r="H52" s="186">
        <f>RANK(Table2[[#This Row],[Total Score]],Table2[[Gender]:[Total Score]],0)</f>
        <v>157</v>
      </c>
      <c r="I52" s="12" t="str">
        <f>_xlfn.XLOOKUP(Table2[[#This Row],[Total Score]],J:J,K:K,,-1)</f>
        <v>F</v>
      </c>
    </row>
    <row r="53" spans="3:9" x14ac:dyDescent="0.35">
      <c r="C53" s="12" t="s">
        <v>17</v>
      </c>
      <c r="D53" s="12" t="s">
        <v>21</v>
      </c>
      <c r="E53" s="12" t="s">
        <v>20</v>
      </c>
      <c r="F53" s="12" t="s">
        <v>12</v>
      </c>
      <c r="G53" s="186">
        <v>142</v>
      </c>
      <c r="H53" s="186">
        <f>RANK(Table2[[#This Row],[Total Score]],Table2[[Gender]:[Total Score]],0)</f>
        <v>161</v>
      </c>
      <c r="I53" s="12" t="str">
        <f>_xlfn.XLOOKUP(Table2[[#This Row],[Total Score]],J:J,K:K,,-1)</f>
        <v>F</v>
      </c>
    </row>
    <row r="54" spans="3:9" x14ac:dyDescent="0.35">
      <c r="C54" s="12" t="s">
        <v>8</v>
      </c>
      <c r="D54" s="12" t="s">
        <v>13</v>
      </c>
      <c r="E54" s="12" t="s">
        <v>11</v>
      </c>
      <c r="F54" s="12" t="s">
        <v>15</v>
      </c>
      <c r="G54" s="186">
        <v>270</v>
      </c>
      <c r="H54" s="186">
        <f>RANK(Table2[[#This Row],[Total Score]],Table2[[Gender]:[Total Score]],0)</f>
        <v>4</v>
      </c>
      <c r="I54" s="12" t="str">
        <f>_xlfn.XLOOKUP(Table2[[#This Row],[Total Score]],J:J,K:K,,-1)</f>
        <v>A</v>
      </c>
    </row>
    <row r="55" spans="3:9" x14ac:dyDescent="0.35">
      <c r="C55" s="12" t="s">
        <v>8</v>
      </c>
      <c r="D55" s="12" t="s">
        <v>13</v>
      </c>
      <c r="E55" s="12" t="s">
        <v>20</v>
      </c>
      <c r="F55" s="12" t="s">
        <v>12</v>
      </c>
      <c r="G55" s="186">
        <v>231</v>
      </c>
      <c r="H55" s="186">
        <f>RANK(Table2[[#This Row],[Total Score]],Table2[[Gender]:[Total Score]],0)</f>
        <v>41</v>
      </c>
      <c r="I55" s="12" t="str">
        <f>_xlfn.XLOOKUP(Table2[[#This Row],[Total Score]],J:J,K:K,,-1)</f>
        <v>C</v>
      </c>
    </row>
    <row r="56" spans="3:9" x14ac:dyDescent="0.35">
      <c r="C56" s="12" t="s">
        <v>8</v>
      </c>
      <c r="D56" s="12" t="s">
        <v>9</v>
      </c>
      <c r="E56" s="12" t="s">
        <v>11</v>
      </c>
      <c r="F56" s="12" t="s">
        <v>12</v>
      </c>
      <c r="G56" s="186">
        <v>129</v>
      </c>
      <c r="H56" s="186">
        <f>RANK(Table2[[#This Row],[Total Score]],Table2[[Gender]:[Total Score]],0)</f>
        <v>167</v>
      </c>
      <c r="I56" s="12" t="str">
        <f>_xlfn.XLOOKUP(Table2[[#This Row],[Total Score]],J:J,K:K,,-1)</f>
        <v>F</v>
      </c>
    </row>
    <row r="57" spans="3:9" x14ac:dyDescent="0.35">
      <c r="C57" s="12" t="s">
        <v>8</v>
      </c>
      <c r="D57" s="12" t="s">
        <v>9</v>
      </c>
      <c r="E57" s="12" t="s">
        <v>11</v>
      </c>
      <c r="F57" s="12" t="s">
        <v>12</v>
      </c>
      <c r="G57" s="186">
        <v>238</v>
      </c>
      <c r="H57" s="186">
        <f>RANK(Table2[[#This Row],[Total Score]],Table2[[Gender]:[Total Score]],0)</f>
        <v>31</v>
      </c>
      <c r="I57" s="12" t="str">
        <f>_xlfn.XLOOKUP(Table2[[#This Row],[Total Score]],J:J,K:K,,-1)</f>
        <v>C</v>
      </c>
    </row>
    <row r="58" spans="3:9" x14ac:dyDescent="0.35">
      <c r="C58" s="12" t="s">
        <v>17</v>
      </c>
      <c r="D58" s="12" t="s">
        <v>24</v>
      </c>
      <c r="E58" s="12" t="s">
        <v>11</v>
      </c>
      <c r="F58" s="12" t="s">
        <v>15</v>
      </c>
      <c r="G58" s="186">
        <v>230</v>
      </c>
      <c r="H58" s="186">
        <f>RANK(Table2[[#This Row],[Total Score]],Table2[[Gender]:[Total Score]],0)</f>
        <v>45</v>
      </c>
      <c r="I58" s="12" t="str">
        <f>_xlfn.XLOOKUP(Table2[[#This Row],[Total Score]],J:J,K:K,,-1)</f>
        <v>C</v>
      </c>
    </row>
    <row r="59" spans="3:9" x14ac:dyDescent="0.35">
      <c r="C59" s="12" t="s">
        <v>17</v>
      </c>
      <c r="D59" s="12" t="s">
        <v>21</v>
      </c>
      <c r="E59" s="12" t="s">
        <v>11</v>
      </c>
      <c r="F59" s="12" t="s">
        <v>12</v>
      </c>
      <c r="G59" s="186">
        <v>229</v>
      </c>
      <c r="H59" s="186">
        <f>RANK(Table2[[#This Row],[Total Score]],Table2[[Gender]:[Total Score]],0)</f>
        <v>46</v>
      </c>
      <c r="I59" s="12" t="str">
        <f>_xlfn.XLOOKUP(Table2[[#This Row],[Total Score]],J:J,K:K,,-1)</f>
        <v>C</v>
      </c>
    </row>
    <row r="60" spans="3:9" x14ac:dyDescent="0.35">
      <c r="C60" s="12" t="s">
        <v>17</v>
      </c>
      <c r="D60" s="12" t="s">
        <v>13</v>
      </c>
      <c r="E60" s="12" t="s">
        <v>11</v>
      </c>
      <c r="F60" s="12" t="s">
        <v>15</v>
      </c>
      <c r="G60" s="186">
        <v>180</v>
      </c>
      <c r="H60" s="186">
        <f>RANK(Table2[[#This Row],[Total Score]],Table2[[Gender]:[Total Score]],0)</f>
        <v>114</v>
      </c>
      <c r="I60" s="12" t="str">
        <f>_xlfn.XLOOKUP(Table2[[#This Row],[Total Score]],J:J,K:K,,-1)</f>
        <v>D</v>
      </c>
    </row>
    <row r="61" spans="3:9" x14ac:dyDescent="0.35">
      <c r="C61" s="12" t="s">
        <v>17</v>
      </c>
      <c r="D61" s="12" t="s">
        <v>18</v>
      </c>
      <c r="E61" s="12" t="s">
        <v>11</v>
      </c>
      <c r="F61" s="12" t="s">
        <v>15</v>
      </c>
      <c r="G61" s="186">
        <v>130</v>
      </c>
      <c r="H61" s="186">
        <f>RANK(Table2[[#This Row],[Total Score]],Table2[[Gender]:[Total Score]],0)</f>
        <v>165</v>
      </c>
      <c r="I61" s="12" t="str">
        <f>_xlfn.XLOOKUP(Table2[[#This Row],[Total Score]],J:J,K:K,,-1)</f>
        <v>F</v>
      </c>
    </row>
    <row r="62" spans="3:9" x14ac:dyDescent="0.35">
      <c r="C62" s="12" t="s">
        <v>17</v>
      </c>
      <c r="D62" s="12" t="s">
        <v>21</v>
      </c>
      <c r="E62" s="12" t="s">
        <v>20</v>
      </c>
      <c r="F62" s="12" t="s">
        <v>12</v>
      </c>
      <c r="G62" s="186">
        <v>162</v>
      </c>
      <c r="H62" s="186">
        <f>RANK(Table2[[#This Row],[Total Score]],Table2[[Gender]:[Total Score]],0)</f>
        <v>137</v>
      </c>
      <c r="I62" s="12" t="str">
        <f>_xlfn.XLOOKUP(Table2[[#This Row],[Total Score]],J:J,K:K,,-1)</f>
        <v>F</v>
      </c>
    </row>
    <row r="63" spans="3:9" x14ac:dyDescent="0.35">
      <c r="C63" s="12" t="s">
        <v>17</v>
      </c>
      <c r="D63" s="12" t="s">
        <v>13</v>
      </c>
      <c r="E63" s="12" t="s">
        <v>11</v>
      </c>
      <c r="F63" s="12" t="s">
        <v>12</v>
      </c>
      <c r="G63" s="186">
        <v>147</v>
      </c>
      <c r="H63" s="186">
        <f>RANK(Table2[[#This Row],[Total Score]],Table2[[Gender]:[Total Score]],0)</f>
        <v>152</v>
      </c>
      <c r="I63" s="12" t="str">
        <f>_xlfn.XLOOKUP(Table2[[#This Row],[Total Score]],J:J,K:K,,-1)</f>
        <v>F</v>
      </c>
    </row>
    <row r="64" spans="3:9" x14ac:dyDescent="0.35">
      <c r="C64" s="12" t="s">
        <v>8</v>
      </c>
      <c r="D64" s="12" t="s">
        <v>13</v>
      </c>
      <c r="E64" s="12" t="s">
        <v>20</v>
      </c>
      <c r="F64" s="12" t="s">
        <v>12</v>
      </c>
      <c r="G64" s="186">
        <v>149</v>
      </c>
      <c r="H64" s="186">
        <f>RANK(Table2[[#This Row],[Total Score]],Table2[[Gender]:[Total Score]],0)</f>
        <v>151</v>
      </c>
      <c r="I64" s="12" t="str">
        <f>_xlfn.XLOOKUP(Table2[[#This Row],[Total Score]],J:J,K:K,,-1)</f>
        <v>F</v>
      </c>
    </row>
    <row r="65" spans="3:9" x14ac:dyDescent="0.35">
      <c r="C65" s="12" t="s">
        <v>8</v>
      </c>
      <c r="D65" s="12" t="s">
        <v>9</v>
      </c>
      <c r="E65" s="12" t="s">
        <v>11</v>
      </c>
      <c r="F65" s="12" t="s">
        <v>12</v>
      </c>
      <c r="G65" s="186">
        <v>147</v>
      </c>
      <c r="H65" s="186">
        <f>RANK(Table2[[#This Row],[Total Score]],Table2[[Gender]:[Total Score]],0)</f>
        <v>152</v>
      </c>
      <c r="I65" s="12" t="str">
        <f>_xlfn.XLOOKUP(Table2[[#This Row],[Total Score]],J:J,K:K,,-1)</f>
        <v>F</v>
      </c>
    </row>
    <row r="66" spans="3:9" x14ac:dyDescent="0.35">
      <c r="C66" s="12" t="s">
        <v>17</v>
      </c>
      <c r="D66" s="12" t="s">
        <v>21</v>
      </c>
      <c r="E66" s="12" t="s">
        <v>11</v>
      </c>
      <c r="F66" s="12" t="s">
        <v>15</v>
      </c>
      <c r="G66" s="186">
        <v>215</v>
      </c>
      <c r="H66" s="186">
        <f>RANK(Table2[[#This Row],[Total Score]],Table2[[Gender]:[Total Score]],0)</f>
        <v>68</v>
      </c>
      <c r="I66" s="12" t="str">
        <f>_xlfn.XLOOKUP(Table2[[#This Row],[Total Score]],J:J,K:K,,-1)</f>
        <v>C</v>
      </c>
    </row>
    <row r="67" spans="3:9" x14ac:dyDescent="0.35">
      <c r="C67" s="12" t="s">
        <v>8</v>
      </c>
      <c r="D67" s="12" t="s">
        <v>9</v>
      </c>
      <c r="E67" s="12" t="s">
        <v>20</v>
      </c>
      <c r="F67" s="12" t="s">
        <v>12</v>
      </c>
      <c r="G67" s="186">
        <v>89</v>
      </c>
      <c r="H67" s="186">
        <f>RANK(Table2[[#This Row],[Total Score]],Table2[[Gender]:[Total Score]],0)</f>
        <v>176</v>
      </c>
      <c r="I67" s="12" t="str">
        <f>_xlfn.XLOOKUP(Table2[[#This Row],[Total Score]],J:J,K:K,,-1)</f>
        <v>F</v>
      </c>
    </row>
    <row r="68" spans="3:9" x14ac:dyDescent="0.35">
      <c r="C68" s="12" t="s">
        <v>8</v>
      </c>
      <c r="D68" s="12" t="s">
        <v>21</v>
      </c>
      <c r="E68" s="12" t="s">
        <v>20</v>
      </c>
      <c r="F68" s="12" t="s">
        <v>15</v>
      </c>
      <c r="G68" s="186">
        <v>150</v>
      </c>
      <c r="H68" s="186">
        <f>RANK(Table2[[#This Row],[Total Score]],Table2[[Gender]:[Total Score]],0)</f>
        <v>149</v>
      </c>
      <c r="I68" s="12" t="str">
        <f>_xlfn.XLOOKUP(Table2[[#This Row],[Total Score]],J:J,K:K,,-1)</f>
        <v>F</v>
      </c>
    </row>
    <row r="69" spans="3:9" x14ac:dyDescent="0.35">
      <c r="C69" s="12" t="s">
        <v>17</v>
      </c>
      <c r="D69" s="12" t="s">
        <v>9</v>
      </c>
      <c r="E69" s="12" t="s">
        <v>11</v>
      </c>
      <c r="F69" s="12" t="s">
        <v>15</v>
      </c>
      <c r="G69" s="186">
        <v>247</v>
      </c>
      <c r="H69" s="186">
        <f>RANK(Table2[[#This Row],[Total Score]],Table2[[Gender]:[Total Score]],0)</f>
        <v>20</v>
      </c>
      <c r="I69" s="12" t="str">
        <f>_xlfn.XLOOKUP(Table2[[#This Row],[Total Score]],J:J,K:K,,-1)</f>
        <v>B</v>
      </c>
    </row>
    <row r="70" spans="3:9" x14ac:dyDescent="0.35">
      <c r="C70" s="12" t="s">
        <v>8</v>
      </c>
      <c r="D70" s="12" t="s">
        <v>21</v>
      </c>
      <c r="E70" s="12" t="s">
        <v>20</v>
      </c>
      <c r="F70" s="12" t="s">
        <v>12</v>
      </c>
      <c r="G70" s="186">
        <v>93</v>
      </c>
      <c r="H70" s="186">
        <f>RANK(Table2[[#This Row],[Total Score]],Table2[[Gender]:[Total Score]],0)</f>
        <v>175</v>
      </c>
      <c r="I70" s="12" t="str">
        <f>_xlfn.XLOOKUP(Table2[[#This Row],[Total Score]],J:J,K:K,,-1)</f>
        <v>F</v>
      </c>
    </row>
    <row r="71" spans="3:9" x14ac:dyDescent="0.35">
      <c r="C71" s="12" t="s">
        <v>8</v>
      </c>
      <c r="D71" s="12" t="s">
        <v>18</v>
      </c>
      <c r="E71" s="12" t="s">
        <v>20</v>
      </c>
      <c r="F71" s="12" t="s">
        <v>12</v>
      </c>
      <c r="G71" s="186">
        <v>166</v>
      </c>
      <c r="H71" s="186">
        <f>RANK(Table2[[#This Row],[Total Score]],Table2[[Gender]:[Total Score]],0)</f>
        <v>135</v>
      </c>
      <c r="I71" s="12" t="str">
        <f>_xlfn.XLOOKUP(Table2[[#This Row],[Total Score]],J:J,K:K,,-1)</f>
        <v>F</v>
      </c>
    </row>
    <row r="72" spans="3:9" x14ac:dyDescent="0.35">
      <c r="C72" s="12" t="s">
        <v>8</v>
      </c>
      <c r="D72" s="12" t="s">
        <v>21</v>
      </c>
      <c r="E72" s="12" t="s">
        <v>11</v>
      </c>
      <c r="F72" s="12" t="s">
        <v>12</v>
      </c>
      <c r="G72" s="186">
        <v>242</v>
      </c>
      <c r="H72" s="186">
        <f>RANK(Table2[[#This Row],[Total Score]],Table2[[Gender]:[Total Score]],0)</f>
        <v>25</v>
      </c>
      <c r="I72" s="12" t="str">
        <f>_xlfn.XLOOKUP(Table2[[#This Row],[Total Score]],J:J,K:K,,-1)</f>
        <v>B</v>
      </c>
    </row>
    <row r="73" spans="3:9" x14ac:dyDescent="0.35">
      <c r="C73" s="12" t="s">
        <v>17</v>
      </c>
      <c r="D73" s="12" t="s">
        <v>21</v>
      </c>
      <c r="E73" s="12" t="s">
        <v>11</v>
      </c>
      <c r="F73" s="12" t="s">
        <v>12</v>
      </c>
      <c r="G73" s="186">
        <v>220</v>
      </c>
      <c r="H73" s="186">
        <f>RANK(Table2[[#This Row],[Total Score]],Table2[[Gender]:[Total Score]],0)</f>
        <v>57</v>
      </c>
      <c r="I73" s="12" t="str">
        <f>_xlfn.XLOOKUP(Table2[[#This Row],[Total Score]],J:J,K:K,,-1)</f>
        <v>C</v>
      </c>
    </row>
    <row r="74" spans="3:9" x14ac:dyDescent="0.35">
      <c r="C74" s="12" t="s">
        <v>8</v>
      </c>
      <c r="D74" s="12" t="s">
        <v>21</v>
      </c>
      <c r="E74" s="12" t="s">
        <v>11</v>
      </c>
      <c r="F74" s="12" t="s">
        <v>12</v>
      </c>
      <c r="G74" s="186">
        <v>252</v>
      </c>
      <c r="H74" s="186">
        <f>RANK(Table2[[#This Row],[Total Score]],Table2[[Gender]:[Total Score]],0)</f>
        <v>12</v>
      </c>
      <c r="I74" s="12" t="str">
        <f>_xlfn.XLOOKUP(Table2[[#This Row],[Total Score]],J:J,K:K,,-1)</f>
        <v>B</v>
      </c>
    </row>
    <row r="75" spans="3:9" x14ac:dyDescent="0.35">
      <c r="C75" s="12" t="s">
        <v>8</v>
      </c>
      <c r="D75" s="12" t="s">
        <v>18</v>
      </c>
      <c r="E75" s="12" t="s">
        <v>11</v>
      </c>
      <c r="F75" s="12" t="s">
        <v>12</v>
      </c>
      <c r="G75" s="186">
        <v>231</v>
      </c>
      <c r="H75" s="186">
        <f>RANK(Table2[[#This Row],[Total Score]],Table2[[Gender]:[Total Score]],0)</f>
        <v>41</v>
      </c>
      <c r="I75" s="12" t="str">
        <f>_xlfn.XLOOKUP(Table2[[#This Row],[Total Score]],J:J,K:K,,-1)</f>
        <v>C</v>
      </c>
    </row>
    <row r="76" spans="3:9" x14ac:dyDescent="0.35">
      <c r="C76" s="12" t="s">
        <v>8</v>
      </c>
      <c r="D76" s="12" t="s">
        <v>24</v>
      </c>
      <c r="E76" s="12" t="s">
        <v>20</v>
      </c>
      <c r="F76" s="12" t="s">
        <v>12</v>
      </c>
      <c r="G76" s="186">
        <v>132</v>
      </c>
      <c r="H76" s="186">
        <f>RANK(Table2[[#This Row],[Total Score]],Table2[[Gender]:[Total Score]],0)</f>
        <v>164</v>
      </c>
      <c r="I76" s="12" t="str">
        <f>_xlfn.XLOOKUP(Table2[[#This Row],[Total Score]],J:J,K:K,,-1)</f>
        <v>F</v>
      </c>
    </row>
    <row r="77" spans="3:9" x14ac:dyDescent="0.35">
      <c r="C77" s="12" t="s">
        <v>8</v>
      </c>
      <c r="D77" s="12" t="s">
        <v>18</v>
      </c>
      <c r="E77" s="12" t="s">
        <v>20</v>
      </c>
      <c r="F77" s="12" t="s">
        <v>12</v>
      </c>
      <c r="G77" s="186">
        <v>124</v>
      </c>
      <c r="H77" s="186">
        <f>RANK(Table2[[#This Row],[Total Score]],Table2[[Gender]:[Total Score]],0)</f>
        <v>169</v>
      </c>
      <c r="I77" s="12" t="str">
        <f>_xlfn.XLOOKUP(Table2[[#This Row],[Total Score]],J:J,K:K,,-1)</f>
        <v>F</v>
      </c>
    </row>
    <row r="78" spans="3:9" x14ac:dyDescent="0.35">
      <c r="C78" s="12" t="s">
        <v>17</v>
      </c>
      <c r="D78" s="12" t="s">
        <v>24</v>
      </c>
      <c r="E78" s="12" t="s">
        <v>20</v>
      </c>
      <c r="F78" s="12" t="s">
        <v>15</v>
      </c>
      <c r="G78" s="186">
        <v>199</v>
      </c>
      <c r="H78" s="186">
        <f>RANK(Table2[[#This Row],[Total Score]],Table2[[Gender]:[Total Score]],0)</f>
        <v>91</v>
      </c>
      <c r="I78" s="12" t="str">
        <f>_xlfn.XLOOKUP(Table2[[#This Row],[Total Score]],J:J,K:K,,-1)</f>
        <v>D</v>
      </c>
    </row>
    <row r="79" spans="3:9" x14ac:dyDescent="0.35">
      <c r="C79" s="12" t="s">
        <v>8</v>
      </c>
      <c r="D79" s="12" t="s">
        <v>13</v>
      </c>
      <c r="E79" s="12" t="s">
        <v>11</v>
      </c>
      <c r="F79" s="12" t="s">
        <v>15</v>
      </c>
      <c r="G79" s="186">
        <v>216</v>
      </c>
      <c r="H79" s="186">
        <f>RANK(Table2[[#This Row],[Total Score]],Table2[[Gender]:[Total Score]],0)</f>
        <v>66</v>
      </c>
      <c r="I79" s="12" t="str">
        <f>_xlfn.XLOOKUP(Table2[[#This Row],[Total Score]],J:J,K:K,,-1)</f>
        <v>C</v>
      </c>
    </row>
    <row r="80" spans="3:9" x14ac:dyDescent="0.35">
      <c r="C80" s="12" t="s">
        <v>17</v>
      </c>
      <c r="D80" s="12" t="s">
        <v>9</v>
      </c>
      <c r="E80" s="12" t="s">
        <v>11</v>
      </c>
      <c r="F80" s="12" t="s">
        <v>12</v>
      </c>
      <c r="G80" s="186">
        <v>194</v>
      </c>
      <c r="H80" s="186">
        <f>RANK(Table2[[#This Row],[Total Score]],Table2[[Gender]:[Total Score]],0)</f>
        <v>100</v>
      </c>
      <c r="I80" s="12" t="str">
        <f>_xlfn.XLOOKUP(Table2[[#This Row],[Total Score]],J:J,K:K,,-1)</f>
        <v>D</v>
      </c>
    </row>
    <row r="81" spans="3:9" x14ac:dyDescent="0.35">
      <c r="C81" s="12" t="s">
        <v>17</v>
      </c>
      <c r="D81" s="12" t="s">
        <v>21</v>
      </c>
      <c r="E81" s="12" t="s">
        <v>11</v>
      </c>
      <c r="F81" s="12" t="s">
        <v>12</v>
      </c>
      <c r="G81" s="186">
        <v>173</v>
      </c>
      <c r="H81" s="186">
        <f>RANK(Table2[[#This Row],[Total Score]],Table2[[Gender]:[Total Score]],0)</f>
        <v>126</v>
      </c>
      <c r="I81" s="12" t="str">
        <f>_xlfn.XLOOKUP(Table2[[#This Row],[Total Score]],J:J,K:K,,-1)</f>
        <v>F</v>
      </c>
    </row>
    <row r="82" spans="3:9" x14ac:dyDescent="0.35">
      <c r="C82" s="12" t="s">
        <v>8</v>
      </c>
      <c r="D82" s="12" t="s">
        <v>13</v>
      </c>
      <c r="E82" s="12" t="s">
        <v>11</v>
      </c>
      <c r="F82" s="12" t="s">
        <v>15</v>
      </c>
      <c r="G82" s="186">
        <v>180</v>
      </c>
      <c r="H82" s="186">
        <f>RANK(Table2[[#This Row],[Total Score]],Table2[[Gender]:[Total Score]],0)</f>
        <v>114</v>
      </c>
      <c r="I82" s="12" t="str">
        <f>_xlfn.XLOOKUP(Table2[[#This Row],[Total Score]],J:J,K:K,,-1)</f>
        <v>D</v>
      </c>
    </row>
    <row r="83" spans="3:9" x14ac:dyDescent="0.35">
      <c r="C83" s="12" t="s">
        <v>8</v>
      </c>
      <c r="D83" s="12" t="s">
        <v>13</v>
      </c>
      <c r="E83" s="12" t="s">
        <v>11</v>
      </c>
      <c r="F83" s="12" t="s">
        <v>12</v>
      </c>
      <c r="G83" s="186">
        <v>204</v>
      </c>
      <c r="H83" s="186">
        <f>RANK(Table2[[#This Row],[Total Score]],Table2[[Gender]:[Total Score]],0)</f>
        <v>83</v>
      </c>
      <c r="I83" s="12" t="str">
        <f>_xlfn.XLOOKUP(Table2[[#This Row],[Total Score]],J:J,K:K,,-1)</f>
        <v>D</v>
      </c>
    </row>
    <row r="84" spans="3:9" x14ac:dyDescent="0.35">
      <c r="C84" s="12" t="s">
        <v>17</v>
      </c>
      <c r="D84" s="12" t="s">
        <v>9</v>
      </c>
      <c r="E84" s="12" t="s">
        <v>11</v>
      </c>
      <c r="F84" s="12" t="s">
        <v>15</v>
      </c>
      <c r="G84" s="186">
        <v>197</v>
      </c>
      <c r="H84" s="186">
        <f>RANK(Table2[[#This Row],[Total Score]],Table2[[Gender]:[Total Score]],0)</f>
        <v>96</v>
      </c>
      <c r="I84" s="12" t="str">
        <f>_xlfn.XLOOKUP(Table2[[#This Row],[Total Score]],J:J,K:K,,-1)</f>
        <v>D</v>
      </c>
    </row>
    <row r="85" spans="3:9" x14ac:dyDescent="0.35">
      <c r="C85" s="12" t="s">
        <v>8</v>
      </c>
      <c r="D85" s="12" t="s">
        <v>18</v>
      </c>
      <c r="E85" s="12" t="s">
        <v>11</v>
      </c>
      <c r="F85" s="12" t="s">
        <v>15</v>
      </c>
      <c r="G85" s="186">
        <v>224</v>
      </c>
      <c r="H85" s="186">
        <f>RANK(Table2[[#This Row],[Total Score]],Table2[[Gender]:[Total Score]],0)</f>
        <v>53</v>
      </c>
      <c r="I85" s="12" t="str">
        <f>_xlfn.XLOOKUP(Table2[[#This Row],[Total Score]],J:J,K:K,,-1)</f>
        <v>C</v>
      </c>
    </row>
    <row r="86" spans="3:9" x14ac:dyDescent="0.35">
      <c r="C86" s="12" t="s">
        <v>17</v>
      </c>
      <c r="D86" s="12" t="s">
        <v>13</v>
      </c>
      <c r="E86" s="12" t="s">
        <v>20</v>
      </c>
      <c r="F86" s="12" t="s">
        <v>12</v>
      </c>
      <c r="G86" s="186">
        <v>205</v>
      </c>
      <c r="H86" s="186">
        <f>RANK(Table2[[#This Row],[Total Score]],Table2[[Gender]:[Total Score]],0)</f>
        <v>81</v>
      </c>
      <c r="I86" s="12" t="str">
        <f>_xlfn.XLOOKUP(Table2[[#This Row],[Total Score]],J:J,K:K,,-1)</f>
        <v>D</v>
      </c>
    </row>
    <row r="87" spans="3:9" x14ac:dyDescent="0.35">
      <c r="C87" s="12" t="s">
        <v>17</v>
      </c>
      <c r="D87" s="12" t="s">
        <v>18</v>
      </c>
      <c r="E87" s="12" t="s">
        <v>20</v>
      </c>
      <c r="F87" s="12" t="s">
        <v>12</v>
      </c>
      <c r="G87" s="186">
        <v>177</v>
      </c>
      <c r="H87" s="186">
        <f>RANK(Table2[[#This Row],[Total Score]],Table2[[Gender]:[Total Score]],0)</f>
        <v>117</v>
      </c>
      <c r="I87" s="12" t="str">
        <f>_xlfn.XLOOKUP(Table2[[#This Row],[Total Score]],J:J,K:K,,-1)</f>
        <v>F</v>
      </c>
    </row>
    <row r="88" spans="3:9" x14ac:dyDescent="0.35">
      <c r="C88" s="12" t="s">
        <v>17</v>
      </c>
      <c r="D88" s="12" t="s">
        <v>13</v>
      </c>
      <c r="E88" s="12" t="s">
        <v>20</v>
      </c>
      <c r="F88" s="12" t="s">
        <v>12</v>
      </c>
      <c r="G88" s="186">
        <v>185</v>
      </c>
      <c r="H88" s="186">
        <f>RANK(Table2[[#This Row],[Total Score]],Table2[[Gender]:[Total Score]],0)</f>
        <v>109</v>
      </c>
      <c r="I88" s="12" t="str">
        <f>_xlfn.XLOOKUP(Table2[[#This Row],[Total Score]],J:J,K:K,,-1)</f>
        <v>D</v>
      </c>
    </row>
    <row r="89" spans="3:9" x14ac:dyDescent="0.35">
      <c r="C89" s="12" t="s">
        <v>8</v>
      </c>
      <c r="D89" s="12" t="s">
        <v>18</v>
      </c>
      <c r="E89" s="12" t="s">
        <v>20</v>
      </c>
      <c r="F89" s="12" t="s">
        <v>12</v>
      </c>
      <c r="G89" s="186">
        <v>156</v>
      </c>
      <c r="H89" s="186">
        <f>RANK(Table2[[#This Row],[Total Score]],Table2[[Gender]:[Total Score]],0)</f>
        <v>143</v>
      </c>
      <c r="I89" s="12" t="str">
        <f>_xlfn.XLOOKUP(Table2[[#This Row],[Total Score]],J:J,K:K,,-1)</f>
        <v>F</v>
      </c>
    </row>
    <row r="90" spans="3:9" x14ac:dyDescent="0.35">
      <c r="C90" s="12" t="s">
        <v>17</v>
      </c>
      <c r="D90" s="12" t="s">
        <v>13</v>
      </c>
      <c r="E90" s="12" t="s">
        <v>11</v>
      </c>
      <c r="F90" s="12" t="s">
        <v>12</v>
      </c>
      <c r="G90" s="186">
        <v>205</v>
      </c>
      <c r="H90" s="186">
        <f>RANK(Table2[[#This Row],[Total Score]],Table2[[Gender]:[Total Score]],0)</f>
        <v>81</v>
      </c>
      <c r="I90" s="12" t="str">
        <f>_xlfn.XLOOKUP(Table2[[#This Row],[Total Score]],J:J,K:K,,-1)</f>
        <v>D</v>
      </c>
    </row>
    <row r="91" spans="3:9" x14ac:dyDescent="0.35">
      <c r="C91" s="12" t="s">
        <v>17</v>
      </c>
      <c r="D91" s="12" t="s">
        <v>21</v>
      </c>
      <c r="E91" s="12" t="s">
        <v>11</v>
      </c>
      <c r="F91" s="12" t="s">
        <v>15</v>
      </c>
      <c r="G91" s="186">
        <v>259</v>
      </c>
      <c r="H91" s="186">
        <f>RANK(Table2[[#This Row],[Total Score]],Table2[[Gender]:[Total Score]],0)</f>
        <v>9</v>
      </c>
      <c r="I91" s="12" t="str">
        <f>_xlfn.XLOOKUP(Table2[[#This Row],[Total Score]],J:J,K:K,,-1)</f>
        <v>B</v>
      </c>
    </row>
    <row r="92" spans="3:9" x14ac:dyDescent="0.35">
      <c r="C92" s="12" t="s">
        <v>8</v>
      </c>
      <c r="D92" s="12" t="s">
        <v>18</v>
      </c>
      <c r="E92" s="12" t="s">
        <v>20</v>
      </c>
      <c r="F92" s="12" t="s">
        <v>12</v>
      </c>
      <c r="G92" s="186">
        <v>201</v>
      </c>
      <c r="H92" s="186">
        <f>RANK(Table2[[#This Row],[Total Score]],Table2[[Gender]:[Total Score]],0)</f>
        <v>88</v>
      </c>
      <c r="I92" s="12" t="str">
        <f>_xlfn.XLOOKUP(Table2[[#This Row],[Total Score]],J:J,K:K,,-1)</f>
        <v>D</v>
      </c>
    </row>
    <row r="93" spans="3:9" x14ac:dyDescent="0.35">
      <c r="C93" s="12" t="s">
        <v>17</v>
      </c>
      <c r="D93" s="12" t="s">
        <v>18</v>
      </c>
      <c r="E93" s="12" t="s">
        <v>20</v>
      </c>
      <c r="F93" s="12" t="s">
        <v>12</v>
      </c>
      <c r="G93" s="186">
        <v>234</v>
      </c>
      <c r="H93" s="186">
        <f>RANK(Table2[[#This Row],[Total Score]],Table2[[Gender]:[Total Score]],0)</f>
        <v>38</v>
      </c>
      <c r="I93" s="12" t="str">
        <f>_xlfn.XLOOKUP(Table2[[#This Row],[Total Score]],J:J,K:K,,-1)</f>
        <v>C</v>
      </c>
    </row>
    <row r="94" spans="3:9" x14ac:dyDescent="0.35">
      <c r="C94" s="12" t="s">
        <v>8</v>
      </c>
      <c r="D94" s="12" t="s">
        <v>13</v>
      </c>
      <c r="E94" s="12" t="s">
        <v>11</v>
      </c>
      <c r="F94" s="12" t="s">
        <v>15</v>
      </c>
      <c r="G94" s="186">
        <v>218</v>
      </c>
      <c r="H94" s="186">
        <f>RANK(Table2[[#This Row],[Total Score]],Table2[[Gender]:[Total Score]],0)</f>
        <v>64</v>
      </c>
      <c r="I94" s="12" t="str">
        <f>_xlfn.XLOOKUP(Table2[[#This Row],[Total Score]],J:J,K:K,,-1)</f>
        <v>C</v>
      </c>
    </row>
    <row r="95" spans="3:9" x14ac:dyDescent="0.35">
      <c r="C95" s="12" t="s">
        <v>8</v>
      </c>
      <c r="D95" s="12" t="s">
        <v>21</v>
      </c>
      <c r="E95" s="12" t="s">
        <v>11</v>
      </c>
      <c r="F95" s="12" t="s">
        <v>12</v>
      </c>
      <c r="G95" s="186">
        <v>187</v>
      </c>
      <c r="H95" s="186">
        <f>RANK(Table2[[#This Row],[Total Score]],Table2[[Gender]:[Total Score]],0)</f>
        <v>107</v>
      </c>
      <c r="I95" s="12" t="str">
        <f>_xlfn.XLOOKUP(Table2[[#This Row],[Total Score]],J:J,K:K,,-1)</f>
        <v>D</v>
      </c>
    </row>
    <row r="96" spans="3:9" x14ac:dyDescent="0.35">
      <c r="C96" s="12" t="s">
        <v>17</v>
      </c>
      <c r="D96" s="12" t="s">
        <v>9</v>
      </c>
      <c r="E96" s="12" t="s">
        <v>11</v>
      </c>
      <c r="F96" s="12" t="s">
        <v>15</v>
      </c>
      <c r="G96" s="186">
        <v>174</v>
      </c>
      <c r="H96" s="186">
        <f>RANK(Table2[[#This Row],[Total Score]],Table2[[Gender]:[Total Score]],0)</f>
        <v>124</v>
      </c>
      <c r="I96" s="12" t="str">
        <f>_xlfn.XLOOKUP(Table2[[#This Row],[Total Score]],J:J,K:K,,-1)</f>
        <v>F</v>
      </c>
    </row>
    <row r="97" spans="3:9" x14ac:dyDescent="0.35">
      <c r="C97" s="12" t="s">
        <v>8</v>
      </c>
      <c r="D97" s="12" t="s">
        <v>9</v>
      </c>
      <c r="E97" s="12" t="s">
        <v>11</v>
      </c>
      <c r="F97" s="12" t="s">
        <v>12</v>
      </c>
      <c r="G97" s="186">
        <v>203</v>
      </c>
      <c r="H97" s="186">
        <f>RANK(Table2[[#This Row],[Total Score]],Table2[[Gender]:[Total Score]],0)</f>
        <v>86</v>
      </c>
      <c r="I97" s="12" t="str">
        <f>_xlfn.XLOOKUP(Table2[[#This Row],[Total Score]],J:J,K:K,,-1)</f>
        <v>D</v>
      </c>
    </row>
    <row r="98" spans="3:9" x14ac:dyDescent="0.35">
      <c r="C98" s="12" t="s">
        <v>8</v>
      </c>
      <c r="D98" s="12" t="s">
        <v>9</v>
      </c>
      <c r="E98" s="12" t="s">
        <v>11</v>
      </c>
      <c r="F98" s="12" t="s">
        <v>12</v>
      </c>
      <c r="G98" s="186">
        <v>244</v>
      </c>
      <c r="H98" s="186">
        <f>RANK(Table2[[#This Row],[Total Score]],Table2[[Gender]:[Total Score]],0)</f>
        <v>24</v>
      </c>
      <c r="I98" s="12" t="str">
        <f>_xlfn.XLOOKUP(Table2[[#This Row],[Total Score]],J:J,K:K,,-1)</f>
        <v>B</v>
      </c>
    </row>
    <row r="99" spans="3:9" x14ac:dyDescent="0.35">
      <c r="C99" s="12" t="s">
        <v>17</v>
      </c>
      <c r="D99" s="12" t="s">
        <v>18</v>
      </c>
      <c r="E99" s="12" t="s">
        <v>11</v>
      </c>
      <c r="F99" s="12" t="s">
        <v>12</v>
      </c>
      <c r="G99" s="186">
        <v>157</v>
      </c>
      <c r="H99" s="186">
        <f>RANK(Table2[[#This Row],[Total Score]],Table2[[Gender]:[Total Score]],0)</f>
        <v>142</v>
      </c>
      <c r="I99" s="12" t="str">
        <f>_xlfn.XLOOKUP(Table2[[#This Row],[Total Score]],J:J,K:K,,-1)</f>
        <v>F</v>
      </c>
    </row>
    <row r="100" spans="3:9" x14ac:dyDescent="0.35">
      <c r="C100" s="12" t="s">
        <v>17</v>
      </c>
      <c r="D100" s="12" t="s">
        <v>21</v>
      </c>
      <c r="E100" s="12" t="s">
        <v>20</v>
      </c>
      <c r="F100" s="12" t="s">
        <v>12</v>
      </c>
      <c r="G100" s="186">
        <v>163</v>
      </c>
      <c r="H100" s="186">
        <f>RANK(Table2[[#This Row],[Total Score]],Table2[[Gender]:[Total Score]],0)</f>
        <v>136</v>
      </c>
      <c r="I100" s="12" t="str">
        <f>_xlfn.XLOOKUP(Table2[[#This Row],[Total Score]],J:J,K:K,,-1)</f>
        <v>F</v>
      </c>
    </row>
    <row r="101" spans="3:9" x14ac:dyDescent="0.35">
      <c r="C101" s="12" t="s">
        <v>8</v>
      </c>
      <c r="D101" s="12" t="s">
        <v>9</v>
      </c>
      <c r="E101" s="12" t="s">
        <v>11</v>
      </c>
      <c r="F101" s="12" t="s">
        <v>15</v>
      </c>
      <c r="G101" s="186">
        <v>177</v>
      </c>
      <c r="H101" s="186">
        <f>RANK(Table2[[#This Row],[Total Score]],Table2[[Gender]:[Total Score]],0)</f>
        <v>117</v>
      </c>
      <c r="I101" s="12" t="str">
        <f>_xlfn.XLOOKUP(Table2[[#This Row],[Total Score]],J:J,K:K,,-1)</f>
        <v>F</v>
      </c>
    </row>
    <row r="102" spans="3:9" x14ac:dyDescent="0.35">
      <c r="C102" s="12" t="s">
        <v>8</v>
      </c>
      <c r="D102" s="12" t="s">
        <v>13</v>
      </c>
      <c r="E102" s="12" t="s">
        <v>11</v>
      </c>
      <c r="F102" s="12" t="s">
        <v>15</v>
      </c>
      <c r="G102" s="186">
        <v>248</v>
      </c>
      <c r="H102" s="186">
        <f>RANK(Table2[[#This Row],[Total Score]],Table2[[Gender]:[Total Score]],0)</f>
        <v>18</v>
      </c>
      <c r="I102" s="12" t="str">
        <f>_xlfn.XLOOKUP(Table2[[#This Row],[Total Score]],J:J,K:K,,-1)</f>
        <v>B</v>
      </c>
    </row>
    <row r="103" spans="3:9" x14ac:dyDescent="0.35">
      <c r="C103" s="12" t="s">
        <v>8</v>
      </c>
      <c r="D103" s="12" t="s">
        <v>21</v>
      </c>
      <c r="E103" s="12" t="s">
        <v>11</v>
      </c>
      <c r="F103" s="12" t="s">
        <v>15</v>
      </c>
      <c r="G103" s="186">
        <v>222</v>
      </c>
      <c r="H103" s="186">
        <f>RANK(Table2[[#This Row],[Total Score]],Table2[[Gender]:[Total Score]],0)</f>
        <v>55</v>
      </c>
      <c r="I103" s="12" t="str">
        <f>_xlfn.XLOOKUP(Table2[[#This Row],[Total Score]],J:J,K:K,,-1)</f>
        <v>C</v>
      </c>
    </row>
    <row r="104" spans="3:9" x14ac:dyDescent="0.35">
      <c r="C104" s="12" t="s">
        <v>17</v>
      </c>
      <c r="D104" s="12" t="s">
        <v>13</v>
      </c>
      <c r="E104" s="12" t="s">
        <v>20</v>
      </c>
      <c r="F104" s="12" t="s">
        <v>15</v>
      </c>
      <c r="G104" s="186">
        <v>177</v>
      </c>
      <c r="H104" s="186">
        <f>RANK(Table2[[#This Row],[Total Score]],Table2[[Gender]:[Total Score]],0)</f>
        <v>117</v>
      </c>
      <c r="I104" s="12" t="str">
        <f>_xlfn.XLOOKUP(Table2[[#This Row],[Total Score]],J:J,K:K,,-1)</f>
        <v>F</v>
      </c>
    </row>
    <row r="105" spans="3:9" x14ac:dyDescent="0.35">
      <c r="C105" s="12" t="s">
        <v>8</v>
      </c>
      <c r="D105" s="12" t="s">
        <v>13</v>
      </c>
      <c r="E105" s="12" t="s">
        <v>11</v>
      </c>
      <c r="F105" s="12" t="s">
        <v>12</v>
      </c>
      <c r="G105" s="186">
        <v>154</v>
      </c>
      <c r="H105" s="186">
        <f>RANK(Table2[[#This Row],[Total Score]],Table2[[Gender]:[Total Score]],0)</f>
        <v>147</v>
      </c>
      <c r="I105" s="12" t="str">
        <f>_xlfn.XLOOKUP(Table2[[#This Row],[Total Score]],J:J,K:K,,-1)</f>
        <v>F</v>
      </c>
    </row>
    <row r="106" spans="3:9" x14ac:dyDescent="0.35">
      <c r="C106" s="12" t="s">
        <v>17</v>
      </c>
      <c r="D106" s="12" t="s">
        <v>24</v>
      </c>
      <c r="E106" s="12" t="s">
        <v>20</v>
      </c>
      <c r="F106" s="12" t="s">
        <v>15</v>
      </c>
      <c r="G106" s="186">
        <v>241</v>
      </c>
      <c r="H106" s="186">
        <f>RANK(Table2[[#This Row],[Total Score]],Table2[[Gender]:[Total Score]],0)</f>
        <v>28</v>
      </c>
      <c r="I106" s="12" t="str">
        <f>_xlfn.XLOOKUP(Table2[[#This Row],[Total Score]],J:J,K:K,,-1)</f>
        <v>B</v>
      </c>
    </row>
    <row r="107" spans="3:9" x14ac:dyDescent="0.35">
      <c r="C107" s="12" t="s">
        <v>8</v>
      </c>
      <c r="D107" s="12" t="s">
        <v>18</v>
      </c>
      <c r="E107" s="12" t="s">
        <v>11</v>
      </c>
      <c r="F107" s="12" t="s">
        <v>15</v>
      </c>
      <c r="G107" s="186">
        <v>289</v>
      </c>
      <c r="H107" s="186">
        <f>RANK(Table2[[#This Row],[Total Score]],Table2[[Gender]:[Total Score]],0)</f>
        <v>2</v>
      </c>
      <c r="I107" s="12" t="str">
        <f>_xlfn.XLOOKUP(Table2[[#This Row],[Total Score]],J:J,K:K,,-1)</f>
        <v>A</v>
      </c>
    </row>
    <row r="108" spans="3:9" x14ac:dyDescent="0.35">
      <c r="C108" s="12" t="s">
        <v>17</v>
      </c>
      <c r="D108" s="12" t="s">
        <v>13</v>
      </c>
      <c r="E108" s="12" t="s">
        <v>20</v>
      </c>
      <c r="F108" s="12" t="s">
        <v>12</v>
      </c>
      <c r="G108" s="186">
        <v>220</v>
      </c>
      <c r="H108" s="186">
        <f>RANK(Table2[[#This Row],[Total Score]],Table2[[Gender]:[Total Score]],0)</f>
        <v>57</v>
      </c>
      <c r="I108" s="12" t="str">
        <f>_xlfn.XLOOKUP(Table2[[#This Row],[Total Score]],J:J,K:K,,-1)</f>
        <v>C</v>
      </c>
    </row>
    <row r="109" spans="3:9" x14ac:dyDescent="0.35">
      <c r="C109" s="12" t="s">
        <v>17</v>
      </c>
      <c r="D109" s="12" t="s">
        <v>21</v>
      </c>
      <c r="E109" s="12" t="s">
        <v>11</v>
      </c>
      <c r="F109" s="12" t="s">
        <v>12</v>
      </c>
      <c r="G109" s="186">
        <v>201</v>
      </c>
      <c r="H109" s="186">
        <f>RANK(Table2[[#This Row],[Total Score]],Table2[[Gender]:[Total Score]],0)</f>
        <v>88</v>
      </c>
      <c r="I109" s="12" t="str">
        <f>_xlfn.XLOOKUP(Table2[[#This Row],[Total Score]],J:J,K:K,,-1)</f>
        <v>D</v>
      </c>
    </row>
    <row r="110" spans="3:9" x14ac:dyDescent="0.35">
      <c r="C110" s="12" t="s">
        <v>8</v>
      </c>
      <c r="D110" s="12" t="s">
        <v>21</v>
      </c>
      <c r="E110" s="12" t="s">
        <v>11</v>
      </c>
      <c r="F110" s="12" t="s">
        <v>12</v>
      </c>
      <c r="G110" s="186">
        <v>274</v>
      </c>
      <c r="H110" s="186">
        <f>RANK(Table2[[#This Row],[Total Score]],Table2[[Gender]:[Total Score]],0)</f>
        <v>3</v>
      </c>
      <c r="I110" s="12" t="str">
        <f>_xlfn.XLOOKUP(Table2[[#This Row],[Total Score]],J:J,K:K,,-1)</f>
        <v>A</v>
      </c>
    </row>
    <row r="111" spans="3:9" x14ac:dyDescent="0.35">
      <c r="C111" s="12" t="s">
        <v>8</v>
      </c>
      <c r="D111" s="12" t="s">
        <v>24</v>
      </c>
      <c r="E111" s="12" t="s">
        <v>11</v>
      </c>
      <c r="F111" s="12" t="s">
        <v>12</v>
      </c>
      <c r="G111" s="186">
        <v>236</v>
      </c>
      <c r="H111" s="186">
        <f>RANK(Table2[[#This Row],[Total Score]],Table2[[Gender]:[Total Score]],0)</f>
        <v>35</v>
      </c>
      <c r="I111" s="12" t="str">
        <f>_xlfn.XLOOKUP(Table2[[#This Row],[Total Score]],J:J,K:K,,-1)</f>
        <v>C</v>
      </c>
    </row>
    <row r="112" spans="3:9" x14ac:dyDescent="0.35">
      <c r="C112" s="12" t="s">
        <v>8</v>
      </c>
      <c r="D112" s="12" t="s">
        <v>18</v>
      </c>
      <c r="E112" s="12" t="s">
        <v>11</v>
      </c>
      <c r="F112" s="12" t="s">
        <v>12</v>
      </c>
      <c r="G112" s="186">
        <v>179</v>
      </c>
      <c r="H112" s="186">
        <f>RANK(Table2[[#This Row],[Total Score]],Table2[[Gender]:[Total Score]],0)</f>
        <v>116</v>
      </c>
      <c r="I112" s="12" t="str">
        <f>_xlfn.XLOOKUP(Table2[[#This Row],[Total Score]],J:J,K:K,,-1)</f>
        <v>F</v>
      </c>
    </row>
    <row r="113" spans="3:9" x14ac:dyDescent="0.35">
      <c r="C113" s="12" t="s">
        <v>17</v>
      </c>
      <c r="D113" s="12" t="s">
        <v>18</v>
      </c>
      <c r="E113" s="12" t="s">
        <v>11</v>
      </c>
      <c r="F113" s="12" t="s">
        <v>12</v>
      </c>
      <c r="G113" s="186">
        <v>183</v>
      </c>
      <c r="H113" s="186">
        <f>RANK(Table2[[#This Row],[Total Score]],Table2[[Gender]:[Total Score]],0)</f>
        <v>111</v>
      </c>
      <c r="I113" s="12" t="str">
        <f>_xlfn.XLOOKUP(Table2[[#This Row],[Total Score]],J:J,K:K,,-1)</f>
        <v>D</v>
      </c>
    </row>
    <row r="114" spans="3:9" x14ac:dyDescent="0.35">
      <c r="C114" s="12" t="s">
        <v>17</v>
      </c>
      <c r="D114" s="12" t="s">
        <v>18</v>
      </c>
      <c r="E114" s="12" t="s">
        <v>11</v>
      </c>
      <c r="F114" s="12" t="s">
        <v>12</v>
      </c>
      <c r="G114" s="186">
        <v>155</v>
      </c>
      <c r="H114" s="186">
        <f>RANK(Table2[[#This Row],[Total Score]],Table2[[Gender]:[Total Score]],0)</f>
        <v>144</v>
      </c>
      <c r="I114" s="12" t="str">
        <f>_xlfn.XLOOKUP(Table2[[#This Row],[Total Score]],J:J,K:K,,-1)</f>
        <v>F</v>
      </c>
    </row>
    <row r="115" spans="3:9" x14ac:dyDescent="0.35">
      <c r="C115" s="12" t="s">
        <v>8</v>
      </c>
      <c r="D115" s="12" t="s">
        <v>21</v>
      </c>
      <c r="E115" s="12" t="s">
        <v>11</v>
      </c>
      <c r="F115" s="12" t="s">
        <v>12</v>
      </c>
      <c r="G115" s="186">
        <v>228</v>
      </c>
      <c r="H115" s="186">
        <f>RANK(Table2[[#This Row],[Total Score]],Table2[[Gender]:[Total Score]],0)</f>
        <v>48</v>
      </c>
      <c r="I115" s="12" t="str">
        <f>_xlfn.XLOOKUP(Table2[[#This Row],[Total Score]],J:J,K:K,,-1)</f>
        <v>C</v>
      </c>
    </row>
    <row r="116" spans="3:9" x14ac:dyDescent="0.35">
      <c r="C116" s="12" t="s">
        <v>17</v>
      </c>
      <c r="D116" s="12" t="s">
        <v>13</v>
      </c>
      <c r="E116" s="12" t="s">
        <v>11</v>
      </c>
      <c r="F116" s="12" t="s">
        <v>12</v>
      </c>
      <c r="G116" s="186">
        <v>209</v>
      </c>
      <c r="H116" s="186">
        <f>RANK(Table2[[#This Row],[Total Score]],Table2[[Gender]:[Total Score]],0)</f>
        <v>75</v>
      </c>
      <c r="I116" s="12" t="str">
        <f>_xlfn.XLOOKUP(Table2[[#This Row],[Total Score]],J:J,K:K,,-1)</f>
        <v>D</v>
      </c>
    </row>
    <row r="117" spans="3:9" x14ac:dyDescent="0.35">
      <c r="C117" s="12" t="s">
        <v>8</v>
      </c>
      <c r="D117" s="12" t="s">
        <v>13</v>
      </c>
      <c r="E117" s="12" t="s">
        <v>11</v>
      </c>
      <c r="F117" s="12" t="s">
        <v>15</v>
      </c>
      <c r="G117" s="186">
        <v>150</v>
      </c>
      <c r="H117" s="186">
        <f>RANK(Table2[[#This Row],[Total Score]],Table2[[Gender]:[Total Score]],0)</f>
        <v>149</v>
      </c>
      <c r="I117" s="12" t="str">
        <f>_xlfn.XLOOKUP(Table2[[#This Row],[Total Score]],J:J,K:K,,-1)</f>
        <v>F</v>
      </c>
    </row>
    <row r="118" spans="3:9" x14ac:dyDescent="0.35">
      <c r="C118" s="12" t="s">
        <v>17</v>
      </c>
      <c r="D118" s="12" t="s">
        <v>21</v>
      </c>
      <c r="E118" s="12" t="s">
        <v>11</v>
      </c>
      <c r="F118" s="12" t="s">
        <v>12</v>
      </c>
      <c r="G118" s="186">
        <v>248</v>
      </c>
      <c r="H118" s="186">
        <f>RANK(Table2[[#This Row],[Total Score]],Table2[[Gender]:[Total Score]],0)</f>
        <v>18</v>
      </c>
      <c r="I118" s="12" t="str">
        <f>_xlfn.XLOOKUP(Table2[[#This Row],[Total Score]],J:J,K:K,,-1)</f>
        <v>B</v>
      </c>
    </row>
    <row r="119" spans="3:9" x14ac:dyDescent="0.35">
      <c r="C119" s="12" t="s">
        <v>8</v>
      </c>
      <c r="D119" s="12" t="s">
        <v>21</v>
      </c>
      <c r="E119" s="12" t="s">
        <v>11</v>
      </c>
      <c r="F119" s="12" t="s">
        <v>15</v>
      </c>
      <c r="G119" s="186">
        <v>260</v>
      </c>
      <c r="H119" s="186">
        <f>RANK(Table2[[#This Row],[Total Score]],Table2[[Gender]:[Total Score]],0)</f>
        <v>7</v>
      </c>
      <c r="I119" s="12" t="str">
        <f>_xlfn.XLOOKUP(Table2[[#This Row],[Total Score]],J:J,K:K,,-1)</f>
        <v>B</v>
      </c>
    </row>
    <row r="120" spans="3:9" x14ac:dyDescent="0.35">
      <c r="C120" s="12" t="s">
        <v>8</v>
      </c>
      <c r="D120" s="12" t="s">
        <v>9</v>
      </c>
      <c r="E120" s="12" t="s">
        <v>20</v>
      </c>
      <c r="F120" s="12" t="s">
        <v>12</v>
      </c>
      <c r="G120" s="186">
        <v>232</v>
      </c>
      <c r="H120" s="186">
        <f>RANK(Table2[[#This Row],[Total Score]],Table2[[Gender]:[Total Score]],0)</f>
        <v>39</v>
      </c>
      <c r="I120" s="12" t="str">
        <f>_xlfn.XLOOKUP(Table2[[#This Row],[Total Score]],J:J,K:K,,-1)</f>
        <v>C</v>
      </c>
    </row>
    <row r="121" spans="3:9" x14ac:dyDescent="0.35">
      <c r="C121" s="12" t="s">
        <v>17</v>
      </c>
      <c r="D121" s="12" t="s">
        <v>13</v>
      </c>
      <c r="E121" s="12" t="s">
        <v>20</v>
      </c>
      <c r="F121" s="12" t="s">
        <v>15</v>
      </c>
      <c r="G121" s="186">
        <v>160</v>
      </c>
      <c r="H121" s="186">
        <f>RANK(Table2[[#This Row],[Total Score]],Table2[[Gender]:[Total Score]],0)</f>
        <v>139</v>
      </c>
      <c r="I121" s="12" t="str">
        <f>_xlfn.XLOOKUP(Table2[[#This Row],[Total Score]],J:J,K:K,,-1)</f>
        <v>F</v>
      </c>
    </row>
    <row r="122" spans="3:9" x14ac:dyDescent="0.35">
      <c r="C122" s="12" t="s">
        <v>8</v>
      </c>
      <c r="D122" s="12" t="s">
        <v>9</v>
      </c>
      <c r="E122" s="12" t="s">
        <v>11</v>
      </c>
      <c r="F122" s="12" t="s">
        <v>12</v>
      </c>
      <c r="G122" s="186">
        <v>231</v>
      </c>
      <c r="H122" s="186">
        <f>RANK(Table2[[#This Row],[Total Score]],Table2[[Gender]:[Total Score]],0)</f>
        <v>41</v>
      </c>
      <c r="I122" s="12" t="str">
        <f>_xlfn.XLOOKUP(Table2[[#This Row],[Total Score]],J:J,K:K,,-1)</f>
        <v>C</v>
      </c>
    </row>
    <row r="123" spans="3:9" x14ac:dyDescent="0.35">
      <c r="C123" s="12" t="s">
        <v>17</v>
      </c>
      <c r="D123" s="12" t="s">
        <v>21</v>
      </c>
      <c r="E123" s="12" t="s">
        <v>11</v>
      </c>
      <c r="F123" s="12" t="s">
        <v>12</v>
      </c>
      <c r="G123" s="186">
        <v>196</v>
      </c>
      <c r="H123" s="186">
        <f>RANK(Table2[[#This Row],[Total Score]],Table2[[Gender]:[Total Score]],0)</f>
        <v>97</v>
      </c>
      <c r="I123" s="12" t="str">
        <f>_xlfn.XLOOKUP(Table2[[#This Row],[Total Score]],J:J,K:K,,-1)</f>
        <v>D</v>
      </c>
    </row>
    <row r="124" spans="3:9" x14ac:dyDescent="0.35">
      <c r="C124" s="12" t="s">
        <v>17</v>
      </c>
      <c r="D124" s="12" t="s">
        <v>13</v>
      </c>
      <c r="E124" s="12" t="s">
        <v>11</v>
      </c>
      <c r="F124" s="12" t="s">
        <v>12</v>
      </c>
      <c r="G124" s="186">
        <v>202</v>
      </c>
      <c r="H124" s="186">
        <f>RANK(Table2[[#This Row],[Total Score]],Table2[[Gender]:[Total Score]],0)</f>
        <v>87</v>
      </c>
      <c r="I124" s="12" t="str">
        <f>_xlfn.XLOOKUP(Table2[[#This Row],[Total Score]],J:J,K:K,,-1)</f>
        <v>D</v>
      </c>
    </row>
    <row r="125" spans="3:9" x14ac:dyDescent="0.35">
      <c r="C125" s="12" t="s">
        <v>8</v>
      </c>
      <c r="D125" s="12" t="s">
        <v>13</v>
      </c>
      <c r="E125" s="12" t="s">
        <v>20</v>
      </c>
      <c r="F125" s="12" t="s">
        <v>15</v>
      </c>
      <c r="G125" s="186">
        <v>170</v>
      </c>
      <c r="H125" s="186">
        <f>RANK(Table2[[#This Row],[Total Score]],Table2[[Gender]:[Total Score]],0)</f>
        <v>132</v>
      </c>
      <c r="I125" s="12" t="str">
        <f>_xlfn.XLOOKUP(Table2[[#This Row],[Total Score]],J:J,K:K,,-1)</f>
        <v>F</v>
      </c>
    </row>
    <row r="126" spans="3:9" x14ac:dyDescent="0.35">
      <c r="C126" s="12" t="s">
        <v>8</v>
      </c>
      <c r="D126" s="12" t="s">
        <v>13</v>
      </c>
      <c r="E126" s="12" t="s">
        <v>11</v>
      </c>
      <c r="F126" s="12" t="s">
        <v>15</v>
      </c>
      <c r="G126" s="186">
        <v>228</v>
      </c>
      <c r="H126" s="186">
        <f>RANK(Table2[[#This Row],[Total Score]],Table2[[Gender]:[Total Score]],0)</f>
        <v>48</v>
      </c>
      <c r="I126" s="12" t="str">
        <f>_xlfn.XLOOKUP(Table2[[#This Row],[Total Score]],J:J,K:K,,-1)</f>
        <v>C</v>
      </c>
    </row>
    <row r="127" spans="3:9" x14ac:dyDescent="0.35">
      <c r="C127" s="12" t="s">
        <v>8</v>
      </c>
      <c r="D127" s="12" t="s">
        <v>13</v>
      </c>
      <c r="E127" s="12" t="s">
        <v>20</v>
      </c>
      <c r="F127" s="12" t="s">
        <v>15</v>
      </c>
      <c r="G127" s="186">
        <v>113</v>
      </c>
      <c r="H127" s="186">
        <f>RANK(Table2[[#This Row],[Total Score]],Table2[[Gender]:[Total Score]],0)</f>
        <v>172</v>
      </c>
      <c r="I127" s="12" t="str">
        <f>_xlfn.XLOOKUP(Table2[[#This Row],[Total Score]],J:J,K:K,,-1)</f>
        <v>F</v>
      </c>
    </row>
    <row r="128" spans="3:9" x14ac:dyDescent="0.35">
      <c r="C128" s="12" t="s">
        <v>8</v>
      </c>
      <c r="D128" s="12" t="s">
        <v>13</v>
      </c>
      <c r="E128" s="12" t="s">
        <v>11</v>
      </c>
      <c r="F128" s="12" t="s">
        <v>12</v>
      </c>
      <c r="G128" s="186">
        <v>168</v>
      </c>
      <c r="H128" s="186">
        <f>RANK(Table2[[#This Row],[Total Score]],Table2[[Gender]:[Total Score]],0)</f>
        <v>134</v>
      </c>
      <c r="I128" s="12" t="str">
        <f>_xlfn.XLOOKUP(Table2[[#This Row],[Total Score]],J:J,K:K,,-1)</f>
        <v>F</v>
      </c>
    </row>
    <row r="129" spans="3:9" x14ac:dyDescent="0.35">
      <c r="C129" s="12" t="s">
        <v>8</v>
      </c>
      <c r="D129" s="12" t="s">
        <v>9</v>
      </c>
      <c r="E129" s="12" t="s">
        <v>11</v>
      </c>
      <c r="F129" s="12" t="s">
        <v>12</v>
      </c>
      <c r="G129" s="186">
        <v>196</v>
      </c>
      <c r="H129" s="186">
        <f>RANK(Table2[[#This Row],[Total Score]],Table2[[Gender]:[Total Score]],0)</f>
        <v>97</v>
      </c>
      <c r="I129" s="12" t="str">
        <f>_xlfn.XLOOKUP(Table2[[#This Row],[Total Score]],J:J,K:K,,-1)</f>
        <v>D</v>
      </c>
    </row>
    <row r="130" spans="3:9" x14ac:dyDescent="0.35">
      <c r="C130" s="12" t="s">
        <v>8</v>
      </c>
      <c r="D130" s="12" t="s">
        <v>9</v>
      </c>
      <c r="E130" s="12" t="s">
        <v>20</v>
      </c>
      <c r="F130" s="12" t="s">
        <v>15</v>
      </c>
      <c r="G130" s="186">
        <v>186</v>
      </c>
      <c r="H130" s="186">
        <f>RANK(Table2[[#This Row],[Total Score]],Table2[[Gender]:[Total Score]],0)</f>
        <v>108</v>
      </c>
      <c r="I130" s="12" t="str">
        <f>_xlfn.XLOOKUP(Table2[[#This Row],[Total Score]],J:J,K:K,,-1)</f>
        <v>D</v>
      </c>
    </row>
    <row r="131" spans="3:9" x14ac:dyDescent="0.35">
      <c r="C131" s="12" t="s">
        <v>8</v>
      </c>
      <c r="D131" s="12" t="s">
        <v>24</v>
      </c>
      <c r="E131" s="12" t="s">
        <v>11</v>
      </c>
      <c r="F131" s="12" t="s">
        <v>15</v>
      </c>
      <c r="G131" s="186">
        <v>250</v>
      </c>
      <c r="H131" s="186">
        <f>RANK(Table2[[#This Row],[Total Score]],Table2[[Gender]:[Total Score]],0)</f>
        <v>15</v>
      </c>
      <c r="I131" s="12" t="str">
        <f>_xlfn.XLOOKUP(Table2[[#This Row],[Total Score]],J:J,K:K,,-1)</f>
        <v>B</v>
      </c>
    </row>
    <row r="132" spans="3:9" x14ac:dyDescent="0.35">
      <c r="C132" s="12" t="s">
        <v>8</v>
      </c>
      <c r="D132" s="12" t="s">
        <v>9</v>
      </c>
      <c r="E132" s="12" t="s">
        <v>11</v>
      </c>
      <c r="F132" s="12" t="s">
        <v>15</v>
      </c>
      <c r="G132" s="186">
        <v>204</v>
      </c>
      <c r="H132" s="186">
        <f>RANK(Table2[[#This Row],[Total Score]],Table2[[Gender]:[Total Score]],0)</f>
        <v>83</v>
      </c>
      <c r="I132" s="12" t="str">
        <f>_xlfn.XLOOKUP(Table2[[#This Row],[Total Score]],J:J,K:K,,-1)</f>
        <v>D</v>
      </c>
    </row>
    <row r="133" spans="3:9" x14ac:dyDescent="0.35">
      <c r="C133" s="12" t="s">
        <v>17</v>
      </c>
      <c r="D133" s="12" t="s">
        <v>21</v>
      </c>
      <c r="E133" s="12" t="s">
        <v>20</v>
      </c>
      <c r="F133" s="12" t="s">
        <v>15</v>
      </c>
      <c r="G133" s="186">
        <v>173</v>
      </c>
      <c r="H133" s="186">
        <f>RANK(Table2[[#This Row],[Total Score]],Table2[[Gender]:[Total Score]],0)</f>
        <v>126</v>
      </c>
      <c r="I133" s="12" t="str">
        <f>_xlfn.XLOOKUP(Table2[[#This Row],[Total Score]],J:J,K:K,,-1)</f>
        <v>F</v>
      </c>
    </row>
    <row r="134" spans="3:9" x14ac:dyDescent="0.35">
      <c r="C134" s="12" t="s">
        <v>8</v>
      </c>
      <c r="D134" s="12" t="s">
        <v>9</v>
      </c>
      <c r="E134" s="12" t="s">
        <v>20</v>
      </c>
      <c r="F134" s="12" t="s">
        <v>15</v>
      </c>
      <c r="G134" s="186">
        <v>252</v>
      </c>
      <c r="H134" s="186">
        <f>RANK(Table2[[#This Row],[Total Score]],Table2[[Gender]:[Total Score]],0)</f>
        <v>12</v>
      </c>
      <c r="I134" s="12" t="str">
        <f>_xlfn.XLOOKUP(Table2[[#This Row],[Total Score]],J:J,K:K,,-1)</f>
        <v>B</v>
      </c>
    </row>
    <row r="135" spans="3:9" x14ac:dyDescent="0.35">
      <c r="C135" s="12" t="s">
        <v>17</v>
      </c>
      <c r="D135" s="12" t="s">
        <v>24</v>
      </c>
      <c r="E135" s="12" t="s">
        <v>11</v>
      </c>
      <c r="F135" s="12" t="s">
        <v>15</v>
      </c>
      <c r="G135" s="186">
        <v>176</v>
      </c>
      <c r="H135" s="186">
        <f>RANK(Table2[[#This Row],[Total Score]],Table2[[Gender]:[Total Score]],0)</f>
        <v>120</v>
      </c>
      <c r="I135" s="12" t="str">
        <f>_xlfn.XLOOKUP(Table2[[#This Row],[Total Score]],J:J,K:K,,-1)</f>
        <v>F</v>
      </c>
    </row>
    <row r="136" spans="3:9" x14ac:dyDescent="0.35">
      <c r="C136" s="12" t="s">
        <v>17</v>
      </c>
      <c r="D136" s="12" t="s">
        <v>18</v>
      </c>
      <c r="E136" s="12" t="s">
        <v>20</v>
      </c>
      <c r="F136" s="12" t="s">
        <v>12</v>
      </c>
      <c r="G136" s="186">
        <v>144</v>
      </c>
      <c r="H136" s="186">
        <f>RANK(Table2[[#This Row],[Total Score]],Table2[[Gender]:[Total Score]],0)</f>
        <v>160</v>
      </c>
      <c r="I136" s="12" t="str">
        <f>_xlfn.XLOOKUP(Table2[[#This Row],[Total Score]],J:J,K:K,,-1)</f>
        <v>F</v>
      </c>
    </row>
    <row r="137" spans="3:9" x14ac:dyDescent="0.35">
      <c r="C137" s="12" t="s">
        <v>17</v>
      </c>
      <c r="D137" s="12" t="s">
        <v>21</v>
      </c>
      <c r="E137" s="12" t="s">
        <v>11</v>
      </c>
      <c r="F137" s="12" t="s">
        <v>12</v>
      </c>
      <c r="G137" s="186">
        <v>146</v>
      </c>
      <c r="H137" s="186">
        <f>RANK(Table2[[#This Row],[Total Score]],Table2[[Gender]:[Total Score]],0)</f>
        <v>154</v>
      </c>
      <c r="I137" s="12" t="str">
        <f>_xlfn.XLOOKUP(Table2[[#This Row],[Total Score]],J:J,K:K,,-1)</f>
        <v>F</v>
      </c>
    </row>
    <row r="138" spans="3:9" x14ac:dyDescent="0.35">
      <c r="C138" s="12" t="s">
        <v>17</v>
      </c>
      <c r="D138" s="12" t="s">
        <v>21</v>
      </c>
      <c r="E138" s="12" t="s">
        <v>11</v>
      </c>
      <c r="F138" s="12" t="s">
        <v>15</v>
      </c>
      <c r="G138" s="186">
        <v>208</v>
      </c>
      <c r="H138" s="186">
        <f>RANK(Table2[[#This Row],[Total Score]],Table2[[Gender]:[Total Score]],0)</f>
        <v>76</v>
      </c>
      <c r="I138" s="12" t="str">
        <f>_xlfn.XLOOKUP(Table2[[#This Row],[Total Score]],J:J,K:K,,-1)</f>
        <v>D</v>
      </c>
    </row>
    <row r="139" spans="3:9" x14ac:dyDescent="0.35">
      <c r="C139" s="12" t="s">
        <v>8</v>
      </c>
      <c r="D139" s="12" t="s">
        <v>13</v>
      </c>
      <c r="E139" s="12" t="s">
        <v>11</v>
      </c>
      <c r="F139" s="12" t="s">
        <v>15</v>
      </c>
      <c r="G139" s="186">
        <v>252</v>
      </c>
      <c r="H139" s="186">
        <f>RANK(Table2[[#This Row],[Total Score]],Table2[[Gender]:[Total Score]],0)</f>
        <v>12</v>
      </c>
      <c r="I139" s="12" t="str">
        <f>_xlfn.XLOOKUP(Table2[[#This Row],[Total Score]],J:J,K:K,,-1)</f>
        <v>B</v>
      </c>
    </row>
    <row r="140" spans="3:9" x14ac:dyDescent="0.35">
      <c r="C140" s="12" t="s">
        <v>8</v>
      </c>
      <c r="D140" s="12" t="s">
        <v>21</v>
      </c>
      <c r="E140" s="12" t="s">
        <v>11</v>
      </c>
      <c r="F140" s="12" t="s">
        <v>12</v>
      </c>
      <c r="G140" s="186">
        <v>160</v>
      </c>
      <c r="H140" s="186">
        <f>RANK(Table2[[#This Row],[Total Score]],Table2[[Gender]:[Total Score]],0)</f>
        <v>139</v>
      </c>
      <c r="I140" s="12" t="str">
        <f>_xlfn.XLOOKUP(Table2[[#This Row],[Total Score]],J:J,K:K,,-1)</f>
        <v>F</v>
      </c>
    </row>
    <row r="141" spans="3:9" x14ac:dyDescent="0.35">
      <c r="C141" s="12" t="s">
        <v>17</v>
      </c>
      <c r="D141" s="12" t="s">
        <v>21</v>
      </c>
      <c r="E141" s="12" t="s">
        <v>11</v>
      </c>
      <c r="F141" s="12" t="s">
        <v>15</v>
      </c>
      <c r="G141" s="186">
        <v>245</v>
      </c>
      <c r="H141" s="186">
        <f>RANK(Table2[[#This Row],[Total Score]],Table2[[Gender]:[Total Score]],0)</f>
        <v>23</v>
      </c>
      <c r="I141" s="12" t="str">
        <f>_xlfn.XLOOKUP(Table2[[#This Row],[Total Score]],J:J,K:K,,-1)</f>
        <v>B</v>
      </c>
    </row>
    <row r="142" spans="3:9" x14ac:dyDescent="0.35">
      <c r="C142" s="12" t="s">
        <v>8</v>
      </c>
      <c r="D142" s="12" t="s">
        <v>21</v>
      </c>
      <c r="E142" s="12" t="s">
        <v>11</v>
      </c>
      <c r="F142" s="12" t="s">
        <v>12</v>
      </c>
      <c r="G142" s="186">
        <v>214</v>
      </c>
      <c r="H142" s="186">
        <f>RANK(Table2[[#This Row],[Total Score]],Table2[[Gender]:[Total Score]],0)</f>
        <v>70</v>
      </c>
      <c r="I142" s="12" t="str">
        <f>_xlfn.XLOOKUP(Table2[[#This Row],[Total Score]],J:J,K:K,,-1)</f>
        <v>C</v>
      </c>
    </row>
    <row r="143" spans="3:9" x14ac:dyDescent="0.35">
      <c r="C143" s="12" t="s">
        <v>8</v>
      </c>
      <c r="D143" s="12" t="s">
        <v>9</v>
      </c>
      <c r="E143" s="12" t="s">
        <v>20</v>
      </c>
      <c r="F143" s="12" t="s">
        <v>15</v>
      </c>
      <c r="G143" s="186">
        <v>191</v>
      </c>
      <c r="H143" s="186">
        <f>RANK(Table2[[#This Row],[Total Score]],Table2[[Gender]:[Total Score]],0)</f>
        <v>105</v>
      </c>
      <c r="I143" s="12" t="str">
        <f>_xlfn.XLOOKUP(Table2[[#This Row],[Total Score]],J:J,K:K,,-1)</f>
        <v>D</v>
      </c>
    </row>
    <row r="144" spans="3:9" x14ac:dyDescent="0.35">
      <c r="C144" s="12" t="s">
        <v>8</v>
      </c>
      <c r="D144" s="12" t="s">
        <v>9</v>
      </c>
      <c r="E144" s="12" t="s">
        <v>20</v>
      </c>
      <c r="F144" s="12" t="s">
        <v>12</v>
      </c>
      <c r="G144" s="186">
        <v>162</v>
      </c>
      <c r="H144" s="186">
        <f>RANK(Table2[[#This Row],[Total Score]],Table2[[Gender]:[Total Score]],0)</f>
        <v>137</v>
      </c>
      <c r="I144" s="12" t="str">
        <f>_xlfn.XLOOKUP(Table2[[#This Row],[Total Score]],J:J,K:K,,-1)</f>
        <v>F</v>
      </c>
    </row>
    <row r="145" spans="3:9" x14ac:dyDescent="0.35">
      <c r="C145" s="12" t="s">
        <v>8</v>
      </c>
      <c r="D145" s="12" t="s">
        <v>9</v>
      </c>
      <c r="E145" s="12" t="s">
        <v>11</v>
      </c>
      <c r="F145" s="12" t="s">
        <v>15</v>
      </c>
      <c r="G145" s="186">
        <v>127</v>
      </c>
      <c r="H145" s="186">
        <f>RANK(Table2[[#This Row],[Total Score]],Table2[[Gender]:[Total Score]],0)</f>
        <v>168</v>
      </c>
      <c r="I145" s="12" t="str">
        <f>_xlfn.XLOOKUP(Table2[[#This Row],[Total Score]],J:J,K:K,,-1)</f>
        <v>F</v>
      </c>
    </row>
    <row r="146" spans="3:9" x14ac:dyDescent="0.35">
      <c r="C146" s="12" t="s">
        <v>8</v>
      </c>
      <c r="D146" s="12" t="s">
        <v>24</v>
      </c>
      <c r="E146" s="12" t="s">
        <v>20</v>
      </c>
      <c r="F146" s="12" t="s">
        <v>12</v>
      </c>
      <c r="G146" s="186">
        <v>228</v>
      </c>
      <c r="H146" s="186">
        <f>RANK(Table2[[#This Row],[Total Score]],Table2[[Gender]:[Total Score]],0)</f>
        <v>48</v>
      </c>
      <c r="I146" s="12" t="str">
        <f>_xlfn.XLOOKUP(Table2[[#This Row],[Total Score]],J:J,K:K,,-1)</f>
        <v>C</v>
      </c>
    </row>
    <row r="147" spans="3:9" x14ac:dyDescent="0.35">
      <c r="C147" s="12" t="s">
        <v>17</v>
      </c>
      <c r="D147" s="12" t="s">
        <v>24</v>
      </c>
      <c r="E147" s="12" t="s">
        <v>11</v>
      </c>
      <c r="F147" s="12" t="s">
        <v>15</v>
      </c>
      <c r="G147" s="186">
        <v>250</v>
      </c>
      <c r="H147" s="186">
        <f>RANK(Table2[[#This Row],[Total Score]],Table2[[Gender]:[Total Score]],0)</f>
        <v>15</v>
      </c>
      <c r="I147" s="12" t="str">
        <f>_xlfn.XLOOKUP(Table2[[#This Row],[Total Score]],J:J,K:K,,-1)</f>
        <v>B</v>
      </c>
    </row>
    <row r="148" spans="3:9" x14ac:dyDescent="0.35">
      <c r="C148" s="12" t="s">
        <v>17</v>
      </c>
      <c r="D148" s="12" t="s">
        <v>13</v>
      </c>
      <c r="E148" s="12" t="s">
        <v>11</v>
      </c>
      <c r="F148" s="12" t="s">
        <v>15</v>
      </c>
      <c r="G148" s="186">
        <v>208</v>
      </c>
      <c r="H148" s="186">
        <f>RANK(Table2[[#This Row],[Total Score]],Table2[[Gender]:[Total Score]],0)</f>
        <v>76</v>
      </c>
      <c r="I148" s="12" t="str">
        <f>_xlfn.XLOOKUP(Table2[[#This Row],[Total Score]],J:J,K:K,,-1)</f>
        <v>D</v>
      </c>
    </row>
    <row r="149" spans="3:9" x14ac:dyDescent="0.35">
      <c r="C149" s="12" t="s">
        <v>17</v>
      </c>
      <c r="D149" s="12" t="s">
        <v>13</v>
      </c>
      <c r="E149" s="12" t="s">
        <v>11</v>
      </c>
      <c r="F149" s="12" t="s">
        <v>15</v>
      </c>
      <c r="G149" s="186">
        <v>229</v>
      </c>
      <c r="H149" s="186">
        <f>RANK(Table2[[#This Row],[Total Score]],Table2[[Gender]:[Total Score]],0)</f>
        <v>46</v>
      </c>
      <c r="I149" s="12" t="str">
        <f>_xlfn.XLOOKUP(Table2[[#This Row],[Total Score]],J:J,K:K,,-1)</f>
        <v>C</v>
      </c>
    </row>
    <row r="150" spans="3:9" x14ac:dyDescent="0.35">
      <c r="C150" s="12" t="s">
        <v>17</v>
      </c>
      <c r="D150" s="12" t="s">
        <v>18</v>
      </c>
      <c r="E150" s="12" t="s">
        <v>11</v>
      </c>
      <c r="F150" s="12" t="s">
        <v>12</v>
      </c>
      <c r="G150" s="186">
        <v>118</v>
      </c>
      <c r="H150" s="186">
        <f>RANK(Table2[[#This Row],[Total Score]],Table2[[Gender]:[Total Score]],0)</f>
        <v>171</v>
      </c>
      <c r="I150" s="12" t="str">
        <f>_xlfn.XLOOKUP(Table2[[#This Row],[Total Score]],J:J,K:K,,-1)</f>
        <v>F</v>
      </c>
    </row>
    <row r="151" spans="3:9" x14ac:dyDescent="0.35">
      <c r="C151" s="12" t="s">
        <v>17</v>
      </c>
      <c r="D151" s="12" t="s">
        <v>24</v>
      </c>
      <c r="E151" s="12" t="s">
        <v>11</v>
      </c>
      <c r="F151" s="12" t="s">
        <v>15</v>
      </c>
      <c r="G151" s="186">
        <v>247</v>
      </c>
      <c r="H151" s="186">
        <f>RANK(Table2[[#This Row],[Total Score]],Table2[[Gender]:[Total Score]],0)</f>
        <v>20</v>
      </c>
      <c r="I151" s="12" t="str">
        <f>_xlfn.XLOOKUP(Table2[[#This Row],[Total Score]],J:J,K:K,,-1)</f>
        <v>B</v>
      </c>
    </row>
    <row r="152" spans="3:9" x14ac:dyDescent="0.35">
      <c r="C152" s="12" t="s">
        <v>17</v>
      </c>
      <c r="D152" s="12" t="s">
        <v>9</v>
      </c>
      <c r="E152" s="12" t="s">
        <v>11</v>
      </c>
      <c r="F152" s="12" t="s">
        <v>15</v>
      </c>
      <c r="G152" s="186">
        <v>267</v>
      </c>
      <c r="H152" s="186">
        <f>RANK(Table2[[#This Row],[Total Score]],Table2[[Gender]:[Total Score]],0)</f>
        <v>5</v>
      </c>
      <c r="I152" s="12" t="str">
        <f>_xlfn.XLOOKUP(Table2[[#This Row],[Total Score]],J:J,K:K,,-1)</f>
        <v>B</v>
      </c>
    </row>
    <row r="153" spans="3:9" x14ac:dyDescent="0.35">
      <c r="C153" s="12" t="s">
        <v>8</v>
      </c>
      <c r="D153" s="12" t="s">
        <v>13</v>
      </c>
      <c r="E153" s="12" t="s">
        <v>11</v>
      </c>
      <c r="F153" s="12" t="s">
        <v>12</v>
      </c>
      <c r="G153" s="186">
        <v>256</v>
      </c>
      <c r="H153" s="186">
        <f>RANK(Table2[[#This Row],[Total Score]],Table2[[Gender]:[Total Score]],0)</f>
        <v>11</v>
      </c>
      <c r="I153" s="12" t="str">
        <f>_xlfn.XLOOKUP(Table2[[#This Row],[Total Score]],J:J,K:K,,-1)</f>
        <v>B</v>
      </c>
    </row>
    <row r="154" spans="3:9" x14ac:dyDescent="0.35">
      <c r="C154" s="12" t="s">
        <v>8</v>
      </c>
      <c r="D154" s="12" t="s">
        <v>18</v>
      </c>
      <c r="E154" s="12" t="s">
        <v>11</v>
      </c>
      <c r="F154" s="12" t="s">
        <v>15</v>
      </c>
      <c r="G154" s="186">
        <v>267</v>
      </c>
      <c r="H154" s="186">
        <f>RANK(Table2[[#This Row],[Total Score]],Table2[[Gender]:[Total Score]],0)</f>
        <v>5</v>
      </c>
      <c r="I154" s="12" t="str">
        <f>_xlfn.XLOOKUP(Table2[[#This Row],[Total Score]],J:J,K:K,,-1)</f>
        <v>B</v>
      </c>
    </row>
    <row r="155" spans="3:9" x14ac:dyDescent="0.35">
      <c r="C155" s="12" t="s">
        <v>8</v>
      </c>
      <c r="D155" s="12" t="s">
        <v>13</v>
      </c>
      <c r="E155" s="12" t="s">
        <v>20</v>
      </c>
      <c r="F155" s="12" t="s">
        <v>12</v>
      </c>
      <c r="G155" s="186">
        <v>158</v>
      </c>
      <c r="H155" s="186">
        <f>RANK(Table2[[#This Row],[Total Score]],Table2[[Gender]:[Total Score]],0)</f>
        <v>141</v>
      </c>
      <c r="I155" s="12" t="str">
        <f>_xlfn.XLOOKUP(Table2[[#This Row],[Total Score]],J:J,K:K,,-1)</f>
        <v>F</v>
      </c>
    </row>
    <row r="156" spans="3:9" x14ac:dyDescent="0.35">
      <c r="C156" s="12" t="s">
        <v>8</v>
      </c>
      <c r="D156" s="12" t="s">
        <v>13</v>
      </c>
      <c r="E156" s="12" t="s">
        <v>11</v>
      </c>
      <c r="F156" s="12" t="s">
        <v>12</v>
      </c>
      <c r="G156" s="186">
        <v>210</v>
      </c>
      <c r="H156" s="186">
        <f>RANK(Table2[[#This Row],[Total Score]],Table2[[Gender]:[Total Score]],0)</f>
        <v>73</v>
      </c>
      <c r="I156" s="12" t="str">
        <f>_xlfn.XLOOKUP(Table2[[#This Row],[Total Score]],J:J,K:K,,-1)</f>
        <v>C</v>
      </c>
    </row>
    <row r="157" spans="3:9" x14ac:dyDescent="0.35">
      <c r="C157" s="12" t="s">
        <v>8</v>
      </c>
      <c r="D157" s="12" t="s">
        <v>21</v>
      </c>
      <c r="E157" s="12" t="s">
        <v>20</v>
      </c>
      <c r="F157" s="12" t="s">
        <v>15</v>
      </c>
      <c r="G157" s="186">
        <v>236</v>
      </c>
      <c r="H157" s="186">
        <f>RANK(Table2[[#This Row],[Total Score]],Table2[[Gender]:[Total Score]],0)</f>
        <v>35</v>
      </c>
      <c r="I157" s="12" t="str">
        <f>_xlfn.XLOOKUP(Table2[[#This Row],[Total Score]],J:J,K:K,,-1)</f>
        <v>C</v>
      </c>
    </row>
    <row r="158" spans="3:9" x14ac:dyDescent="0.35">
      <c r="C158" s="12" t="s">
        <v>17</v>
      </c>
      <c r="D158" s="12" t="s">
        <v>9</v>
      </c>
      <c r="E158" s="12" t="s">
        <v>11</v>
      </c>
      <c r="F158" s="12" t="s">
        <v>12</v>
      </c>
      <c r="G158" s="186">
        <v>175</v>
      </c>
      <c r="H158" s="186">
        <f>RANK(Table2[[#This Row],[Total Score]],Table2[[Gender]:[Total Score]],0)</f>
        <v>122</v>
      </c>
      <c r="I158" s="12" t="str">
        <f>_xlfn.XLOOKUP(Table2[[#This Row],[Total Score]],J:J,K:K,,-1)</f>
        <v>F</v>
      </c>
    </row>
    <row r="159" spans="3:9" x14ac:dyDescent="0.35">
      <c r="C159" s="12" t="s">
        <v>17</v>
      </c>
      <c r="D159" s="12" t="s">
        <v>13</v>
      </c>
      <c r="E159" s="12" t="s">
        <v>11</v>
      </c>
      <c r="F159" s="12" t="s">
        <v>12</v>
      </c>
      <c r="G159" s="186">
        <v>173</v>
      </c>
      <c r="H159" s="186">
        <f>RANK(Table2[[#This Row],[Total Score]],Table2[[Gender]:[Total Score]],0)</f>
        <v>126</v>
      </c>
      <c r="I159" s="12" t="str">
        <f>_xlfn.XLOOKUP(Table2[[#This Row],[Total Score]],J:J,K:K,,-1)</f>
        <v>F</v>
      </c>
    </row>
    <row r="160" spans="3:9" x14ac:dyDescent="0.35">
      <c r="C160" s="12" t="s">
        <v>8</v>
      </c>
      <c r="D160" s="12" t="s">
        <v>21</v>
      </c>
      <c r="E160" s="12" t="s">
        <v>20</v>
      </c>
      <c r="F160" s="12" t="s">
        <v>15</v>
      </c>
      <c r="G160" s="186">
        <v>169</v>
      </c>
      <c r="H160" s="186">
        <f>RANK(Table2[[#This Row],[Total Score]],Table2[[Gender]:[Total Score]],0)</f>
        <v>133</v>
      </c>
      <c r="I160" s="12" t="str">
        <f>_xlfn.XLOOKUP(Table2[[#This Row],[Total Score]],J:J,K:K,,-1)</f>
        <v>F</v>
      </c>
    </row>
    <row r="161" spans="3:9" x14ac:dyDescent="0.35">
      <c r="C161" s="12" t="s">
        <v>17</v>
      </c>
      <c r="D161" s="12" t="s">
        <v>24</v>
      </c>
      <c r="E161" s="12" t="s">
        <v>11</v>
      </c>
      <c r="F161" s="12" t="s">
        <v>12</v>
      </c>
      <c r="G161" s="186">
        <v>210</v>
      </c>
      <c r="H161" s="186">
        <f>RANK(Table2[[#This Row],[Total Score]],Table2[[Gender]:[Total Score]],0)</f>
        <v>73</v>
      </c>
      <c r="I161" s="12" t="str">
        <f>_xlfn.XLOOKUP(Table2[[#This Row],[Total Score]],J:J,K:K,,-1)</f>
        <v>C</v>
      </c>
    </row>
    <row r="162" spans="3:9" x14ac:dyDescent="0.35">
      <c r="C162" s="12" t="s">
        <v>17</v>
      </c>
      <c r="D162" s="12" t="s">
        <v>13</v>
      </c>
      <c r="E162" s="12" t="s">
        <v>11</v>
      </c>
      <c r="F162" s="12" t="s">
        <v>12</v>
      </c>
      <c r="G162" s="186">
        <v>181</v>
      </c>
      <c r="H162" s="186">
        <f>RANK(Table2[[#This Row],[Total Score]],Table2[[Gender]:[Total Score]],0)</f>
        <v>113</v>
      </c>
      <c r="I162" s="12" t="str">
        <f>_xlfn.XLOOKUP(Table2[[#This Row],[Total Score]],J:J,K:K,,-1)</f>
        <v>D</v>
      </c>
    </row>
    <row r="163" spans="3:9" x14ac:dyDescent="0.35">
      <c r="C163" s="12" t="s">
        <v>17</v>
      </c>
      <c r="D163" s="12" t="s">
        <v>13</v>
      </c>
      <c r="E163" s="12" t="s">
        <v>11</v>
      </c>
      <c r="F163" s="12" t="s">
        <v>12</v>
      </c>
      <c r="G163" s="186">
        <v>172</v>
      </c>
      <c r="H163" s="186">
        <f>RANK(Table2[[#This Row],[Total Score]],Table2[[Gender]:[Total Score]],0)</f>
        <v>131</v>
      </c>
      <c r="I163" s="12" t="str">
        <f>_xlfn.XLOOKUP(Table2[[#This Row],[Total Score]],J:J,K:K,,-1)</f>
        <v>F</v>
      </c>
    </row>
    <row r="164" spans="3:9" x14ac:dyDescent="0.35">
      <c r="C164" s="12" t="s">
        <v>8</v>
      </c>
      <c r="D164" s="12" t="s">
        <v>21</v>
      </c>
      <c r="E164" s="12" t="s">
        <v>11</v>
      </c>
      <c r="F164" s="12" t="s">
        <v>12</v>
      </c>
      <c r="G164" s="186">
        <v>211</v>
      </c>
      <c r="H164" s="186">
        <f>RANK(Table2[[#This Row],[Total Score]],Table2[[Gender]:[Total Score]],0)</f>
        <v>72</v>
      </c>
      <c r="I164" s="12" t="str">
        <f>_xlfn.XLOOKUP(Table2[[#This Row],[Total Score]],J:J,K:K,,-1)</f>
        <v>C</v>
      </c>
    </row>
    <row r="165" spans="3:9" x14ac:dyDescent="0.35">
      <c r="C165" s="12" t="s">
        <v>17</v>
      </c>
      <c r="D165" s="12" t="s">
        <v>21</v>
      </c>
      <c r="E165" s="12" t="s">
        <v>11</v>
      </c>
      <c r="F165" s="12" t="s">
        <v>15</v>
      </c>
      <c r="G165" s="186">
        <v>237</v>
      </c>
      <c r="H165" s="186">
        <f>RANK(Table2[[#This Row],[Total Score]],Table2[[Gender]:[Total Score]],0)</f>
        <v>33</v>
      </c>
      <c r="I165" s="12" t="str">
        <f>_xlfn.XLOOKUP(Table2[[#This Row],[Total Score]],J:J,K:K,,-1)</f>
        <v>C</v>
      </c>
    </row>
    <row r="166" spans="3:9" x14ac:dyDescent="0.35">
      <c r="C166" s="12" t="s">
        <v>8</v>
      </c>
      <c r="D166" s="12" t="s">
        <v>24</v>
      </c>
      <c r="E166" s="12" t="s">
        <v>20</v>
      </c>
      <c r="F166" s="12" t="s">
        <v>12</v>
      </c>
      <c r="G166" s="186">
        <v>104</v>
      </c>
      <c r="H166" s="186">
        <f>RANK(Table2[[#This Row],[Total Score]],Table2[[Gender]:[Total Score]],0)</f>
        <v>174</v>
      </c>
      <c r="I166" s="12" t="str">
        <f>_xlfn.XLOOKUP(Table2[[#This Row],[Total Score]],J:J,K:K,,-1)</f>
        <v>F</v>
      </c>
    </row>
    <row r="167" spans="3:9" x14ac:dyDescent="0.35">
      <c r="C167" s="12" t="s">
        <v>8</v>
      </c>
      <c r="D167" s="12" t="s">
        <v>9</v>
      </c>
      <c r="E167" s="12" t="s">
        <v>20</v>
      </c>
      <c r="F167" s="12" t="s">
        <v>15</v>
      </c>
      <c r="G167" s="186">
        <v>220</v>
      </c>
      <c r="H167" s="186">
        <f>RANK(Table2[[#This Row],[Total Score]],Table2[[Gender]:[Total Score]],0)</f>
        <v>57</v>
      </c>
      <c r="I167" s="12" t="str">
        <f>_xlfn.XLOOKUP(Table2[[#This Row],[Total Score]],J:J,K:K,,-1)</f>
        <v>C</v>
      </c>
    </row>
    <row r="168" spans="3:9" x14ac:dyDescent="0.35">
      <c r="C168" s="12" t="s">
        <v>8</v>
      </c>
      <c r="D168" s="12" t="s">
        <v>21</v>
      </c>
      <c r="E168" s="12" t="s">
        <v>11</v>
      </c>
      <c r="F168" s="12" t="s">
        <v>15</v>
      </c>
      <c r="G168" s="186">
        <v>225</v>
      </c>
      <c r="H168" s="186">
        <f>RANK(Table2[[#This Row],[Total Score]],Table2[[Gender]:[Total Score]],0)</f>
        <v>51</v>
      </c>
      <c r="I168" s="12" t="str">
        <f>_xlfn.XLOOKUP(Table2[[#This Row],[Total Score]],J:J,K:K,,-1)</f>
        <v>C</v>
      </c>
    </row>
    <row r="169" spans="3:9" x14ac:dyDescent="0.35">
      <c r="C169" s="12" t="s">
        <v>8</v>
      </c>
      <c r="D169" s="12" t="s">
        <v>21</v>
      </c>
      <c r="E169" s="12" t="s">
        <v>20</v>
      </c>
      <c r="F169" s="12" t="s">
        <v>12</v>
      </c>
      <c r="G169" s="186">
        <v>235</v>
      </c>
      <c r="H169" s="186">
        <f>RANK(Table2[[#This Row],[Total Score]],Table2[[Gender]:[Total Score]],0)</f>
        <v>37</v>
      </c>
      <c r="I169" s="12" t="str">
        <f>_xlfn.XLOOKUP(Table2[[#This Row],[Total Score]],J:J,K:K,,-1)</f>
        <v>C</v>
      </c>
    </row>
    <row r="170" spans="3:9" x14ac:dyDescent="0.35">
      <c r="C170" s="12" t="s">
        <v>17</v>
      </c>
      <c r="D170" s="12" t="s">
        <v>24</v>
      </c>
      <c r="E170" s="12" t="s">
        <v>11</v>
      </c>
      <c r="F170" s="12" t="s">
        <v>15</v>
      </c>
      <c r="G170" s="186">
        <v>198</v>
      </c>
      <c r="H170" s="186">
        <f>RANK(Table2[[#This Row],[Total Score]],Table2[[Gender]:[Total Score]],0)</f>
        <v>92</v>
      </c>
      <c r="I170" s="12" t="str">
        <f>_xlfn.XLOOKUP(Table2[[#This Row],[Total Score]],J:J,K:K,,-1)</f>
        <v>D</v>
      </c>
    </row>
    <row r="171" spans="3:9" x14ac:dyDescent="0.35">
      <c r="C171" s="12" t="s">
        <v>8</v>
      </c>
      <c r="D171" s="12" t="s">
        <v>13</v>
      </c>
      <c r="E171" s="12" t="s">
        <v>20</v>
      </c>
      <c r="F171" s="12" t="s">
        <v>12</v>
      </c>
      <c r="G171" s="186">
        <v>155</v>
      </c>
      <c r="H171" s="186">
        <f>RANK(Table2[[#This Row],[Total Score]],Table2[[Gender]:[Total Score]],0)</f>
        <v>144</v>
      </c>
      <c r="I171" s="12" t="str">
        <f>_xlfn.XLOOKUP(Table2[[#This Row],[Total Score]],J:J,K:K,,-1)</f>
        <v>F</v>
      </c>
    </row>
    <row r="172" spans="3:9" x14ac:dyDescent="0.35">
      <c r="C172" s="12" t="s">
        <v>17</v>
      </c>
      <c r="D172" s="12" t="s">
        <v>21</v>
      </c>
      <c r="E172" s="12" t="s">
        <v>11</v>
      </c>
      <c r="F172" s="12" t="s">
        <v>15</v>
      </c>
      <c r="G172" s="186">
        <v>214</v>
      </c>
      <c r="H172" s="186">
        <f>RANK(Table2[[#This Row],[Total Score]],Table2[[Gender]:[Total Score]],0)</f>
        <v>70</v>
      </c>
      <c r="I172" s="12" t="str">
        <f>_xlfn.XLOOKUP(Table2[[#This Row],[Total Score]],J:J,K:K,,-1)</f>
        <v>C</v>
      </c>
    </row>
    <row r="173" spans="3:9" x14ac:dyDescent="0.35">
      <c r="C173" s="12" t="s">
        <v>17</v>
      </c>
      <c r="D173" s="12" t="s">
        <v>18</v>
      </c>
      <c r="E173" s="12" t="s">
        <v>20</v>
      </c>
      <c r="F173" s="12" t="s">
        <v>15</v>
      </c>
      <c r="G173" s="186">
        <v>184</v>
      </c>
      <c r="H173" s="186">
        <f>RANK(Table2[[#This Row],[Total Score]],Table2[[Gender]:[Total Score]],0)</f>
        <v>110</v>
      </c>
      <c r="I173" s="12" t="str">
        <f>_xlfn.XLOOKUP(Table2[[#This Row],[Total Score]],J:J,K:K,,-1)</f>
        <v>D</v>
      </c>
    </row>
    <row r="174" spans="3:9" x14ac:dyDescent="0.35">
      <c r="C174" s="12" t="s">
        <v>17</v>
      </c>
      <c r="D174" s="12" t="s">
        <v>9</v>
      </c>
      <c r="E174" s="12" t="s">
        <v>20</v>
      </c>
      <c r="F174" s="12" t="s">
        <v>15</v>
      </c>
      <c r="G174" s="186">
        <v>151</v>
      </c>
      <c r="H174" s="186">
        <f>RANK(Table2[[#This Row],[Total Score]],Table2[[Gender]:[Total Score]],0)</f>
        <v>148</v>
      </c>
      <c r="I174" s="12" t="str">
        <f>_xlfn.XLOOKUP(Table2[[#This Row],[Total Score]],J:J,K:K,,-1)</f>
        <v>F</v>
      </c>
    </row>
    <row r="175" spans="3:9" x14ac:dyDescent="0.35">
      <c r="C175" s="12" t="s">
        <v>8</v>
      </c>
      <c r="D175" s="12" t="s">
        <v>24</v>
      </c>
      <c r="E175" s="12" t="s">
        <v>20</v>
      </c>
      <c r="F175" s="12" t="s">
        <v>12</v>
      </c>
      <c r="G175" s="186">
        <v>220</v>
      </c>
      <c r="H175" s="186">
        <f>RANK(Table2[[#This Row],[Total Score]],Table2[[Gender]:[Total Score]],0)</f>
        <v>57</v>
      </c>
      <c r="I175" s="12" t="str">
        <f>_xlfn.XLOOKUP(Table2[[#This Row],[Total Score]],J:J,K:K,,-1)</f>
        <v>C</v>
      </c>
    </row>
    <row r="176" spans="3:9" x14ac:dyDescent="0.35">
      <c r="C176" s="12" t="s">
        <v>8</v>
      </c>
      <c r="D176" s="12" t="s">
        <v>21</v>
      </c>
      <c r="E176" s="12" t="s">
        <v>20</v>
      </c>
      <c r="F176" s="12" t="s">
        <v>12</v>
      </c>
      <c r="G176" s="186">
        <v>155</v>
      </c>
      <c r="H176" s="186">
        <f>RANK(Table2[[#This Row],[Total Score]],Table2[[Gender]:[Total Score]],0)</f>
        <v>144</v>
      </c>
      <c r="I176" s="12" t="str">
        <f>_xlfn.XLOOKUP(Table2[[#This Row],[Total Score]],J:J,K:K,,-1)</f>
        <v>F</v>
      </c>
    </row>
    <row r="177" spans="3:9" x14ac:dyDescent="0.35">
      <c r="C177" s="12" t="s">
        <v>8</v>
      </c>
      <c r="D177" s="12" t="s">
        <v>13</v>
      </c>
      <c r="E177" s="12" t="s">
        <v>20</v>
      </c>
      <c r="F177" s="12" t="s">
        <v>15</v>
      </c>
      <c r="G177" s="186">
        <v>216</v>
      </c>
      <c r="H177" s="186">
        <f>RANK(Table2[[#This Row],[Total Score]],Table2[[Gender]:[Total Score]],0)</f>
        <v>66</v>
      </c>
      <c r="I177" s="12" t="str">
        <f>_xlfn.XLOOKUP(Table2[[#This Row],[Total Score]],J:J,K:K,,-1)</f>
        <v>C</v>
      </c>
    </row>
    <row r="178" spans="3:9" x14ac:dyDescent="0.35">
      <c r="C178" s="12" t="s">
        <v>17</v>
      </c>
      <c r="D178" s="12" t="s">
        <v>18</v>
      </c>
      <c r="E178" s="12" t="s">
        <v>11</v>
      </c>
      <c r="F178" s="12" t="s">
        <v>15</v>
      </c>
      <c r="G178" s="186">
        <v>198</v>
      </c>
      <c r="H178" s="186">
        <f>RANK(Table2[[#This Row],[Total Score]],Table2[[Gender]:[Total Score]],0)</f>
        <v>92</v>
      </c>
      <c r="I178" s="12" t="str">
        <f>_xlfn.XLOOKUP(Table2[[#This Row],[Total Score]],J:J,K:K,,-1)</f>
        <v>D</v>
      </c>
    </row>
    <row r="179" spans="3:9" x14ac:dyDescent="0.35">
      <c r="C179" s="12" t="s">
        <v>17</v>
      </c>
      <c r="D179" s="12" t="s">
        <v>13</v>
      </c>
      <c r="E179" s="12" t="s">
        <v>11</v>
      </c>
      <c r="F179" s="12" t="s">
        <v>15</v>
      </c>
      <c r="G179" s="186">
        <v>219</v>
      </c>
      <c r="H179" s="186">
        <f>RANK(Table2[[#This Row],[Total Score]],Table2[[Gender]:[Total Score]],0)</f>
        <v>62</v>
      </c>
      <c r="I179" s="12" t="str">
        <f>_xlfn.XLOOKUP(Table2[[#This Row],[Total Score]],J:J,K:K,,-1)</f>
        <v>C</v>
      </c>
    </row>
    <row r="180" spans="3:9" x14ac:dyDescent="0.35">
      <c r="C180" s="12" t="s">
        <v>17</v>
      </c>
      <c r="D180" s="12" t="s">
        <v>21</v>
      </c>
      <c r="E180" s="12" t="s">
        <v>11</v>
      </c>
      <c r="F180" s="12" t="s">
        <v>12</v>
      </c>
      <c r="G180" s="186">
        <v>237</v>
      </c>
      <c r="H180" s="186">
        <f>RANK(Table2[[#This Row],[Total Score]],Table2[[Gender]:[Total Score]],0)</f>
        <v>33</v>
      </c>
      <c r="I180" s="12" t="str">
        <f>_xlfn.XLOOKUP(Table2[[#This Row],[Total Score]],J:J,K:K,,-1)</f>
        <v>C</v>
      </c>
    </row>
    <row r="181" spans="3:9" x14ac:dyDescent="0.35">
      <c r="C181" s="12" t="s">
        <v>17</v>
      </c>
      <c r="D181" s="12" t="s">
        <v>9</v>
      </c>
      <c r="E181" s="12" t="s">
        <v>11</v>
      </c>
      <c r="F181" s="12" t="s">
        <v>15</v>
      </c>
      <c r="G181" s="186">
        <v>250</v>
      </c>
      <c r="H181" s="186">
        <f>RANK(Table2[[#This Row],[Total Score]],Table2[[Gender]:[Total Score]],0)</f>
        <v>15</v>
      </c>
      <c r="I181" s="12" t="str">
        <f>_xlfn.XLOOKUP(Table2[[#This Row],[Total Score]],J:J,K:K,,-1)</f>
        <v>B</v>
      </c>
    </row>
    <row r="182" spans="3:9" x14ac:dyDescent="0.35">
      <c r="C182" s="12" t="s">
        <v>8</v>
      </c>
      <c r="D182" s="12" t="s">
        <v>13</v>
      </c>
      <c r="E182" s="12" t="s">
        <v>11</v>
      </c>
      <c r="F182" s="12" t="s">
        <v>12</v>
      </c>
      <c r="G182" s="186">
        <v>231</v>
      </c>
      <c r="H182" s="186">
        <f>RANK(Table2[[#This Row],[Total Score]],Table2[[Gender]:[Total Score]],0)</f>
        <v>41</v>
      </c>
      <c r="I182" s="12" t="str">
        <f>_xlfn.XLOOKUP(Table2[[#This Row],[Total Score]],J:J,K:K,,-1)</f>
        <v>C</v>
      </c>
    </row>
    <row r="183" spans="3:9" x14ac:dyDescent="0.35">
      <c r="C183" s="12" t="s">
        <v>17</v>
      </c>
      <c r="D183" s="12" t="s">
        <v>24</v>
      </c>
      <c r="E183" s="12" t="s">
        <v>11</v>
      </c>
      <c r="F183" s="12" t="s">
        <v>15</v>
      </c>
      <c r="G183" s="186">
        <v>232</v>
      </c>
      <c r="H183" s="186">
        <f>RANK(Table2[[#This Row],[Total Score]],Table2[[Gender]:[Total Score]],0)</f>
        <v>39</v>
      </c>
      <c r="I183" s="12" t="str">
        <f>_xlfn.XLOOKUP(Table2[[#This Row],[Total Score]],J:J,K:K,,-1)</f>
        <v>C</v>
      </c>
    </row>
    <row r="184" spans="3:9" x14ac:dyDescent="0.35">
      <c r="C184" s="12" t="s">
        <v>8</v>
      </c>
      <c r="D184" s="12" t="s">
        <v>18</v>
      </c>
      <c r="E184" s="12" t="s">
        <v>20</v>
      </c>
      <c r="F184" s="12" t="s">
        <v>12</v>
      </c>
      <c r="G184" s="186">
        <v>134</v>
      </c>
      <c r="H184" s="186">
        <f>RANK(Table2[[#This Row],[Total Score]],Table2[[Gender]:[Total Score]],0)</f>
        <v>163</v>
      </c>
      <c r="I184" s="12" t="str">
        <f>_xlfn.XLOOKUP(Table2[[#This Row],[Total Score]],J:J,K:K,,-1)</f>
        <v>F</v>
      </c>
    </row>
    <row r="185" spans="3:9" x14ac:dyDescent="0.35">
      <c r="C185" s="12" t="s">
        <v>8</v>
      </c>
      <c r="D185" s="12" t="s">
        <v>9</v>
      </c>
      <c r="E185" s="12" t="s">
        <v>11</v>
      </c>
      <c r="F185" s="12" t="s">
        <v>15</v>
      </c>
      <c r="G185" s="186">
        <v>225</v>
      </c>
      <c r="H185" s="186">
        <f>RANK(Table2[[#This Row],[Total Score]],Table2[[Gender]:[Total Score]],0)</f>
        <v>51</v>
      </c>
      <c r="I185" s="12" t="str">
        <f>_xlfn.XLOOKUP(Table2[[#This Row],[Total Score]],J:J,K:K,,-1)</f>
        <v>C</v>
      </c>
    </row>
    <row r="186" spans="3:9" x14ac:dyDescent="0.35">
      <c r="C186" s="12" t="s">
        <v>58</v>
      </c>
      <c r="D186" s="12"/>
      <c r="E186" s="12"/>
      <c r="F186" s="12"/>
      <c r="G186" s="280">
        <f>SUBTOTAL(101,Table2[Total Score])</f>
        <v>195.32402234636871</v>
      </c>
      <c r="H186" s="279"/>
      <c r="I186" s="12">
        <f>SUBTOTAL(103,Table2[Grade])</f>
        <v>179</v>
      </c>
    </row>
  </sheetData>
  <conditionalFormatting sqref="D7:G185 I7:I185">
    <cfRule type="colorScale" priority="1">
      <colorScale>
        <cfvo type="min"/>
        <cfvo type="percentile" val="50"/>
        <cfvo type="max"/>
        <color rgb="FFF8696B"/>
        <color rgb="FFFCFCFF"/>
        <color rgb="FF63BE7B"/>
      </colorScale>
    </cfRule>
  </conditionalFormatting>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2E186-9343-4130-B6FA-0DACAC6F36D0}">
  <sheetPr>
    <tabColor rgb="FF99FFCC"/>
  </sheetPr>
  <dimension ref="B5:N233"/>
  <sheetViews>
    <sheetView showGridLines="0" zoomScale="93" zoomScaleNormal="93" workbookViewId="0">
      <selection activeCell="U7" sqref="U7"/>
    </sheetView>
  </sheetViews>
  <sheetFormatPr defaultRowHeight="14.5" x14ac:dyDescent="0.35"/>
  <cols>
    <col min="2" max="2" width="8.90625" customWidth="1"/>
    <col min="3" max="3" width="15.1796875" style="1" customWidth="1"/>
    <col min="4" max="4" width="14" style="1" customWidth="1"/>
    <col min="5" max="5" width="12.6328125" style="1" customWidth="1"/>
    <col min="6" max="6" width="12" style="1" customWidth="1"/>
    <col min="7" max="7" width="8.7265625" style="1"/>
    <col min="8" max="8" width="12.54296875" style="1" customWidth="1"/>
    <col min="9" max="9" width="0" hidden="1" customWidth="1"/>
    <col min="10" max="10" width="11.26953125" hidden="1" customWidth="1"/>
    <col min="11" max="11" width="0" hidden="1" customWidth="1"/>
    <col min="12" max="12" width="16.1796875" style="1" bestFit="1" customWidth="1"/>
    <col min="13" max="13" width="16.7265625" style="1" bestFit="1" customWidth="1"/>
    <col min="14" max="14" width="16.54296875" style="1" bestFit="1" customWidth="1"/>
    <col min="15" max="15" width="16.1796875" bestFit="1" customWidth="1"/>
    <col min="16" max="16" width="5.08984375" bestFit="1" customWidth="1"/>
    <col min="17" max="17" width="20.90625" bestFit="1" customWidth="1"/>
    <col min="18" max="18" width="20.7265625" bestFit="1" customWidth="1"/>
    <col min="19" max="19" width="14.90625" bestFit="1" customWidth="1"/>
    <col min="20" max="20" width="5.08984375" bestFit="1" customWidth="1"/>
    <col min="21" max="21" width="20.90625" bestFit="1" customWidth="1"/>
    <col min="22" max="22" width="16.36328125" bestFit="1" customWidth="1"/>
    <col min="23" max="23" width="18.08984375" bestFit="1" customWidth="1"/>
    <col min="24" max="24" width="19.453125" bestFit="1" customWidth="1"/>
  </cols>
  <sheetData>
    <row r="5" spans="2:14" ht="15" thickBot="1" x14ac:dyDescent="0.4"/>
    <row r="6" spans="2:14" ht="21" thickBot="1" x14ac:dyDescent="0.85">
      <c r="B6" s="92" t="s">
        <v>25</v>
      </c>
      <c r="C6" s="93" t="s">
        <v>26</v>
      </c>
      <c r="D6" s="93" t="s">
        <v>59</v>
      </c>
      <c r="E6" s="93" t="s">
        <v>60</v>
      </c>
      <c r="F6" s="93" t="s">
        <v>27</v>
      </c>
      <c r="G6" s="93" t="s">
        <v>97</v>
      </c>
      <c r="H6" s="94" t="s">
        <v>65</v>
      </c>
      <c r="I6" s="25" t="s">
        <v>28</v>
      </c>
      <c r="J6" s="25" t="s">
        <v>30</v>
      </c>
      <c r="K6" s="25" t="s">
        <v>39</v>
      </c>
      <c r="L6" s="189" t="s">
        <v>120</v>
      </c>
      <c r="M6" s="191" t="s">
        <v>63</v>
      </c>
      <c r="N6" s="164" t="s">
        <v>119</v>
      </c>
    </row>
    <row r="7" spans="2:14" ht="15" thickBot="1" x14ac:dyDescent="0.4">
      <c r="B7" s="95" t="s">
        <v>8</v>
      </c>
      <c r="C7" s="96" t="s">
        <v>13</v>
      </c>
      <c r="D7" s="96" t="s">
        <v>11</v>
      </c>
      <c r="E7" s="96" t="s">
        <v>15</v>
      </c>
      <c r="F7" s="96">
        <v>247</v>
      </c>
      <c r="G7" s="96">
        <f>RANK(Table11[[#This Row],[Total Score]],Table11[[Gender]:[Total Score]],0)</f>
        <v>36</v>
      </c>
      <c r="H7" s="97" t="str">
        <f>_xlfn.XLOOKUP(Table11[[#This Row],[Total Score]],I:I,K:K,,-1)</f>
        <v>Very Good</v>
      </c>
      <c r="I7" s="24">
        <v>270</v>
      </c>
      <c r="J7" s="23" t="s">
        <v>37</v>
      </c>
      <c r="K7" s="23" t="s">
        <v>41</v>
      </c>
      <c r="L7" s="190" t="s">
        <v>18</v>
      </c>
      <c r="M7" s="188">
        <v>3504</v>
      </c>
      <c r="N7" s="164">
        <v>18</v>
      </c>
    </row>
    <row r="8" spans="2:14" ht="15" thickBot="1" x14ac:dyDescent="0.4">
      <c r="B8" s="95" t="s">
        <v>17</v>
      </c>
      <c r="C8" s="96" t="s">
        <v>13</v>
      </c>
      <c r="D8" s="96" t="s">
        <v>11</v>
      </c>
      <c r="E8" s="96" t="s">
        <v>12</v>
      </c>
      <c r="F8" s="96">
        <v>229</v>
      </c>
      <c r="G8" s="96">
        <f>RANK(Table11[[#This Row],[Total Score]],Table11[[Gender]:[Total Score]],0)</f>
        <v>65</v>
      </c>
      <c r="H8" s="97" t="str">
        <f>_xlfn.XLOOKUP(Table11[[#This Row],[Total Score]],I:I,K:K,,-1)</f>
        <v>Good</v>
      </c>
      <c r="I8" s="24">
        <v>240</v>
      </c>
      <c r="J8" s="23" t="s">
        <v>38</v>
      </c>
      <c r="K8" s="23" t="s">
        <v>42</v>
      </c>
      <c r="L8" s="193" t="s">
        <v>8</v>
      </c>
      <c r="M8" s="131">
        <v>1628</v>
      </c>
      <c r="N8" s="192">
        <v>8</v>
      </c>
    </row>
    <row r="9" spans="2:14" ht="15" thickBot="1" x14ac:dyDescent="0.4">
      <c r="B9" s="95" t="s">
        <v>8</v>
      </c>
      <c r="C9" s="96" t="s">
        <v>9</v>
      </c>
      <c r="D9" s="96" t="s">
        <v>11</v>
      </c>
      <c r="E9" s="96" t="s">
        <v>15</v>
      </c>
      <c r="F9" s="96">
        <v>275</v>
      </c>
      <c r="G9" s="96">
        <f>RANK(Table11[[#This Row],[Total Score]],Table11[[Gender]:[Total Score]],0)</f>
        <v>7</v>
      </c>
      <c r="H9" s="97" t="str">
        <f>_xlfn.XLOOKUP(Table11[[#This Row],[Total Score]],I:I,K:K,,-1)</f>
        <v>Excellent</v>
      </c>
      <c r="I9" s="24">
        <v>210</v>
      </c>
      <c r="J9" s="23" t="s">
        <v>35</v>
      </c>
      <c r="K9" s="23" t="s">
        <v>43</v>
      </c>
      <c r="L9" s="194" t="s">
        <v>17</v>
      </c>
      <c r="M9" s="53">
        <v>1876</v>
      </c>
      <c r="N9" s="91">
        <v>10</v>
      </c>
    </row>
    <row r="10" spans="2:14" ht="15" thickBot="1" x14ac:dyDescent="0.4">
      <c r="B10" s="95" t="s">
        <v>17</v>
      </c>
      <c r="C10" s="96" t="s">
        <v>9</v>
      </c>
      <c r="D10" s="96" t="s">
        <v>20</v>
      </c>
      <c r="E10" s="96" t="s">
        <v>12</v>
      </c>
      <c r="F10" s="96">
        <v>122</v>
      </c>
      <c r="G10" s="96">
        <f>RANK(Table11[[#This Row],[Total Score]],Table11[[Gender]:[Total Score]],0)</f>
        <v>218</v>
      </c>
      <c r="H10" s="97" t="str">
        <f>_xlfn.XLOOKUP(Table11[[#This Row],[Total Score]],I:I,K:K,,-1)</f>
        <v>Poor</v>
      </c>
      <c r="I10" s="24">
        <v>180</v>
      </c>
      <c r="J10" s="23" t="s">
        <v>51</v>
      </c>
      <c r="K10" s="23" t="s">
        <v>64</v>
      </c>
      <c r="L10" s="190" t="s">
        <v>9</v>
      </c>
      <c r="M10" s="188">
        <v>7146</v>
      </c>
      <c r="N10" s="164">
        <v>37</v>
      </c>
    </row>
    <row r="11" spans="2:14" ht="15" thickBot="1" x14ac:dyDescent="0.4">
      <c r="B11" s="95" t="s">
        <v>17</v>
      </c>
      <c r="C11" s="96" t="s">
        <v>18</v>
      </c>
      <c r="D11" s="96" t="s">
        <v>11</v>
      </c>
      <c r="E11" s="96" t="s">
        <v>15</v>
      </c>
      <c r="F11" s="96">
        <v>220</v>
      </c>
      <c r="G11" s="96">
        <f>RANK(Table11[[#This Row],[Total Score]],Table11[[Gender]:[Total Score]],0)</f>
        <v>87</v>
      </c>
      <c r="H11" s="97" t="str">
        <f>_xlfn.XLOOKUP(Table11[[#This Row],[Total Score]],I:I,K:K,,-1)</f>
        <v>Good</v>
      </c>
      <c r="I11" s="24">
        <v>27</v>
      </c>
      <c r="J11" s="23" t="s">
        <v>53</v>
      </c>
      <c r="K11" s="23" t="s">
        <v>56</v>
      </c>
      <c r="L11" s="193" t="s">
        <v>8</v>
      </c>
      <c r="M11" s="131">
        <v>2991</v>
      </c>
      <c r="N11" s="192">
        <v>15</v>
      </c>
    </row>
    <row r="12" spans="2:14" ht="15" thickBot="1" x14ac:dyDescent="0.4">
      <c r="B12" s="95" t="s">
        <v>8</v>
      </c>
      <c r="C12" s="96" t="s">
        <v>9</v>
      </c>
      <c r="D12" s="96" t="s">
        <v>20</v>
      </c>
      <c r="E12" s="96" t="s">
        <v>15</v>
      </c>
      <c r="F12" s="96">
        <v>210</v>
      </c>
      <c r="G12" s="96">
        <f>RANK(Table11[[#This Row],[Total Score]],Table11[[Gender]:[Total Score]],0)</f>
        <v>106</v>
      </c>
      <c r="H12" s="97" t="str">
        <f>_xlfn.XLOOKUP(Table11[[#This Row],[Total Score]],I:I,K:K,,-1)</f>
        <v>Good</v>
      </c>
      <c r="L12" s="194" t="s">
        <v>17</v>
      </c>
      <c r="M12" s="53">
        <v>4155</v>
      </c>
      <c r="N12" s="91">
        <v>22</v>
      </c>
    </row>
    <row r="13" spans="2:14" ht="15" thickBot="1" x14ac:dyDescent="0.4">
      <c r="B13" s="95" t="s">
        <v>17</v>
      </c>
      <c r="C13" s="96" t="s">
        <v>21</v>
      </c>
      <c r="D13" s="96" t="s">
        <v>11</v>
      </c>
      <c r="E13" s="96" t="s">
        <v>12</v>
      </c>
      <c r="F13" s="96">
        <v>151</v>
      </c>
      <c r="G13" s="96">
        <f>RANK(Table11[[#This Row],[Total Score]],Table11[[Gender]:[Total Score]],0)</f>
        <v>208</v>
      </c>
      <c r="H13" s="97" t="str">
        <f>_xlfn.XLOOKUP(Table11[[#This Row],[Total Score]],I:I,K:K,,-1)</f>
        <v>Poor</v>
      </c>
      <c r="L13" s="190" t="s">
        <v>13</v>
      </c>
      <c r="M13" s="188">
        <v>14036</v>
      </c>
      <c r="N13" s="164">
        <v>69</v>
      </c>
    </row>
    <row r="14" spans="2:14" x14ac:dyDescent="0.35">
      <c r="B14" s="95" t="s">
        <v>17</v>
      </c>
      <c r="C14" s="96" t="s">
        <v>9</v>
      </c>
      <c r="D14" s="96" t="s">
        <v>11</v>
      </c>
      <c r="E14" s="96" t="s">
        <v>12</v>
      </c>
      <c r="F14" s="96">
        <v>178</v>
      </c>
      <c r="G14" s="96">
        <f>RANK(Table11[[#This Row],[Total Score]],Table11[[Gender]:[Total Score]],0)</f>
        <v>172</v>
      </c>
      <c r="H14" s="97" t="str">
        <f>_xlfn.XLOOKUP(Table11[[#This Row],[Total Score]],I:I,K:K,,-1)</f>
        <v>Poor</v>
      </c>
      <c r="L14" s="193" t="s">
        <v>8</v>
      </c>
      <c r="M14" s="131">
        <v>9243</v>
      </c>
      <c r="N14" s="192">
        <v>44</v>
      </c>
    </row>
    <row r="15" spans="2:14" ht="15" thickBot="1" x14ac:dyDescent="0.4">
      <c r="B15" s="95" t="s">
        <v>8</v>
      </c>
      <c r="C15" s="96" t="s">
        <v>21</v>
      </c>
      <c r="D15" s="96" t="s">
        <v>11</v>
      </c>
      <c r="E15" s="96" t="s">
        <v>12</v>
      </c>
      <c r="F15" s="96">
        <v>217</v>
      </c>
      <c r="G15" s="96">
        <f>RANK(Table11[[#This Row],[Total Score]],Table11[[Gender]:[Total Score]],0)</f>
        <v>93</v>
      </c>
      <c r="H15" s="97" t="str">
        <f>_xlfn.XLOOKUP(Table11[[#This Row],[Total Score]],I:I,K:K,,-1)</f>
        <v>Good</v>
      </c>
      <c r="L15" s="194" t="s">
        <v>17</v>
      </c>
      <c r="M15" s="53">
        <v>4793</v>
      </c>
      <c r="N15" s="91">
        <v>25</v>
      </c>
    </row>
    <row r="16" spans="2:14" ht="15" thickBot="1" x14ac:dyDescent="0.4">
      <c r="B16" s="95" t="s">
        <v>8</v>
      </c>
      <c r="C16" s="96" t="s">
        <v>9</v>
      </c>
      <c r="D16" s="96" t="s">
        <v>11</v>
      </c>
      <c r="E16" s="96" t="s">
        <v>12</v>
      </c>
      <c r="F16" s="96">
        <v>189</v>
      </c>
      <c r="G16" s="96">
        <f>RANK(Table11[[#This Row],[Total Score]],Table11[[Gender]:[Total Score]],0)</f>
        <v>147</v>
      </c>
      <c r="H16" s="97" t="str">
        <f>_xlfn.XLOOKUP(Table11[[#This Row],[Total Score]],I:I,K:K,,-1)</f>
        <v>Fair</v>
      </c>
      <c r="L16" s="190" t="s">
        <v>21</v>
      </c>
      <c r="M16" s="188">
        <v>14158</v>
      </c>
      <c r="N16" s="164">
        <v>67</v>
      </c>
    </row>
    <row r="17" spans="2:14" x14ac:dyDescent="0.35">
      <c r="B17" s="95" t="s">
        <v>17</v>
      </c>
      <c r="C17" s="96" t="s">
        <v>21</v>
      </c>
      <c r="D17" s="96" t="s">
        <v>11</v>
      </c>
      <c r="E17" s="96" t="s">
        <v>12</v>
      </c>
      <c r="F17" s="96">
        <v>120</v>
      </c>
      <c r="G17" s="96">
        <f>RANK(Table11[[#This Row],[Total Score]],Table11[[Gender]:[Total Score]],0)</f>
        <v>220</v>
      </c>
      <c r="H17" s="97" t="str">
        <f>_xlfn.XLOOKUP(Table11[[#This Row],[Total Score]],I:I,K:K,,-1)</f>
        <v>Poor</v>
      </c>
      <c r="L17" s="193" t="s">
        <v>8</v>
      </c>
      <c r="M17" s="131">
        <v>7763</v>
      </c>
      <c r="N17" s="192">
        <v>35</v>
      </c>
    </row>
    <row r="18" spans="2:14" ht="15" thickBot="1" x14ac:dyDescent="0.4">
      <c r="B18" s="95" t="s">
        <v>17</v>
      </c>
      <c r="C18" s="96" t="s">
        <v>24</v>
      </c>
      <c r="D18" s="96" t="s">
        <v>11</v>
      </c>
      <c r="E18" s="96" t="s">
        <v>12</v>
      </c>
      <c r="F18" s="96">
        <v>266</v>
      </c>
      <c r="G18" s="96">
        <f>RANK(Table11[[#This Row],[Total Score]],Table11[[Gender]:[Total Score]],0)</f>
        <v>15</v>
      </c>
      <c r="H18" s="97" t="str">
        <f>_xlfn.XLOOKUP(Table11[[#This Row],[Total Score]],I:I,K:K,,-1)</f>
        <v>Very Good</v>
      </c>
      <c r="L18" s="194" t="s">
        <v>17</v>
      </c>
      <c r="M18" s="53">
        <v>6395</v>
      </c>
      <c r="N18" s="91">
        <v>32</v>
      </c>
    </row>
    <row r="19" spans="2:14" ht="15" thickBot="1" x14ac:dyDescent="0.4">
      <c r="B19" s="95" t="s">
        <v>17</v>
      </c>
      <c r="C19" s="96" t="s">
        <v>9</v>
      </c>
      <c r="D19" s="96" t="s">
        <v>20</v>
      </c>
      <c r="E19" s="96" t="s">
        <v>15</v>
      </c>
      <c r="F19" s="96">
        <v>190</v>
      </c>
      <c r="G19" s="96">
        <f>RANK(Table11[[#This Row],[Total Score]],Table11[[Gender]:[Total Score]],0)</f>
        <v>146</v>
      </c>
      <c r="H19" s="97" t="str">
        <f>_xlfn.XLOOKUP(Table11[[#This Row],[Total Score]],I:I,K:K,,-1)</f>
        <v>Fair</v>
      </c>
      <c r="L19" s="190" t="s">
        <v>24</v>
      </c>
      <c r="M19" s="188">
        <v>7583</v>
      </c>
      <c r="N19" s="164">
        <v>35</v>
      </c>
    </row>
    <row r="20" spans="2:14" x14ac:dyDescent="0.35">
      <c r="B20" s="95" t="s">
        <v>17</v>
      </c>
      <c r="C20" s="96" t="s">
        <v>24</v>
      </c>
      <c r="D20" s="96" t="s">
        <v>11</v>
      </c>
      <c r="E20" s="96" t="s">
        <v>12</v>
      </c>
      <c r="F20" s="96">
        <v>156</v>
      </c>
      <c r="G20" s="96">
        <f>RANK(Table11[[#This Row],[Total Score]],Table11[[Gender]:[Total Score]],0)</f>
        <v>200</v>
      </c>
      <c r="H20" s="97" t="str">
        <f>_xlfn.XLOOKUP(Table11[[#This Row],[Total Score]],I:I,K:K,,-1)</f>
        <v>Poor</v>
      </c>
      <c r="L20" s="193" t="s">
        <v>8</v>
      </c>
      <c r="M20" s="131">
        <v>3510</v>
      </c>
      <c r="N20" s="192">
        <v>16</v>
      </c>
    </row>
    <row r="21" spans="2:14" ht="15" thickBot="1" x14ac:dyDescent="0.4">
      <c r="B21" s="95" t="s">
        <v>17</v>
      </c>
      <c r="C21" s="96" t="s">
        <v>13</v>
      </c>
      <c r="D21" s="96" t="s">
        <v>11</v>
      </c>
      <c r="E21" s="96" t="s">
        <v>12</v>
      </c>
      <c r="F21" s="96">
        <v>139</v>
      </c>
      <c r="G21" s="96">
        <f>RANK(Table11[[#This Row],[Total Score]],Table11[[Gender]:[Total Score]],0)</f>
        <v>214</v>
      </c>
      <c r="H21" s="97" t="str">
        <f>_xlfn.XLOOKUP(Table11[[#This Row],[Total Score]],I:I,K:K,,-1)</f>
        <v>Poor</v>
      </c>
      <c r="L21" s="194" t="s">
        <v>17</v>
      </c>
      <c r="M21" s="53">
        <v>4073</v>
      </c>
      <c r="N21" s="91">
        <v>19</v>
      </c>
    </row>
    <row r="22" spans="2:14" ht="15" thickBot="1" x14ac:dyDescent="0.4">
      <c r="B22" s="95" t="s">
        <v>17</v>
      </c>
      <c r="C22" s="96" t="s">
        <v>21</v>
      </c>
      <c r="D22" s="96" t="s">
        <v>11</v>
      </c>
      <c r="E22" s="96" t="s">
        <v>15</v>
      </c>
      <c r="F22" s="96">
        <v>175</v>
      </c>
      <c r="G22" s="96">
        <f>RANK(Table11[[#This Row],[Total Score]],Table11[[Gender]:[Total Score]],0)</f>
        <v>181</v>
      </c>
      <c r="H22" s="97" t="str">
        <f>_xlfn.XLOOKUP(Table11[[#This Row],[Total Score]],I:I,K:K,,-1)</f>
        <v>Poor</v>
      </c>
      <c r="L22" s="41" t="s">
        <v>88</v>
      </c>
      <c r="M22" s="41">
        <v>46427</v>
      </c>
      <c r="N22" s="41">
        <v>226</v>
      </c>
    </row>
    <row r="23" spans="2:14" ht="15" thickTop="1" x14ac:dyDescent="0.35">
      <c r="B23" s="95" t="s">
        <v>8</v>
      </c>
      <c r="C23" s="96" t="s">
        <v>13</v>
      </c>
      <c r="D23" s="96" t="s">
        <v>11</v>
      </c>
      <c r="E23" s="96" t="s">
        <v>12</v>
      </c>
      <c r="F23" s="96">
        <v>206</v>
      </c>
      <c r="G23" s="96">
        <f>RANK(Table11[[#This Row],[Total Score]],Table11[[Gender]:[Total Score]],0)</f>
        <v>113</v>
      </c>
      <c r="H23" s="97" t="str">
        <f>_xlfn.XLOOKUP(Table11[[#This Row],[Total Score]],I:I,K:K,,-1)</f>
        <v>Fair</v>
      </c>
      <c r="L23"/>
      <c r="M23"/>
    </row>
    <row r="24" spans="2:14" x14ac:dyDescent="0.35">
      <c r="B24" s="95" t="s">
        <v>8</v>
      </c>
      <c r="C24" s="96" t="s">
        <v>21</v>
      </c>
      <c r="D24" s="96" t="s">
        <v>20</v>
      </c>
      <c r="E24" s="96" t="s">
        <v>15</v>
      </c>
      <c r="F24" s="96">
        <v>194</v>
      </c>
      <c r="G24" s="96">
        <f>RANK(Table11[[#This Row],[Total Score]],Table11[[Gender]:[Total Score]],0)</f>
        <v>139</v>
      </c>
      <c r="H24" s="97" t="str">
        <f>_xlfn.XLOOKUP(Table11[[#This Row],[Total Score]],I:I,K:K,,-1)</f>
        <v>Fair</v>
      </c>
      <c r="L24"/>
      <c r="M24"/>
    </row>
    <row r="25" spans="2:14" x14ac:dyDescent="0.35">
      <c r="B25" s="95" t="s">
        <v>17</v>
      </c>
      <c r="C25" s="96" t="s">
        <v>21</v>
      </c>
      <c r="D25" s="96" t="s">
        <v>11</v>
      </c>
      <c r="E25" s="96" t="s">
        <v>15</v>
      </c>
      <c r="F25" s="96">
        <v>181</v>
      </c>
      <c r="G25" s="96">
        <f>RANK(Table11[[#This Row],[Total Score]],Table11[[Gender]:[Total Score]],0)</f>
        <v>167</v>
      </c>
      <c r="H25" s="97" t="str">
        <f>_xlfn.XLOOKUP(Table11[[#This Row],[Total Score]],I:I,K:K,,-1)</f>
        <v>Fair</v>
      </c>
      <c r="L25"/>
      <c r="M25"/>
    </row>
    <row r="26" spans="2:14" x14ac:dyDescent="0.35">
      <c r="B26" s="95" t="s">
        <v>17</v>
      </c>
      <c r="C26" s="96" t="s">
        <v>18</v>
      </c>
      <c r="D26" s="96" t="s">
        <v>20</v>
      </c>
      <c r="E26" s="96" t="s">
        <v>15</v>
      </c>
      <c r="F26" s="96">
        <v>151</v>
      </c>
      <c r="G26" s="96">
        <f>RANK(Table11[[#This Row],[Total Score]],Table11[[Gender]:[Total Score]],0)</f>
        <v>208</v>
      </c>
      <c r="H26" s="97" t="str">
        <f>_xlfn.XLOOKUP(Table11[[#This Row],[Total Score]],I:I,K:K,,-1)</f>
        <v>Poor</v>
      </c>
      <c r="L26"/>
      <c r="M26"/>
    </row>
    <row r="27" spans="2:14" x14ac:dyDescent="0.35">
      <c r="B27" s="95" t="s">
        <v>8</v>
      </c>
      <c r="C27" s="96" t="s">
        <v>13</v>
      </c>
      <c r="D27" s="96" t="s">
        <v>11</v>
      </c>
      <c r="E27" s="96" t="s">
        <v>12</v>
      </c>
      <c r="F27" s="96">
        <v>235</v>
      </c>
      <c r="G27" s="96">
        <f>RANK(Table11[[#This Row],[Total Score]],Table11[[Gender]:[Total Score]],0)</f>
        <v>54</v>
      </c>
      <c r="H27" s="97" t="str">
        <f>_xlfn.XLOOKUP(Table11[[#This Row],[Total Score]],I:I,K:K,,-1)</f>
        <v>Good</v>
      </c>
      <c r="L27"/>
      <c r="M27"/>
    </row>
    <row r="28" spans="2:14" x14ac:dyDescent="0.35">
      <c r="B28" s="95" t="s">
        <v>8</v>
      </c>
      <c r="C28" s="96" t="s">
        <v>13</v>
      </c>
      <c r="D28" s="96" t="s">
        <v>20</v>
      </c>
      <c r="E28" s="96" t="s">
        <v>12</v>
      </c>
      <c r="F28" s="96">
        <v>247</v>
      </c>
      <c r="G28" s="96">
        <f>RANK(Table11[[#This Row],[Total Score]],Table11[[Gender]:[Total Score]],0)</f>
        <v>36</v>
      </c>
      <c r="H28" s="97" t="str">
        <f>_xlfn.XLOOKUP(Table11[[#This Row],[Total Score]],I:I,K:K,,-1)</f>
        <v>Very Good</v>
      </c>
      <c r="L28"/>
      <c r="M28"/>
    </row>
    <row r="29" spans="2:14" x14ac:dyDescent="0.35">
      <c r="B29" s="95" t="s">
        <v>8</v>
      </c>
      <c r="C29" s="96" t="s">
        <v>18</v>
      </c>
      <c r="D29" s="96" t="s">
        <v>11</v>
      </c>
      <c r="E29" s="96" t="s">
        <v>12</v>
      </c>
      <c r="F29" s="96">
        <v>195</v>
      </c>
      <c r="G29" s="96">
        <f>RANK(Table11[[#This Row],[Total Score]],Table11[[Gender]:[Total Score]],0)</f>
        <v>135</v>
      </c>
      <c r="H29" s="97" t="str">
        <f>_xlfn.XLOOKUP(Table11[[#This Row],[Total Score]],I:I,K:K,,-1)</f>
        <v>Fair</v>
      </c>
      <c r="L29"/>
      <c r="M29"/>
    </row>
    <row r="30" spans="2:14" x14ac:dyDescent="0.35">
      <c r="B30" s="95" t="s">
        <v>8</v>
      </c>
      <c r="C30" s="96" t="s">
        <v>9</v>
      </c>
      <c r="D30" s="96" t="s">
        <v>11</v>
      </c>
      <c r="E30" s="96" t="s">
        <v>12</v>
      </c>
      <c r="F30" s="96">
        <v>257</v>
      </c>
      <c r="G30" s="96">
        <f>RANK(Table11[[#This Row],[Total Score]],Table11[[Gender]:[Total Score]],0)</f>
        <v>23</v>
      </c>
      <c r="H30" s="97" t="str">
        <f>_xlfn.XLOOKUP(Table11[[#This Row],[Total Score]],I:I,K:K,,-1)</f>
        <v>Very Good</v>
      </c>
      <c r="L30"/>
      <c r="M30"/>
    </row>
    <row r="31" spans="2:14" x14ac:dyDescent="0.35">
      <c r="B31" s="95" t="s">
        <v>8</v>
      </c>
      <c r="C31" s="96" t="s">
        <v>24</v>
      </c>
      <c r="D31" s="96" t="s">
        <v>11</v>
      </c>
      <c r="E31" s="96" t="s">
        <v>15</v>
      </c>
      <c r="F31" s="96">
        <v>205</v>
      </c>
      <c r="G31" s="96">
        <f>RANK(Table11[[#This Row],[Total Score]],Table11[[Gender]:[Total Score]],0)</f>
        <v>116</v>
      </c>
      <c r="H31" s="97" t="str">
        <f>_xlfn.XLOOKUP(Table11[[#This Row],[Total Score]],I:I,K:K,,-1)</f>
        <v>Fair</v>
      </c>
      <c r="L31"/>
      <c r="M31"/>
    </row>
    <row r="32" spans="2:14" x14ac:dyDescent="0.35">
      <c r="B32" s="95" t="s">
        <v>8</v>
      </c>
      <c r="C32" s="96" t="s">
        <v>21</v>
      </c>
      <c r="D32" s="96" t="s">
        <v>20</v>
      </c>
      <c r="E32" s="96" t="s">
        <v>12</v>
      </c>
      <c r="F32" s="96">
        <v>187</v>
      </c>
      <c r="G32" s="96">
        <f>RANK(Table11[[#This Row],[Total Score]],Table11[[Gender]:[Total Score]],0)</f>
        <v>151</v>
      </c>
      <c r="H32" s="97" t="str">
        <f>_xlfn.XLOOKUP(Table11[[#This Row],[Total Score]],I:I,K:K,,-1)</f>
        <v>Fair</v>
      </c>
      <c r="L32"/>
      <c r="M32"/>
    </row>
    <row r="33" spans="2:13" x14ac:dyDescent="0.35">
      <c r="B33" s="95" t="s">
        <v>17</v>
      </c>
      <c r="C33" s="96" t="s">
        <v>9</v>
      </c>
      <c r="D33" s="96" t="s">
        <v>11</v>
      </c>
      <c r="E33" s="96" t="s">
        <v>12</v>
      </c>
      <c r="F33" s="96">
        <v>213</v>
      </c>
      <c r="G33" s="96">
        <f>RANK(Table11[[#This Row],[Total Score]],Table11[[Gender]:[Total Score]],0)</f>
        <v>99</v>
      </c>
      <c r="H33" s="97" t="str">
        <f>_xlfn.XLOOKUP(Table11[[#This Row],[Total Score]],I:I,K:K,,-1)</f>
        <v>Good</v>
      </c>
      <c r="L33"/>
      <c r="M33"/>
    </row>
    <row r="34" spans="2:13" x14ac:dyDescent="0.35">
      <c r="B34" s="95" t="s">
        <v>17</v>
      </c>
      <c r="C34" s="96" t="s">
        <v>13</v>
      </c>
      <c r="D34" s="96" t="s">
        <v>11</v>
      </c>
      <c r="E34" s="96" t="s">
        <v>15</v>
      </c>
      <c r="F34" s="96">
        <v>274</v>
      </c>
      <c r="G34" s="96">
        <f>RANK(Table11[[#This Row],[Total Score]],Table11[[Gender]:[Total Score]],0)</f>
        <v>9</v>
      </c>
      <c r="H34" s="97" t="str">
        <f>_xlfn.XLOOKUP(Table11[[#This Row],[Total Score]],I:I,K:K,,-1)</f>
        <v>Excellent</v>
      </c>
      <c r="L34"/>
      <c r="M34"/>
    </row>
    <row r="35" spans="2:13" x14ac:dyDescent="0.35">
      <c r="B35" s="95" t="s">
        <v>8</v>
      </c>
      <c r="C35" s="96" t="s">
        <v>13</v>
      </c>
      <c r="D35" s="96" t="s">
        <v>11</v>
      </c>
      <c r="E35" s="96" t="s">
        <v>12</v>
      </c>
      <c r="F35" s="96">
        <v>197</v>
      </c>
      <c r="G35" s="96">
        <f>RANK(Table11[[#This Row],[Total Score]],Table11[[Gender]:[Total Score]],0)</f>
        <v>130</v>
      </c>
      <c r="H35" s="97" t="str">
        <f>_xlfn.XLOOKUP(Table11[[#This Row],[Total Score]],I:I,K:K,,-1)</f>
        <v>Fair</v>
      </c>
      <c r="L35"/>
      <c r="M35"/>
    </row>
    <row r="36" spans="2:13" x14ac:dyDescent="0.35">
      <c r="B36" s="95" t="s">
        <v>8</v>
      </c>
      <c r="C36" s="96" t="s">
        <v>21</v>
      </c>
      <c r="D36" s="96" t="s">
        <v>11</v>
      </c>
      <c r="E36" s="96" t="s">
        <v>12</v>
      </c>
      <c r="F36" s="96">
        <v>163</v>
      </c>
      <c r="G36" s="96">
        <f>RANK(Table11[[#This Row],[Total Score]],Table11[[Gender]:[Total Score]],0)</f>
        <v>196</v>
      </c>
      <c r="H36" s="97" t="str">
        <f>_xlfn.XLOOKUP(Table11[[#This Row],[Total Score]],I:I,K:K,,-1)</f>
        <v>Poor</v>
      </c>
      <c r="L36"/>
      <c r="M36"/>
    </row>
    <row r="37" spans="2:13" x14ac:dyDescent="0.35">
      <c r="B37" s="95" t="s">
        <v>8</v>
      </c>
      <c r="C37" s="96" t="s">
        <v>13</v>
      </c>
      <c r="D37" s="96" t="s">
        <v>11</v>
      </c>
      <c r="E37" s="96" t="s">
        <v>12</v>
      </c>
      <c r="F37" s="96">
        <v>189</v>
      </c>
      <c r="G37" s="96">
        <f>RANK(Table11[[#This Row],[Total Score]],Table11[[Gender]:[Total Score]],0)</f>
        <v>147</v>
      </c>
      <c r="H37" s="97" t="str">
        <f>_xlfn.XLOOKUP(Table11[[#This Row],[Total Score]],I:I,K:K,,-1)</f>
        <v>Fair</v>
      </c>
      <c r="L37"/>
      <c r="M37"/>
    </row>
    <row r="38" spans="2:13" x14ac:dyDescent="0.35">
      <c r="B38" s="95" t="s">
        <v>8</v>
      </c>
      <c r="C38" s="96" t="s">
        <v>13</v>
      </c>
      <c r="D38" s="96" t="s">
        <v>11</v>
      </c>
      <c r="E38" s="96" t="s">
        <v>15</v>
      </c>
      <c r="F38" s="96">
        <v>274</v>
      </c>
      <c r="G38" s="96">
        <f>RANK(Table11[[#This Row],[Total Score]],Table11[[Gender]:[Total Score]],0)</f>
        <v>9</v>
      </c>
      <c r="H38" s="97" t="str">
        <f>_xlfn.XLOOKUP(Table11[[#This Row],[Total Score]],I:I,K:K,,-1)</f>
        <v>Excellent</v>
      </c>
      <c r="L38"/>
      <c r="M38"/>
    </row>
    <row r="39" spans="2:13" x14ac:dyDescent="0.35">
      <c r="B39" s="95" t="s">
        <v>17</v>
      </c>
      <c r="C39" s="96" t="s">
        <v>24</v>
      </c>
      <c r="D39" s="96" t="s">
        <v>11</v>
      </c>
      <c r="E39" s="96" t="s">
        <v>12</v>
      </c>
      <c r="F39" s="96">
        <v>236</v>
      </c>
      <c r="G39" s="96">
        <f>RANK(Table11[[#This Row],[Total Score]],Table11[[Gender]:[Total Score]],0)</f>
        <v>50</v>
      </c>
      <c r="H39" s="97" t="str">
        <f>_xlfn.XLOOKUP(Table11[[#This Row],[Total Score]],I:I,K:K,,-1)</f>
        <v>Good</v>
      </c>
      <c r="L39"/>
      <c r="M39"/>
    </row>
    <row r="40" spans="2:13" x14ac:dyDescent="0.35">
      <c r="B40" s="95" t="s">
        <v>17</v>
      </c>
      <c r="C40" s="96" t="s">
        <v>21</v>
      </c>
      <c r="D40" s="96" t="s">
        <v>11</v>
      </c>
      <c r="E40" s="96" t="s">
        <v>15</v>
      </c>
      <c r="F40" s="96">
        <v>216</v>
      </c>
      <c r="G40" s="96">
        <f>RANK(Table11[[#This Row],[Total Score]],Table11[[Gender]:[Total Score]],0)</f>
        <v>96</v>
      </c>
      <c r="H40" s="97" t="str">
        <f>_xlfn.XLOOKUP(Table11[[#This Row],[Total Score]],I:I,K:K,,-1)</f>
        <v>Good</v>
      </c>
      <c r="L40"/>
      <c r="M40"/>
    </row>
    <row r="41" spans="2:13" x14ac:dyDescent="0.35">
      <c r="B41" s="95" t="s">
        <v>17</v>
      </c>
      <c r="C41" s="96" t="s">
        <v>24</v>
      </c>
      <c r="D41" s="96" t="s">
        <v>20</v>
      </c>
      <c r="E41" s="96" t="s">
        <v>15</v>
      </c>
      <c r="F41" s="96">
        <v>231</v>
      </c>
      <c r="G41" s="96">
        <f>RANK(Table11[[#This Row],[Total Score]],Table11[[Gender]:[Total Score]],0)</f>
        <v>62</v>
      </c>
      <c r="H41" s="97" t="str">
        <f>_xlfn.XLOOKUP(Table11[[#This Row],[Total Score]],I:I,K:K,,-1)</f>
        <v>Good</v>
      </c>
      <c r="L41"/>
      <c r="M41"/>
    </row>
    <row r="42" spans="2:13" x14ac:dyDescent="0.35">
      <c r="B42" s="95" t="s">
        <v>8</v>
      </c>
      <c r="C42" s="96" t="s">
        <v>13</v>
      </c>
      <c r="D42" s="96" t="s">
        <v>11</v>
      </c>
      <c r="E42" s="96" t="s">
        <v>15</v>
      </c>
      <c r="F42" s="96">
        <v>240</v>
      </c>
      <c r="G42" s="96">
        <f>RANK(Table11[[#This Row],[Total Score]],Table11[[Gender]:[Total Score]],0)</f>
        <v>45</v>
      </c>
      <c r="H42" s="97" t="str">
        <f>_xlfn.XLOOKUP(Table11[[#This Row],[Total Score]],I:I,K:K,,-1)</f>
        <v>Very Good</v>
      </c>
      <c r="L42"/>
      <c r="M42"/>
    </row>
    <row r="43" spans="2:13" x14ac:dyDescent="0.35">
      <c r="B43" s="95" t="s">
        <v>17</v>
      </c>
      <c r="C43" s="96" t="s">
        <v>21</v>
      </c>
      <c r="D43" s="96" t="s">
        <v>11</v>
      </c>
      <c r="E43" s="96" t="s">
        <v>15</v>
      </c>
      <c r="F43" s="96">
        <v>201</v>
      </c>
      <c r="G43" s="96">
        <f>RANK(Table11[[#This Row],[Total Score]],Table11[[Gender]:[Total Score]],0)</f>
        <v>124</v>
      </c>
      <c r="H43" s="97" t="str">
        <f>_xlfn.XLOOKUP(Table11[[#This Row],[Total Score]],I:I,K:K,,-1)</f>
        <v>Fair</v>
      </c>
    </row>
    <row r="44" spans="2:13" x14ac:dyDescent="0.35">
      <c r="B44" s="95" t="s">
        <v>8</v>
      </c>
      <c r="C44" s="96" t="s">
        <v>13</v>
      </c>
      <c r="D44" s="96" t="s">
        <v>20</v>
      </c>
      <c r="E44" s="96" t="s">
        <v>12</v>
      </c>
      <c r="F44" s="96">
        <v>185</v>
      </c>
      <c r="G44" s="96">
        <f>RANK(Table11[[#This Row],[Total Score]],Table11[[Gender]:[Total Score]],0)</f>
        <v>156</v>
      </c>
      <c r="H44" s="97" t="str">
        <f>_xlfn.XLOOKUP(Table11[[#This Row],[Total Score]],I:I,K:K,,-1)</f>
        <v>Fair</v>
      </c>
    </row>
    <row r="45" spans="2:13" x14ac:dyDescent="0.35">
      <c r="B45" s="95" t="s">
        <v>8</v>
      </c>
      <c r="C45" s="96" t="s">
        <v>24</v>
      </c>
      <c r="D45" s="96" t="s">
        <v>20</v>
      </c>
      <c r="E45" s="96" t="s">
        <v>15</v>
      </c>
      <c r="F45" s="96">
        <v>151</v>
      </c>
      <c r="G45" s="96">
        <f>RANK(Table11[[#This Row],[Total Score]],Table11[[Gender]:[Total Score]],0)</f>
        <v>208</v>
      </c>
      <c r="H45" s="97" t="str">
        <f>_xlfn.XLOOKUP(Table11[[#This Row],[Total Score]],I:I,K:K,,-1)</f>
        <v>Poor</v>
      </c>
    </row>
    <row r="46" spans="2:13" x14ac:dyDescent="0.35">
      <c r="B46" s="95" t="s">
        <v>17</v>
      </c>
      <c r="C46" s="96" t="s">
        <v>21</v>
      </c>
      <c r="D46" s="96" t="s">
        <v>11</v>
      </c>
      <c r="E46" s="96" t="s">
        <v>12</v>
      </c>
      <c r="F46" s="96">
        <v>239</v>
      </c>
      <c r="G46" s="96">
        <f>RANK(Table11[[#This Row],[Total Score]],Table11[[Gender]:[Total Score]],0)</f>
        <v>47</v>
      </c>
      <c r="H46" s="97" t="str">
        <f>_xlfn.XLOOKUP(Table11[[#This Row],[Total Score]],I:I,K:K,,-1)</f>
        <v>Good</v>
      </c>
    </row>
    <row r="47" spans="2:13" x14ac:dyDescent="0.35">
      <c r="B47" s="95" t="s">
        <v>8</v>
      </c>
      <c r="C47" s="96" t="s">
        <v>13</v>
      </c>
      <c r="D47" s="96" t="s">
        <v>20</v>
      </c>
      <c r="E47" s="96" t="s">
        <v>12</v>
      </c>
      <c r="F47" s="96">
        <v>94</v>
      </c>
      <c r="G47" s="96">
        <f>RANK(Table11[[#This Row],[Total Score]],Table11[[Gender]:[Total Score]],0)</f>
        <v>223</v>
      </c>
      <c r="H47" s="97" t="str">
        <f>_xlfn.XLOOKUP(Table11[[#This Row],[Total Score]],I:I,K:K,,-1)</f>
        <v>Poor</v>
      </c>
    </row>
    <row r="48" spans="2:13" x14ac:dyDescent="0.35">
      <c r="B48" s="95" t="s">
        <v>8</v>
      </c>
      <c r="C48" s="96" t="s">
        <v>13</v>
      </c>
      <c r="D48" s="96" t="s">
        <v>11</v>
      </c>
      <c r="E48" s="96" t="s">
        <v>15</v>
      </c>
      <c r="F48" s="96">
        <v>247</v>
      </c>
      <c r="G48" s="96">
        <f>RANK(Table11[[#This Row],[Total Score]],Table11[[Gender]:[Total Score]],0)</f>
        <v>36</v>
      </c>
      <c r="H48" s="97" t="str">
        <f>_xlfn.XLOOKUP(Table11[[#This Row],[Total Score]],I:I,K:K,,-1)</f>
        <v>Very Good</v>
      </c>
    </row>
    <row r="49" spans="2:8" x14ac:dyDescent="0.35">
      <c r="B49" s="95" t="s">
        <v>17</v>
      </c>
      <c r="C49" s="96" t="s">
        <v>9</v>
      </c>
      <c r="D49" s="96" t="s">
        <v>20</v>
      </c>
      <c r="E49" s="96" t="s">
        <v>12</v>
      </c>
      <c r="F49" s="96">
        <v>180</v>
      </c>
      <c r="G49" s="96">
        <f>RANK(Table11[[#This Row],[Total Score]],Table11[[Gender]:[Total Score]],0)</f>
        <v>169</v>
      </c>
      <c r="H49" s="97" t="str">
        <f>_xlfn.XLOOKUP(Table11[[#This Row],[Total Score]],I:I,K:K,,-1)</f>
        <v>Fair</v>
      </c>
    </row>
    <row r="50" spans="2:8" x14ac:dyDescent="0.35">
      <c r="B50" s="95" t="s">
        <v>8</v>
      </c>
      <c r="C50" s="96" t="s">
        <v>24</v>
      </c>
      <c r="D50" s="96" t="s">
        <v>20</v>
      </c>
      <c r="E50" s="96" t="s">
        <v>15</v>
      </c>
      <c r="F50" s="96">
        <v>248</v>
      </c>
      <c r="G50" s="96">
        <f>RANK(Table11[[#This Row],[Total Score]],Table11[[Gender]:[Total Score]],0)</f>
        <v>35</v>
      </c>
      <c r="H50" s="97" t="str">
        <f>_xlfn.XLOOKUP(Table11[[#This Row],[Total Score]],I:I,K:K,,-1)</f>
        <v>Very Good</v>
      </c>
    </row>
    <row r="51" spans="2:8" x14ac:dyDescent="0.35">
      <c r="B51" s="95" t="s">
        <v>8</v>
      </c>
      <c r="C51" s="96" t="s">
        <v>13</v>
      </c>
      <c r="D51" s="96" t="s">
        <v>20</v>
      </c>
      <c r="E51" s="96" t="s">
        <v>15</v>
      </c>
      <c r="F51" s="96">
        <v>212</v>
      </c>
      <c r="G51" s="96">
        <f>RANK(Table11[[#This Row],[Total Score]],Table11[[Gender]:[Total Score]],0)</f>
        <v>103</v>
      </c>
      <c r="H51" s="97" t="str">
        <f>_xlfn.XLOOKUP(Table11[[#This Row],[Total Score]],I:I,K:K,,-1)</f>
        <v>Good</v>
      </c>
    </row>
    <row r="52" spans="2:8" x14ac:dyDescent="0.35">
      <c r="B52" s="95" t="s">
        <v>8</v>
      </c>
      <c r="C52" s="96" t="s">
        <v>21</v>
      </c>
      <c r="D52" s="96" t="s">
        <v>11</v>
      </c>
      <c r="E52" s="96" t="s">
        <v>12</v>
      </c>
      <c r="F52" s="96">
        <v>246</v>
      </c>
      <c r="G52" s="96">
        <f>RANK(Table11[[#This Row],[Total Score]],Table11[[Gender]:[Total Score]],0)</f>
        <v>41</v>
      </c>
      <c r="H52" s="97" t="str">
        <f>_xlfn.XLOOKUP(Table11[[#This Row],[Total Score]],I:I,K:K,,-1)</f>
        <v>Very Good</v>
      </c>
    </row>
    <row r="53" spans="2:8" x14ac:dyDescent="0.35">
      <c r="B53" s="95" t="s">
        <v>8</v>
      </c>
      <c r="C53" s="96" t="s">
        <v>13</v>
      </c>
      <c r="D53" s="96" t="s">
        <v>20</v>
      </c>
      <c r="E53" s="96" t="s">
        <v>12</v>
      </c>
      <c r="F53" s="96">
        <v>176</v>
      </c>
      <c r="G53" s="96">
        <f>RANK(Table11[[#This Row],[Total Score]],Table11[[Gender]:[Total Score]],0)</f>
        <v>179</v>
      </c>
      <c r="H53" s="97" t="str">
        <f>_xlfn.XLOOKUP(Table11[[#This Row],[Total Score]],I:I,K:K,,-1)</f>
        <v>Poor</v>
      </c>
    </row>
    <row r="54" spans="2:8" x14ac:dyDescent="0.35">
      <c r="B54" s="95" t="s">
        <v>17</v>
      </c>
      <c r="C54" s="96" t="s">
        <v>21</v>
      </c>
      <c r="D54" s="96" t="s">
        <v>11</v>
      </c>
      <c r="E54" s="96" t="s">
        <v>15</v>
      </c>
      <c r="F54" s="96">
        <v>238</v>
      </c>
      <c r="G54" s="96">
        <f>RANK(Table11[[#This Row],[Total Score]],Table11[[Gender]:[Total Score]],0)</f>
        <v>48</v>
      </c>
      <c r="H54" s="97" t="str">
        <f>_xlfn.XLOOKUP(Table11[[#This Row],[Total Score]],I:I,K:K,,-1)</f>
        <v>Good</v>
      </c>
    </row>
    <row r="55" spans="2:8" x14ac:dyDescent="0.35">
      <c r="B55" s="95" t="s">
        <v>17</v>
      </c>
      <c r="C55" s="96" t="s">
        <v>21</v>
      </c>
      <c r="D55" s="96" t="s">
        <v>11</v>
      </c>
      <c r="E55" s="96" t="s">
        <v>15</v>
      </c>
      <c r="F55" s="96">
        <v>201</v>
      </c>
      <c r="G55" s="96">
        <f>RANK(Table11[[#This Row],[Total Score]],Table11[[Gender]:[Total Score]],0)</f>
        <v>124</v>
      </c>
      <c r="H55" s="97" t="str">
        <f>_xlfn.XLOOKUP(Table11[[#This Row],[Total Score]],I:I,K:K,,-1)</f>
        <v>Fair</v>
      </c>
    </row>
    <row r="56" spans="2:8" x14ac:dyDescent="0.35">
      <c r="B56" s="95" t="s">
        <v>8</v>
      </c>
      <c r="C56" s="96" t="s">
        <v>9</v>
      </c>
      <c r="D56" s="96" t="s">
        <v>20</v>
      </c>
      <c r="E56" s="96" t="s">
        <v>12</v>
      </c>
      <c r="F56" s="96">
        <v>153</v>
      </c>
      <c r="G56" s="96">
        <f>RANK(Table11[[#This Row],[Total Score]],Table11[[Gender]:[Total Score]],0)</f>
        <v>202</v>
      </c>
      <c r="H56" s="97" t="str">
        <f>_xlfn.XLOOKUP(Table11[[#This Row],[Total Score]],I:I,K:K,,-1)</f>
        <v>Poor</v>
      </c>
    </row>
    <row r="57" spans="2:8" x14ac:dyDescent="0.35">
      <c r="B57" s="95" t="s">
        <v>8</v>
      </c>
      <c r="C57" s="96" t="s">
        <v>21</v>
      </c>
      <c r="D57" s="96" t="s">
        <v>20</v>
      </c>
      <c r="E57" s="96" t="s">
        <v>12</v>
      </c>
      <c r="F57" s="96">
        <v>223</v>
      </c>
      <c r="G57" s="96">
        <f>RANK(Table11[[#This Row],[Total Score]],Table11[[Gender]:[Total Score]],0)</f>
        <v>76</v>
      </c>
      <c r="H57" s="97" t="str">
        <f>_xlfn.XLOOKUP(Table11[[#This Row],[Total Score]],I:I,K:K,,-1)</f>
        <v>Good</v>
      </c>
    </row>
    <row r="58" spans="2:8" x14ac:dyDescent="0.35">
      <c r="B58" s="95" t="s">
        <v>17</v>
      </c>
      <c r="C58" s="96" t="s">
        <v>13</v>
      </c>
      <c r="D58" s="96" t="s">
        <v>11</v>
      </c>
      <c r="E58" s="96" t="s">
        <v>12</v>
      </c>
      <c r="F58" s="96">
        <v>142</v>
      </c>
      <c r="G58" s="96">
        <f>RANK(Table11[[#This Row],[Total Score]],Table11[[Gender]:[Total Score]],0)</f>
        <v>213</v>
      </c>
      <c r="H58" s="97" t="str">
        <f>_xlfn.XLOOKUP(Table11[[#This Row],[Total Score]],I:I,K:K,,-1)</f>
        <v>Poor</v>
      </c>
    </row>
    <row r="59" spans="2:8" x14ac:dyDescent="0.35">
      <c r="B59" s="95" t="s">
        <v>8</v>
      </c>
      <c r="C59" s="96" t="s">
        <v>9</v>
      </c>
      <c r="D59" s="96" t="s">
        <v>20</v>
      </c>
      <c r="E59" s="96" t="s">
        <v>12</v>
      </c>
      <c r="F59" s="96">
        <v>231</v>
      </c>
      <c r="G59" s="96">
        <f>RANK(Table11[[#This Row],[Total Score]],Table11[[Gender]:[Total Score]],0)</f>
        <v>62</v>
      </c>
      <c r="H59" s="97" t="str">
        <f>_xlfn.XLOOKUP(Table11[[#This Row],[Total Score]],I:I,K:K,,-1)</f>
        <v>Good</v>
      </c>
    </row>
    <row r="60" spans="2:8" x14ac:dyDescent="0.35">
      <c r="B60" s="95" t="s">
        <v>8</v>
      </c>
      <c r="C60" s="96" t="s">
        <v>9</v>
      </c>
      <c r="D60" s="96" t="s">
        <v>20</v>
      </c>
      <c r="E60" s="96" t="s">
        <v>12</v>
      </c>
      <c r="F60" s="96">
        <v>185</v>
      </c>
      <c r="G60" s="96">
        <f>RANK(Table11[[#This Row],[Total Score]],Table11[[Gender]:[Total Score]],0)</f>
        <v>156</v>
      </c>
      <c r="H60" s="97" t="str">
        <f>_xlfn.XLOOKUP(Table11[[#This Row],[Total Score]],I:I,K:K,,-1)</f>
        <v>Fair</v>
      </c>
    </row>
    <row r="61" spans="2:8" x14ac:dyDescent="0.35">
      <c r="B61" s="95" t="s">
        <v>17</v>
      </c>
      <c r="C61" s="96" t="s">
        <v>13</v>
      </c>
      <c r="D61" s="96" t="s">
        <v>20</v>
      </c>
      <c r="E61" s="96" t="s">
        <v>12</v>
      </c>
      <c r="F61" s="96">
        <v>90</v>
      </c>
      <c r="G61" s="96">
        <f>RANK(Table11[[#This Row],[Total Score]],Table11[[Gender]:[Total Score]],0)</f>
        <v>224</v>
      </c>
      <c r="H61" s="97" t="str">
        <f>_xlfn.XLOOKUP(Table11[[#This Row],[Total Score]],I:I,K:K,,-1)</f>
        <v>Poor</v>
      </c>
    </row>
    <row r="62" spans="2:8" x14ac:dyDescent="0.35">
      <c r="B62" s="95" t="s">
        <v>8</v>
      </c>
      <c r="C62" s="96" t="s">
        <v>13</v>
      </c>
      <c r="D62" s="96" t="s">
        <v>11</v>
      </c>
      <c r="E62" s="96" t="s">
        <v>12</v>
      </c>
      <c r="F62" s="96">
        <v>215</v>
      </c>
      <c r="G62" s="96">
        <f>RANK(Table11[[#This Row],[Total Score]],Table11[[Gender]:[Total Score]],0)</f>
        <v>98</v>
      </c>
      <c r="H62" s="97" t="str">
        <f>_xlfn.XLOOKUP(Table11[[#This Row],[Total Score]],I:I,K:K,,-1)</f>
        <v>Good</v>
      </c>
    </row>
    <row r="63" spans="2:8" x14ac:dyDescent="0.35">
      <c r="B63" s="95" t="s">
        <v>8</v>
      </c>
      <c r="C63" s="96" t="s">
        <v>13</v>
      </c>
      <c r="D63" s="96" t="s">
        <v>11</v>
      </c>
      <c r="E63" s="96" t="s">
        <v>15</v>
      </c>
      <c r="F63" s="96">
        <v>277</v>
      </c>
      <c r="G63" s="96">
        <f>RANK(Table11[[#This Row],[Total Score]],Table11[[Gender]:[Total Score]],0)</f>
        <v>6</v>
      </c>
      <c r="H63" s="97" t="str">
        <f>_xlfn.XLOOKUP(Table11[[#This Row],[Total Score]],I:I,K:K,,-1)</f>
        <v>Excellent</v>
      </c>
    </row>
    <row r="64" spans="2:8" x14ac:dyDescent="0.35">
      <c r="B64" s="95" t="s">
        <v>17</v>
      </c>
      <c r="C64" s="96" t="s">
        <v>21</v>
      </c>
      <c r="D64" s="96" t="s">
        <v>11</v>
      </c>
      <c r="E64" s="96" t="s">
        <v>12</v>
      </c>
      <c r="F64" s="96">
        <v>206</v>
      </c>
      <c r="G64" s="96">
        <f>RANK(Table11[[#This Row],[Total Score]],Table11[[Gender]:[Total Score]],0)</f>
        <v>113</v>
      </c>
      <c r="H64" s="97" t="str">
        <f>_xlfn.XLOOKUP(Table11[[#This Row],[Total Score]],I:I,K:K,,-1)</f>
        <v>Fair</v>
      </c>
    </row>
    <row r="65" spans="2:8" x14ac:dyDescent="0.35">
      <c r="B65" s="95" t="s">
        <v>17</v>
      </c>
      <c r="C65" s="96" t="s">
        <v>9</v>
      </c>
      <c r="D65" s="96" t="s">
        <v>11</v>
      </c>
      <c r="E65" s="96" t="s">
        <v>12</v>
      </c>
      <c r="F65" s="96">
        <v>157</v>
      </c>
      <c r="G65" s="96">
        <f>RANK(Table11[[#This Row],[Total Score]],Table11[[Gender]:[Total Score]],0)</f>
        <v>198</v>
      </c>
      <c r="H65" s="97" t="str">
        <f>_xlfn.XLOOKUP(Table11[[#This Row],[Total Score]],I:I,K:K,,-1)</f>
        <v>Poor</v>
      </c>
    </row>
    <row r="66" spans="2:8" x14ac:dyDescent="0.35">
      <c r="B66" s="95" t="s">
        <v>17</v>
      </c>
      <c r="C66" s="96" t="s">
        <v>24</v>
      </c>
      <c r="D66" s="96" t="s">
        <v>11</v>
      </c>
      <c r="E66" s="96" t="s">
        <v>12</v>
      </c>
      <c r="F66" s="96">
        <v>153</v>
      </c>
      <c r="G66" s="96">
        <f>RANK(Table11[[#This Row],[Total Score]],Table11[[Gender]:[Total Score]],0)</f>
        <v>202</v>
      </c>
      <c r="H66" s="97" t="str">
        <f>_xlfn.XLOOKUP(Table11[[#This Row],[Total Score]],I:I,K:K,,-1)</f>
        <v>Poor</v>
      </c>
    </row>
    <row r="67" spans="2:8" x14ac:dyDescent="0.35">
      <c r="B67" s="95" t="s">
        <v>8</v>
      </c>
      <c r="C67" s="96" t="s">
        <v>21</v>
      </c>
      <c r="D67" s="96" t="s">
        <v>20</v>
      </c>
      <c r="E67" s="96" t="s">
        <v>12</v>
      </c>
      <c r="F67" s="96">
        <v>237</v>
      </c>
      <c r="G67" s="96">
        <f>RANK(Table11[[#This Row],[Total Score]],Table11[[Gender]:[Total Score]],0)</f>
        <v>49</v>
      </c>
      <c r="H67" s="97" t="str">
        <f>_xlfn.XLOOKUP(Table11[[#This Row],[Total Score]],I:I,K:K,,-1)</f>
        <v>Good</v>
      </c>
    </row>
    <row r="68" spans="2:8" x14ac:dyDescent="0.35">
      <c r="B68" s="95" t="s">
        <v>8</v>
      </c>
      <c r="C68" s="96" t="s">
        <v>24</v>
      </c>
      <c r="D68" s="96" t="s">
        <v>11</v>
      </c>
      <c r="E68" s="96" t="s">
        <v>12</v>
      </c>
      <c r="F68" s="96">
        <v>205</v>
      </c>
      <c r="G68" s="96">
        <f>RANK(Table11[[#This Row],[Total Score]],Table11[[Gender]:[Total Score]],0)</f>
        <v>116</v>
      </c>
      <c r="H68" s="97" t="str">
        <f>_xlfn.XLOOKUP(Table11[[#This Row],[Total Score]],I:I,K:K,,-1)</f>
        <v>Fair</v>
      </c>
    </row>
    <row r="69" spans="2:8" x14ac:dyDescent="0.35">
      <c r="B69" s="95" t="s">
        <v>8</v>
      </c>
      <c r="C69" s="96" t="s">
        <v>9</v>
      </c>
      <c r="D69" s="96" t="s">
        <v>11</v>
      </c>
      <c r="E69" s="96" t="s">
        <v>12</v>
      </c>
      <c r="F69" s="96">
        <v>223</v>
      </c>
      <c r="G69" s="96">
        <f>RANK(Table11[[#This Row],[Total Score]],Table11[[Gender]:[Total Score]],0)</f>
        <v>76</v>
      </c>
      <c r="H69" s="97" t="str">
        <f>_xlfn.XLOOKUP(Table11[[#This Row],[Total Score]],I:I,K:K,,-1)</f>
        <v>Good</v>
      </c>
    </row>
    <row r="70" spans="2:8" x14ac:dyDescent="0.35">
      <c r="B70" s="95" t="s">
        <v>17</v>
      </c>
      <c r="C70" s="96" t="s">
        <v>13</v>
      </c>
      <c r="D70" s="96" t="s">
        <v>11</v>
      </c>
      <c r="E70" s="96" t="s">
        <v>15</v>
      </c>
      <c r="F70" s="96">
        <v>236</v>
      </c>
      <c r="G70" s="96">
        <f>RANK(Table11[[#This Row],[Total Score]],Table11[[Gender]:[Total Score]],0)</f>
        <v>50</v>
      </c>
      <c r="H70" s="97" t="str">
        <f>_xlfn.XLOOKUP(Table11[[#This Row],[Total Score]],I:I,K:K,,-1)</f>
        <v>Good</v>
      </c>
    </row>
    <row r="71" spans="2:8" x14ac:dyDescent="0.35">
      <c r="B71" s="95" t="s">
        <v>8</v>
      </c>
      <c r="C71" s="96" t="s">
        <v>24</v>
      </c>
      <c r="D71" s="96" t="s">
        <v>20</v>
      </c>
      <c r="E71" s="96" t="s">
        <v>12</v>
      </c>
      <c r="F71" s="96">
        <v>217</v>
      </c>
      <c r="G71" s="96">
        <f>RANK(Table11[[#This Row],[Total Score]],Table11[[Gender]:[Total Score]],0)</f>
        <v>93</v>
      </c>
      <c r="H71" s="97" t="str">
        <f>_xlfn.XLOOKUP(Table11[[#This Row],[Total Score]],I:I,K:K,,-1)</f>
        <v>Good</v>
      </c>
    </row>
    <row r="72" spans="2:8" x14ac:dyDescent="0.35">
      <c r="B72" s="95" t="s">
        <v>17</v>
      </c>
      <c r="C72" s="96" t="s">
        <v>13</v>
      </c>
      <c r="D72" s="96" t="s">
        <v>11</v>
      </c>
      <c r="E72" s="96" t="s">
        <v>12</v>
      </c>
      <c r="F72" s="96">
        <v>149</v>
      </c>
      <c r="G72" s="96">
        <f>RANK(Table11[[#This Row],[Total Score]],Table11[[Gender]:[Total Score]],0)</f>
        <v>212</v>
      </c>
      <c r="H72" s="97" t="str">
        <f>_xlfn.XLOOKUP(Table11[[#This Row],[Total Score]],I:I,K:K,,-1)</f>
        <v>Poor</v>
      </c>
    </row>
    <row r="73" spans="2:8" x14ac:dyDescent="0.35">
      <c r="B73" s="95" t="s">
        <v>8</v>
      </c>
      <c r="C73" s="96" t="s">
        <v>21</v>
      </c>
      <c r="D73" s="96" t="s">
        <v>11</v>
      </c>
      <c r="E73" s="96" t="s">
        <v>12</v>
      </c>
      <c r="F73" s="96">
        <v>206</v>
      </c>
      <c r="G73" s="96">
        <f>RANK(Table11[[#This Row],[Total Score]],Table11[[Gender]:[Total Score]],0)</f>
        <v>113</v>
      </c>
      <c r="H73" s="97" t="str">
        <f>_xlfn.XLOOKUP(Table11[[#This Row],[Total Score]],I:I,K:K,,-1)</f>
        <v>Fair</v>
      </c>
    </row>
    <row r="74" spans="2:8" x14ac:dyDescent="0.35">
      <c r="B74" s="95" t="s">
        <v>17</v>
      </c>
      <c r="C74" s="96" t="s">
        <v>9</v>
      </c>
      <c r="D74" s="96" t="s">
        <v>11</v>
      </c>
      <c r="E74" s="96" t="s">
        <v>15</v>
      </c>
      <c r="F74" s="96">
        <v>249</v>
      </c>
      <c r="G74" s="96">
        <f>RANK(Table11[[#This Row],[Total Score]],Table11[[Gender]:[Total Score]],0)</f>
        <v>33</v>
      </c>
      <c r="H74" s="97" t="str">
        <f>_xlfn.XLOOKUP(Table11[[#This Row],[Total Score]],I:I,K:K,,-1)</f>
        <v>Very Good</v>
      </c>
    </row>
    <row r="75" spans="2:8" x14ac:dyDescent="0.35">
      <c r="B75" s="95" t="s">
        <v>8</v>
      </c>
      <c r="C75" s="96" t="s">
        <v>21</v>
      </c>
      <c r="D75" s="96" t="s">
        <v>20</v>
      </c>
      <c r="E75" s="96" t="s">
        <v>15</v>
      </c>
      <c r="F75" s="96">
        <v>226</v>
      </c>
      <c r="G75" s="96">
        <f>RANK(Table11[[#This Row],[Total Score]],Table11[[Gender]:[Total Score]],0)</f>
        <v>73</v>
      </c>
      <c r="H75" s="97" t="str">
        <f>_xlfn.XLOOKUP(Table11[[#This Row],[Total Score]],I:I,K:K,,-1)</f>
        <v>Good</v>
      </c>
    </row>
    <row r="76" spans="2:8" x14ac:dyDescent="0.35">
      <c r="B76" s="95" t="s">
        <v>17</v>
      </c>
      <c r="C76" s="96" t="s">
        <v>18</v>
      </c>
      <c r="D76" s="96" t="s">
        <v>20</v>
      </c>
      <c r="E76" s="96" t="s">
        <v>15</v>
      </c>
      <c r="F76" s="96">
        <v>240</v>
      </c>
      <c r="G76" s="96">
        <f>RANK(Table11[[#This Row],[Total Score]],Table11[[Gender]:[Total Score]],0)</f>
        <v>45</v>
      </c>
      <c r="H76" s="97" t="str">
        <f>_xlfn.XLOOKUP(Table11[[#This Row],[Total Score]],I:I,K:K,,-1)</f>
        <v>Very Good</v>
      </c>
    </row>
    <row r="77" spans="2:8" x14ac:dyDescent="0.35">
      <c r="B77" s="95" t="s">
        <v>17</v>
      </c>
      <c r="C77" s="96" t="s">
        <v>18</v>
      </c>
      <c r="D77" s="96" t="s">
        <v>11</v>
      </c>
      <c r="E77" s="96" t="s">
        <v>12</v>
      </c>
      <c r="F77" s="96">
        <v>205</v>
      </c>
      <c r="G77" s="96">
        <f>RANK(Table11[[#This Row],[Total Score]],Table11[[Gender]:[Total Score]],0)</f>
        <v>116</v>
      </c>
      <c r="H77" s="97" t="str">
        <f>_xlfn.XLOOKUP(Table11[[#This Row],[Total Score]],I:I,K:K,,-1)</f>
        <v>Fair</v>
      </c>
    </row>
    <row r="78" spans="2:8" x14ac:dyDescent="0.35">
      <c r="B78" s="95" t="s">
        <v>17</v>
      </c>
      <c r="C78" s="96" t="s">
        <v>24</v>
      </c>
      <c r="D78" s="96" t="s">
        <v>11</v>
      </c>
      <c r="E78" s="96" t="s">
        <v>15</v>
      </c>
      <c r="F78" s="96">
        <v>267</v>
      </c>
      <c r="G78" s="96">
        <f>RANK(Table11[[#This Row],[Total Score]],Table11[[Gender]:[Total Score]],0)</f>
        <v>13</v>
      </c>
      <c r="H78" s="97" t="str">
        <f>_xlfn.XLOOKUP(Table11[[#This Row],[Total Score]],I:I,K:K,,-1)</f>
        <v>Very Good</v>
      </c>
    </row>
    <row r="79" spans="2:8" x14ac:dyDescent="0.35">
      <c r="B79" s="95" t="s">
        <v>8</v>
      </c>
      <c r="C79" s="96" t="s">
        <v>13</v>
      </c>
      <c r="D79" s="96" t="s">
        <v>11</v>
      </c>
      <c r="E79" s="96" t="s">
        <v>12</v>
      </c>
      <c r="F79" s="96">
        <v>232</v>
      </c>
      <c r="G79" s="96">
        <f>RANK(Table11[[#This Row],[Total Score]],Table11[[Gender]:[Total Score]],0)</f>
        <v>60</v>
      </c>
      <c r="H79" s="97" t="str">
        <f>_xlfn.XLOOKUP(Table11[[#This Row],[Total Score]],I:I,K:K,,-1)</f>
        <v>Good</v>
      </c>
    </row>
    <row r="80" spans="2:8" x14ac:dyDescent="0.35">
      <c r="B80" s="95" t="s">
        <v>8</v>
      </c>
      <c r="C80" s="96" t="s">
        <v>13</v>
      </c>
      <c r="D80" s="96" t="s">
        <v>11</v>
      </c>
      <c r="E80" s="96" t="s">
        <v>12</v>
      </c>
      <c r="F80" s="96">
        <v>266</v>
      </c>
      <c r="G80" s="96">
        <f>RANK(Table11[[#This Row],[Total Score]],Table11[[Gender]:[Total Score]],0)</f>
        <v>15</v>
      </c>
      <c r="H80" s="97" t="str">
        <f>_xlfn.XLOOKUP(Table11[[#This Row],[Total Score]],I:I,K:K,,-1)</f>
        <v>Very Good</v>
      </c>
    </row>
    <row r="81" spans="2:8" x14ac:dyDescent="0.35">
      <c r="B81" s="95" t="s">
        <v>17</v>
      </c>
      <c r="C81" s="96" t="s">
        <v>13</v>
      </c>
      <c r="D81" s="96" t="s">
        <v>11</v>
      </c>
      <c r="E81" s="96" t="s">
        <v>12</v>
      </c>
      <c r="F81" s="96">
        <v>184</v>
      </c>
      <c r="G81" s="96">
        <f>RANK(Table11[[#This Row],[Total Score]],Table11[[Gender]:[Total Score]],0)</f>
        <v>158</v>
      </c>
      <c r="H81" s="97" t="str">
        <f>_xlfn.XLOOKUP(Table11[[#This Row],[Total Score]],I:I,K:K,,-1)</f>
        <v>Fair</v>
      </c>
    </row>
    <row r="82" spans="2:8" x14ac:dyDescent="0.35">
      <c r="B82" s="95" t="s">
        <v>17</v>
      </c>
      <c r="C82" s="96" t="s">
        <v>18</v>
      </c>
      <c r="D82" s="96" t="s">
        <v>20</v>
      </c>
      <c r="E82" s="96" t="s">
        <v>12</v>
      </c>
      <c r="F82" s="96">
        <v>70</v>
      </c>
      <c r="G82" s="96">
        <f>RANK(Table11[[#This Row],[Total Score]],Table11[[Gender]:[Total Score]],0)</f>
        <v>226</v>
      </c>
      <c r="H82" s="97" t="str">
        <f>_xlfn.XLOOKUP(Table11[[#This Row],[Total Score]],I:I,K:K,,-1)</f>
        <v>Poor</v>
      </c>
    </row>
    <row r="83" spans="2:8" x14ac:dyDescent="0.35">
      <c r="B83" s="95" t="s">
        <v>8</v>
      </c>
      <c r="C83" s="96" t="s">
        <v>9</v>
      </c>
      <c r="D83" s="96" t="s">
        <v>20</v>
      </c>
      <c r="E83" s="96" t="s">
        <v>12</v>
      </c>
      <c r="F83" s="96">
        <v>195</v>
      </c>
      <c r="G83" s="96">
        <f>RANK(Table11[[#This Row],[Total Score]],Table11[[Gender]:[Total Score]],0)</f>
        <v>135</v>
      </c>
      <c r="H83" s="97" t="str">
        <f>_xlfn.XLOOKUP(Table11[[#This Row],[Total Score]],I:I,K:K,,-1)</f>
        <v>Fair</v>
      </c>
    </row>
    <row r="84" spans="2:8" x14ac:dyDescent="0.35">
      <c r="B84" s="95" t="s">
        <v>17</v>
      </c>
      <c r="C84" s="96" t="s">
        <v>21</v>
      </c>
      <c r="D84" s="96" t="s">
        <v>11</v>
      </c>
      <c r="E84" s="96" t="s">
        <v>12</v>
      </c>
      <c r="F84" s="96">
        <v>219</v>
      </c>
      <c r="G84" s="96">
        <f>RANK(Table11[[#This Row],[Total Score]],Table11[[Gender]:[Total Score]],0)</f>
        <v>89</v>
      </c>
      <c r="H84" s="97" t="str">
        <f>_xlfn.XLOOKUP(Table11[[#This Row],[Total Score]],I:I,K:K,,-1)</f>
        <v>Good</v>
      </c>
    </row>
    <row r="85" spans="2:8" x14ac:dyDescent="0.35">
      <c r="B85" s="95" t="s">
        <v>17</v>
      </c>
      <c r="C85" s="96" t="s">
        <v>9</v>
      </c>
      <c r="D85" s="96" t="s">
        <v>11</v>
      </c>
      <c r="E85" s="96" t="s">
        <v>12</v>
      </c>
      <c r="F85" s="96">
        <v>180</v>
      </c>
      <c r="G85" s="96">
        <f>RANK(Table11[[#This Row],[Total Score]],Table11[[Gender]:[Total Score]],0)</f>
        <v>169</v>
      </c>
      <c r="H85" s="97" t="str">
        <f>_xlfn.XLOOKUP(Table11[[#This Row],[Total Score]],I:I,K:K,,-1)</f>
        <v>Fair</v>
      </c>
    </row>
    <row r="86" spans="2:8" x14ac:dyDescent="0.35">
      <c r="B86" s="95" t="s">
        <v>17</v>
      </c>
      <c r="C86" s="96" t="s">
        <v>24</v>
      </c>
      <c r="D86" s="96" t="s">
        <v>11</v>
      </c>
      <c r="E86" s="96" t="s">
        <v>12</v>
      </c>
      <c r="F86" s="96">
        <v>175</v>
      </c>
      <c r="G86" s="96">
        <f>RANK(Table11[[#This Row],[Total Score]],Table11[[Gender]:[Total Score]],0)</f>
        <v>181</v>
      </c>
      <c r="H86" s="97" t="str">
        <f>_xlfn.XLOOKUP(Table11[[#This Row],[Total Score]],I:I,K:K,,-1)</f>
        <v>Poor</v>
      </c>
    </row>
    <row r="87" spans="2:8" x14ac:dyDescent="0.35">
      <c r="B87" s="95" t="s">
        <v>8</v>
      </c>
      <c r="C87" s="96" t="s">
        <v>13</v>
      </c>
      <c r="D87" s="96" t="s">
        <v>11</v>
      </c>
      <c r="E87" s="96" t="s">
        <v>15</v>
      </c>
      <c r="F87" s="96">
        <v>221</v>
      </c>
      <c r="G87" s="96">
        <f>RANK(Table11[[#This Row],[Total Score]],Table11[[Gender]:[Total Score]],0)</f>
        <v>86</v>
      </c>
      <c r="H87" s="97" t="str">
        <f>_xlfn.XLOOKUP(Table11[[#This Row],[Total Score]],I:I,K:K,,-1)</f>
        <v>Good</v>
      </c>
    </row>
    <row r="88" spans="2:8" x14ac:dyDescent="0.35">
      <c r="B88" s="95" t="s">
        <v>8</v>
      </c>
      <c r="C88" s="96" t="s">
        <v>13</v>
      </c>
      <c r="D88" s="96" t="s">
        <v>11</v>
      </c>
      <c r="E88" s="96" t="s">
        <v>12</v>
      </c>
      <c r="F88" s="96">
        <v>200</v>
      </c>
      <c r="G88" s="96">
        <f>RANK(Table11[[#This Row],[Total Score]],Table11[[Gender]:[Total Score]],0)</f>
        <v>128</v>
      </c>
      <c r="H88" s="97" t="str">
        <f>_xlfn.XLOOKUP(Table11[[#This Row],[Total Score]],I:I,K:K,,-1)</f>
        <v>Fair</v>
      </c>
    </row>
    <row r="89" spans="2:8" x14ac:dyDescent="0.35">
      <c r="B89" s="95" t="s">
        <v>8</v>
      </c>
      <c r="C89" s="96" t="s">
        <v>13</v>
      </c>
      <c r="D89" s="96" t="s">
        <v>20</v>
      </c>
      <c r="E89" s="96" t="s">
        <v>15</v>
      </c>
      <c r="F89" s="96">
        <v>177</v>
      </c>
      <c r="G89" s="96">
        <f>RANK(Table11[[#This Row],[Total Score]],Table11[[Gender]:[Total Score]],0)</f>
        <v>176</v>
      </c>
      <c r="H89" s="97" t="str">
        <f>_xlfn.XLOOKUP(Table11[[#This Row],[Total Score]],I:I,K:K,,-1)</f>
        <v>Poor</v>
      </c>
    </row>
    <row r="90" spans="2:8" x14ac:dyDescent="0.35">
      <c r="B90" s="95" t="s">
        <v>17</v>
      </c>
      <c r="C90" s="96" t="s">
        <v>21</v>
      </c>
      <c r="D90" s="96" t="s">
        <v>20</v>
      </c>
      <c r="E90" s="96" t="s">
        <v>12</v>
      </c>
      <c r="F90" s="96">
        <v>182</v>
      </c>
      <c r="G90" s="96">
        <f>RANK(Table11[[#This Row],[Total Score]],Table11[[Gender]:[Total Score]],0)</f>
        <v>164</v>
      </c>
      <c r="H90" s="97" t="str">
        <f>_xlfn.XLOOKUP(Table11[[#This Row],[Total Score]],I:I,K:K,,-1)</f>
        <v>Fair</v>
      </c>
    </row>
    <row r="91" spans="2:8" x14ac:dyDescent="0.35">
      <c r="B91" s="95" t="s">
        <v>8</v>
      </c>
      <c r="C91" s="96" t="s">
        <v>21</v>
      </c>
      <c r="D91" s="96" t="s">
        <v>11</v>
      </c>
      <c r="E91" s="96" t="s">
        <v>12</v>
      </c>
      <c r="F91" s="96">
        <v>259</v>
      </c>
      <c r="G91" s="96">
        <f>RANK(Table11[[#This Row],[Total Score]],Table11[[Gender]:[Total Score]],0)</f>
        <v>21</v>
      </c>
      <c r="H91" s="97" t="str">
        <f>_xlfn.XLOOKUP(Table11[[#This Row],[Total Score]],I:I,K:K,,-1)</f>
        <v>Very Good</v>
      </c>
    </row>
    <row r="92" spans="2:8" x14ac:dyDescent="0.35">
      <c r="B92" s="95" t="s">
        <v>8</v>
      </c>
      <c r="C92" s="96" t="s">
        <v>13</v>
      </c>
      <c r="D92" s="96" t="s">
        <v>11</v>
      </c>
      <c r="E92" s="96" t="s">
        <v>12</v>
      </c>
      <c r="F92" s="96">
        <v>168</v>
      </c>
      <c r="G92" s="96">
        <f>RANK(Table11[[#This Row],[Total Score]],Table11[[Gender]:[Total Score]],0)</f>
        <v>190</v>
      </c>
      <c r="H92" s="97" t="str">
        <f>_xlfn.XLOOKUP(Table11[[#This Row],[Total Score]],I:I,K:K,,-1)</f>
        <v>Poor</v>
      </c>
    </row>
    <row r="93" spans="2:8" x14ac:dyDescent="0.35">
      <c r="B93" s="95" t="s">
        <v>17</v>
      </c>
      <c r="C93" s="96" t="s">
        <v>13</v>
      </c>
      <c r="D93" s="96" t="s">
        <v>11</v>
      </c>
      <c r="E93" s="96" t="s">
        <v>12</v>
      </c>
      <c r="F93" s="96">
        <v>177</v>
      </c>
      <c r="G93" s="96">
        <f>RANK(Table11[[#This Row],[Total Score]],Table11[[Gender]:[Total Score]],0)</f>
        <v>176</v>
      </c>
      <c r="H93" s="97" t="str">
        <f>_xlfn.XLOOKUP(Table11[[#This Row],[Total Score]],I:I,K:K,,-1)</f>
        <v>Poor</v>
      </c>
    </row>
    <row r="94" spans="2:8" x14ac:dyDescent="0.35">
      <c r="B94" s="95" t="s">
        <v>17</v>
      </c>
      <c r="C94" s="96" t="s">
        <v>24</v>
      </c>
      <c r="D94" s="96" t="s">
        <v>11</v>
      </c>
      <c r="E94" s="96" t="s">
        <v>12</v>
      </c>
      <c r="F94" s="96">
        <v>232</v>
      </c>
      <c r="G94" s="96">
        <f>RANK(Table11[[#This Row],[Total Score]],Table11[[Gender]:[Total Score]],0)</f>
        <v>60</v>
      </c>
      <c r="H94" s="97" t="str">
        <f>_xlfn.XLOOKUP(Table11[[#This Row],[Total Score]],I:I,K:K,,-1)</f>
        <v>Good</v>
      </c>
    </row>
    <row r="95" spans="2:8" x14ac:dyDescent="0.35">
      <c r="B95" s="95" t="s">
        <v>8</v>
      </c>
      <c r="C95" s="96" t="s">
        <v>13</v>
      </c>
      <c r="D95" s="96" t="s">
        <v>20</v>
      </c>
      <c r="E95" s="96" t="s">
        <v>15</v>
      </c>
      <c r="F95" s="96">
        <v>188</v>
      </c>
      <c r="G95" s="96">
        <f>RANK(Table11[[#This Row],[Total Score]],Table11[[Gender]:[Total Score]],0)</f>
        <v>150</v>
      </c>
      <c r="H95" s="97" t="str">
        <f>_xlfn.XLOOKUP(Table11[[#This Row],[Total Score]],I:I,K:K,,-1)</f>
        <v>Fair</v>
      </c>
    </row>
    <row r="96" spans="2:8" x14ac:dyDescent="0.35">
      <c r="B96" s="95" t="s">
        <v>8</v>
      </c>
      <c r="C96" s="96" t="s">
        <v>21</v>
      </c>
      <c r="D96" s="96" t="s">
        <v>11</v>
      </c>
      <c r="E96" s="96" t="s">
        <v>15</v>
      </c>
      <c r="F96" s="96">
        <v>275</v>
      </c>
      <c r="G96" s="96">
        <f>RANK(Table11[[#This Row],[Total Score]],Table11[[Gender]:[Total Score]],0)</f>
        <v>7</v>
      </c>
      <c r="H96" s="97" t="str">
        <f>_xlfn.XLOOKUP(Table11[[#This Row],[Total Score]],I:I,K:K,,-1)</f>
        <v>Excellent</v>
      </c>
    </row>
    <row r="97" spans="2:8" x14ac:dyDescent="0.35">
      <c r="B97" s="95" t="s">
        <v>8</v>
      </c>
      <c r="C97" s="96" t="s">
        <v>24</v>
      </c>
      <c r="D97" s="96" t="s">
        <v>11</v>
      </c>
      <c r="E97" s="96" t="s">
        <v>12</v>
      </c>
      <c r="F97" s="96">
        <v>218</v>
      </c>
      <c r="G97" s="96">
        <f>RANK(Table11[[#This Row],[Total Score]],Table11[[Gender]:[Total Score]],0)</f>
        <v>91</v>
      </c>
      <c r="H97" s="97" t="str">
        <f>_xlfn.XLOOKUP(Table11[[#This Row],[Total Score]],I:I,K:K,,-1)</f>
        <v>Good</v>
      </c>
    </row>
    <row r="98" spans="2:8" x14ac:dyDescent="0.35">
      <c r="B98" s="95" t="s">
        <v>8</v>
      </c>
      <c r="C98" s="96" t="s">
        <v>21</v>
      </c>
      <c r="D98" s="96" t="s">
        <v>11</v>
      </c>
      <c r="E98" s="96" t="s">
        <v>12</v>
      </c>
      <c r="F98" s="96">
        <v>222</v>
      </c>
      <c r="G98" s="96">
        <f>RANK(Table11[[#This Row],[Total Score]],Table11[[Gender]:[Total Score]],0)</f>
        <v>84</v>
      </c>
      <c r="H98" s="97" t="str">
        <f>_xlfn.XLOOKUP(Table11[[#This Row],[Total Score]],I:I,K:K,,-1)</f>
        <v>Good</v>
      </c>
    </row>
    <row r="99" spans="2:8" x14ac:dyDescent="0.35">
      <c r="B99" s="95" t="s">
        <v>17</v>
      </c>
      <c r="C99" s="96" t="s">
        <v>24</v>
      </c>
      <c r="D99" s="96" t="s">
        <v>11</v>
      </c>
      <c r="E99" s="96" t="s">
        <v>12</v>
      </c>
      <c r="F99" s="96">
        <v>210</v>
      </c>
      <c r="G99" s="96">
        <f>RANK(Table11[[#This Row],[Total Score]],Table11[[Gender]:[Total Score]],0)</f>
        <v>106</v>
      </c>
      <c r="H99" s="97" t="str">
        <f>_xlfn.XLOOKUP(Table11[[#This Row],[Total Score]],I:I,K:K,,-1)</f>
        <v>Good</v>
      </c>
    </row>
    <row r="100" spans="2:8" x14ac:dyDescent="0.35">
      <c r="B100" s="95" t="s">
        <v>17</v>
      </c>
      <c r="C100" s="96" t="s">
        <v>18</v>
      </c>
      <c r="D100" s="96" t="s">
        <v>11</v>
      </c>
      <c r="E100" s="96" t="s">
        <v>12</v>
      </c>
      <c r="F100" s="96">
        <v>139</v>
      </c>
      <c r="G100" s="96">
        <f>RANK(Table11[[#This Row],[Total Score]],Table11[[Gender]:[Total Score]],0)</f>
        <v>214</v>
      </c>
      <c r="H100" s="97" t="str">
        <f>_xlfn.XLOOKUP(Table11[[#This Row],[Total Score]],I:I,K:K,,-1)</f>
        <v>Poor</v>
      </c>
    </row>
    <row r="101" spans="2:8" x14ac:dyDescent="0.35">
      <c r="B101" s="95" t="s">
        <v>8</v>
      </c>
      <c r="C101" s="96" t="s">
        <v>18</v>
      </c>
      <c r="D101" s="96" t="s">
        <v>20</v>
      </c>
      <c r="E101" s="96" t="s">
        <v>12</v>
      </c>
      <c r="F101" s="96">
        <v>169</v>
      </c>
      <c r="G101" s="96">
        <f>RANK(Table11[[#This Row],[Total Score]],Table11[[Gender]:[Total Score]],0)</f>
        <v>188</v>
      </c>
      <c r="H101" s="97" t="str">
        <f>_xlfn.XLOOKUP(Table11[[#This Row],[Total Score]],I:I,K:K,,-1)</f>
        <v>Poor</v>
      </c>
    </row>
    <row r="102" spans="2:8" x14ac:dyDescent="0.35">
      <c r="B102" s="95" t="s">
        <v>17</v>
      </c>
      <c r="C102" s="96" t="s">
        <v>24</v>
      </c>
      <c r="D102" s="96" t="s">
        <v>11</v>
      </c>
      <c r="E102" s="96" t="s">
        <v>15</v>
      </c>
      <c r="F102" s="96">
        <v>245</v>
      </c>
      <c r="G102" s="96">
        <f>RANK(Table11[[#This Row],[Total Score]],Table11[[Gender]:[Total Score]],0)</f>
        <v>42</v>
      </c>
      <c r="H102" s="97" t="str">
        <f>_xlfn.XLOOKUP(Table11[[#This Row],[Total Score]],I:I,K:K,,-1)</f>
        <v>Very Good</v>
      </c>
    </row>
    <row r="103" spans="2:8" x14ac:dyDescent="0.35">
      <c r="B103" s="95" t="s">
        <v>17</v>
      </c>
      <c r="C103" s="96" t="s">
        <v>21</v>
      </c>
      <c r="D103" s="96" t="s">
        <v>11</v>
      </c>
      <c r="E103" s="96" t="s">
        <v>12</v>
      </c>
      <c r="F103" s="96">
        <v>189</v>
      </c>
      <c r="G103" s="96">
        <f>RANK(Table11[[#This Row],[Total Score]],Table11[[Gender]:[Total Score]],0)</f>
        <v>147</v>
      </c>
      <c r="H103" s="97" t="str">
        <f>_xlfn.XLOOKUP(Table11[[#This Row],[Total Score]],I:I,K:K,,-1)</f>
        <v>Fair</v>
      </c>
    </row>
    <row r="104" spans="2:8" x14ac:dyDescent="0.35">
      <c r="B104" s="95" t="s">
        <v>17</v>
      </c>
      <c r="C104" s="96" t="s">
        <v>9</v>
      </c>
      <c r="D104" s="96" t="s">
        <v>20</v>
      </c>
      <c r="E104" s="96" t="s">
        <v>12</v>
      </c>
      <c r="F104" s="96">
        <v>114</v>
      </c>
      <c r="G104" s="96">
        <f>RANK(Table11[[#This Row],[Total Score]],Table11[[Gender]:[Total Score]],0)</f>
        <v>221</v>
      </c>
      <c r="H104" s="97" t="str">
        <f>_xlfn.XLOOKUP(Table11[[#This Row],[Total Score]],I:I,K:K,,-1)</f>
        <v>Poor</v>
      </c>
    </row>
    <row r="105" spans="2:8" x14ac:dyDescent="0.35">
      <c r="B105" s="95" t="s">
        <v>8</v>
      </c>
      <c r="C105" s="96" t="s">
        <v>13</v>
      </c>
      <c r="D105" s="96" t="s">
        <v>20</v>
      </c>
      <c r="E105" s="96" t="s">
        <v>12</v>
      </c>
      <c r="F105" s="96">
        <v>191</v>
      </c>
      <c r="G105" s="96">
        <f>RANK(Table11[[#This Row],[Total Score]],Table11[[Gender]:[Total Score]],0)</f>
        <v>143</v>
      </c>
      <c r="H105" s="97" t="str">
        <f>_xlfn.XLOOKUP(Table11[[#This Row],[Total Score]],I:I,K:K,,-1)</f>
        <v>Fair</v>
      </c>
    </row>
    <row r="106" spans="2:8" x14ac:dyDescent="0.35">
      <c r="B106" s="95" t="s">
        <v>17</v>
      </c>
      <c r="C106" s="96" t="s">
        <v>13</v>
      </c>
      <c r="D106" s="96" t="s">
        <v>20</v>
      </c>
      <c r="E106" s="96" t="s">
        <v>15</v>
      </c>
      <c r="F106" s="96">
        <v>151</v>
      </c>
      <c r="G106" s="96">
        <f>RANK(Table11[[#This Row],[Total Score]],Table11[[Gender]:[Total Score]],0)</f>
        <v>208</v>
      </c>
      <c r="H106" s="97" t="str">
        <f>_xlfn.XLOOKUP(Table11[[#This Row],[Total Score]],I:I,K:K,,-1)</f>
        <v>Poor</v>
      </c>
    </row>
    <row r="107" spans="2:8" x14ac:dyDescent="0.35">
      <c r="B107" s="95" t="s">
        <v>8</v>
      </c>
      <c r="C107" s="96" t="s">
        <v>13</v>
      </c>
      <c r="D107" s="96" t="s">
        <v>11</v>
      </c>
      <c r="E107" s="96" t="s">
        <v>15</v>
      </c>
      <c r="F107" s="96">
        <v>227</v>
      </c>
      <c r="G107" s="96">
        <f>RANK(Table11[[#This Row],[Total Score]],Table11[[Gender]:[Total Score]],0)</f>
        <v>69</v>
      </c>
      <c r="H107" s="97" t="str">
        <f>_xlfn.XLOOKUP(Table11[[#This Row],[Total Score]],I:I,K:K,,-1)</f>
        <v>Good</v>
      </c>
    </row>
    <row r="108" spans="2:8" x14ac:dyDescent="0.35">
      <c r="B108" s="95" t="s">
        <v>17</v>
      </c>
      <c r="C108" s="96" t="s">
        <v>21</v>
      </c>
      <c r="D108" s="96" t="s">
        <v>20</v>
      </c>
      <c r="E108" s="96" t="s">
        <v>12</v>
      </c>
      <c r="F108" s="96">
        <v>195</v>
      </c>
      <c r="G108" s="96">
        <f>RANK(Table11[[#This Row],[Total Score]],Table11[[Gender]:[Total Score]],0)</f>
        <v>135</v>
      </c>
      <c r="H108" s="97" t="str">
        <f>_xlfn.XLOOKUP(Table11[[#This Row],[Total Score]],I:I,K:K,,-1)</f>
        <v>Fair</v>
      </c>
    </row>
    <row r="109" spans="2:8" x14ac:dyDescent="0.35">
      <c r="B109" s="95" t="s">
        <v>8</v>
      </c>
      <c r="C109" s="96" t="s">
        <v>13</v>
      </c>
      <c r="D109" s="96" t="s">
        <v>20</v>
      </c>
      <c r="E109" s="96" t="s">
        <v>15</v>
      </c>
      <c r="F109" s="96">
        <v>234</v>
      </c>
      <c r="G109" s="96">
        <f>RANK(Table11[[#This Row],[Total Score]],Table11[[Gender]:[Total Score]],0)</f>
        <v>57</v>
      </c>
      <c r="H109" s="97" t="str">
        <f>_xlfn.XLOOKUP(Table11[[#This Row],[Total Score]],I:I,K:K,,-1)</f>
        <v>Good</v>
      </c>
    </row>
    <row r="110" spans="2:8" x14ac:dyDescent="0.35">
      <c r="B110" s="95" t="s">
        <v>8</v>
      </c>
      <c r="C110" s="96" t="s">
        <v>24</v>
      </c>
      <c r="D110" s="96" t="s">
        <v>11</v>
      </c>
      <c r="E110" s="96" t="s">
        <v>12</v>
      </c>
      <c r="F110" s="96">
        <v>289</v>
      </c>
      <c r="G110" s="96">
        <f>RANK(Table11[[#This Row],[Total Score]],Table11[[Gender]:[Total Score]],0)</f>
        <v>3</v>
      </c>
      <c r="H110" s="97" t="str">
        <f>_xlfn.XLOOKUP(Table11[[#This Row],[Total Score]],I:I,K:K,,-1)</f>
        <v>Excellent</v>
      </c>
    </row>
    <row r="111" spans="2:8" x14ac:dyDescent="0.35">
      <c r="B111" s="95" t="s">
        <v>17</v>
      </c>
      <c r="C111" s="96" t="s">
        <v>13</v>
      </c>
      <c r="D111" s="96" t="s">
        <v>20</v>
      </c>
      <c r="E111" s="96" t="s">
        <v>12</v>
      </c>
      <c r="F111" s="96">
        <v>172</v>
      </c>
      <c r="G111" s="96">
        <f>RANK(Table11[[#This Row],[Total Score]],Table11[[Gender]:[Total Score]],0)</f>
        <v>185</v>
      </c>
      <c r="H111" s="97" t="str">
        <f>_xlfn.XLOOKUP(Table11[[#This Row],[Total Score]],I:I,K:K,,-1)</f>
        <v>Poor</v>
      </c>
    </row>
    <row r="112" spans="2:8" x14ac:dyDescent="0.35">
      <c r="B112" s="95" t="s">
        <v>17</v>
      </c>
      <c r="C112" s="96" t="s">
        <v>9</v>
      </c>
      <c r="D112" s="96" t="s">
        <v>20</v>
      </c>
      <c r="E112" s="96" t="s">
        <v>12</v>
      </c>
      <c r="F112" s="96">
        <v>153</v>
      </c>
      <c r="G112" s="96">
        <f>RANK(Table11[[#This Row],[Total Score]],Table11[[Gender]:[Total Score]],0)</f>
        <v>202</v>
      </c>
      <c r="H112" s="97" t="str">
        <f>_xlfn.XLOOKUP(Table11[[#This Row],[Total Score]],I:I,K:K,,-1)</f>
        <v>Poor</v>
      </c>
    </row>
    <row r="113" spans="2:8" x14ac:dyDescent="0.35">
      <c r="B113" s="95" t="s">
        <v>8</v>
      </c>
      <c r="C113" s="96" t="s">
        <v>24</v>
      </c>
      <c r="D113" s="96" t="s">
        <v>11</v>
      </c>
      <c r="E113" s="96" t="s">
        <v>12</v>
      </c>
      <c r="F113" s="96">
        <v>217</v>
      </c>
      <c r="G113" s="96">
        <f>RANK(Table11[[#This Row],[Total Score]],Table11[[Gender]:[Total Score]],0)</f>
        <v>93</v>
      </c>
      <c r="H113" s="97" t="str">
        <f>_xlfn.XLOOKUP(Table11[[#This Row],[Total Score]],I:I,K:K,,-1)</f>
        <v>Good</v>
      </c>
    </row>
    <row r="114" spans="2:8" x14ac:dyDescent="0.35">
      <c r="B114" s="95" t="s">
        <v>8</v>
      </c>
      <c r="C114" s="96" t="s">
        <v>13</v>
      </c>
      <c r="D114" s="96" t="s">
        <v>20</v>
      </c>
      <c r="E114" s="96" t="s">
        <v>12</v>
      </c>
      <c r="F114" s="96">
        <v>258</v>
      </c>
      <c r="G114" s="96">
        <f>RANK(Table11[[#This Row],[Total Score]],Table11[[Gender]:[Total Score]],0)</f>
        <v>22</v>
      </c>
      <c r="H114" s="97" t="str">
        <f>_xlfn.XLOOKUP(Table11[[#This Row],[Total Score]],I:I,K:K,,-1)</f>
        <v>Very Good</v>
      </c>
    </row>
    <row r="115" spans="2:8" x14ac:dyDescent="0.35">
      <c r="B115" s="95" t="s">
        <v>8</v>
      </c>
      <c r="C115" s="96" t="s">
        <v>13</v>
      </c>
      <c r="D115" s="96" t="s">
        <v>11</v>
      </c>
      <c r="E115" s="96" t="s">
        <v>12</v>
      </c>
      <c r="F115" s="96">
        <v>262</v>
      </c>
      <c r="G115" s="96">
        <f>RANK(Table11[[#This Row],[Total Score]],Table11[[Gender]:[Total Score]],0)</f>
        <v>19</v>
      </c>
      <c r="H115" s="97" t="str">
        <f>_xlfn.XLOOKUP(Table11[[#This Row],[Total Score]],I:I,K:K,,-1)</f>
        <v>Very Good</v>
      </c>
    </row>
    <row r="116" spans="2:8" x14ac:dyDescent="0.35">
      <c r="B116" s="95" t="s">
        <v>17</v>
      </c>
      <c r="C116" s="96" t="s">
        <v>13</v>
      </c>
      <c r="D116" s="96" t="s">
        <v>11</v>
      </c>
      <c r="E116" s="96" t="s">
        <v>12</v>
      </c>
      <c r="F116" s="96">
        <v>241</v>
      </c>
      <c r="G116" s="96">
        <f>RANK(Table11[[#This Row],[Total Score]],Table11[[Gender]:[Total Score]],0)</f>
        <v>44</v>
      </c>
      <c r="H116" s="97" t="str">
        <f>_xlfn.XLOOKUP(Table11[[#This Row],[Total Score]],I:I,K:K,,-1)</f>
        <v>Very Good</v>
      </c>
    </row>
    <row r="117" spans="2:8" x14ac:dyDescent="0.35">
      <c r="B117" s="95" t="s">
        <v>17</v>
      </c>
      <c r="C117" s="96" t="s">
        <v>13</v>
      </c>
      <c r="D117" s="96" t="s">
        <v>20</v>
      </c>
      <c r="E117" s="96" t="s">
        <v>12</v>
      </c>
      <c r="F117" s="96">
        <v>197</v>
      </c>
      <c r="G117" s="96">
        <f>RANK(Table11[[#This Row],[Total Score]],Table11[[Gender]:[Total Score]],0)</f>
        <v>130</v>
      </c>
      <c r="H117" s="97" t="str">
        <f>_xlfn.XLOOKUP(Table11[[#This Row],[Total Score]],I:I,K:K,,-1)</f>
        <v>Fair</v>
      </c>
    </row>
    <row r="118" spans="2:8" x14ac:dyDescent="0.35">
      <c r="B118" s="95" t="s">
        <v>17</v>
      </c>
      <c r="C118" s="96" t="s">
        <v>21</v>
      </c>
      <c r="D118" s="96" t="s">
        <v>20</v>
      </c>
      <c r="E118" s="96" t="s">
        <v>12</v>
      </c>
      <c r="F118" s="96">
        <v>164</v>
      </c>
      <c r="G118" s="96">
        <f>RANK(Table11[[#This Row],[Total Score]],Table11[[Gender]:[Total Score]],0)</f>
        <v>194</v>
      </c>
      <c r="H118" s="97" t="str">
        <f>_xlfn.XLOOKUP(Table11[[#This Row],[Total Score]],I:I,K:K,,-1)</f>
        <v>Poor</v>
      </c>
    </row>
    <row r="119" spans="2:8" x14ac:dyDescent="0.35">
      <c r="B119" s="95" t="s">
        <v>8</v>
      </c>
      <c r="C119" s="96" t="s">
        <v>13</v>
      </c>
      <c r="D119" s="96" t="s">
        <v>11</v>
      </c>
      <c r="E119" s="96" t="s">
        <v>12</v>
      </c>
      <c r="F119" s="96">
        <v>256</v>
      </c>
      <c r="G119" s="96">
        <f>RANK(Table11[[#This Row],[Total Score]],Table11[[Gender]:[Total Score]],0)</f>
        <v>25</v>
      </c>
      <c r="H119" s="97" t="str">
        <f>_xlfn.XLOOKUP(Table11[[#This Row],[Total Score]],I:I,K:K,,-1)</f>
        <v>Very Good</v>
      </c>
    </row>
    <row r="120" spans="2:8" x14ac:dyDescent="0.35">
      <c r="B120" s="95" t="s">
        <v>8</v>
      </c>
      <c r="C120" s="96" t="s">
        <v>13</v>
      </c>
      <c r="D120" s="96" t="s">
        <v>11</v>
      </c>
      <c r="E120" s="96" t="s">
        <v>12</v>
      </c>
      <c r="F120" s="96">
        <v>154</v>
      </c>
      <c r="G120" s="96">
        <f>RANK(Table11[[#This Row],[Total Score]],Table11[[Gender]:[Total Score]],0)</f>
        <v>201</v>
      </c>
      <c r="H120" s="97" t="str">
        <f>_xlfn.XLOOKUP(Table11[[#This Row],[Total Score]],I:I,K:K,,-1)</f>
        <v>Poor</v>
      </c>
    </row>
    <row r="121" spans="2:8" x14ac:dyDescent="0.35">
      <c r="B121" s="95" t="s">
        <v>8</v>
      </c>
      <c r="C121" s="96" t="s">
        <v>21</v>
      </c>
      <c r="D121" s="96" t="s">
        <v>20</v>
      </c>
      <c r="E121" s="96" t="s">
        <v>15</v>
      </c>
      <c r="F121" s="96">
        <v>213</v>
      </c>
      <c r="G121" s="96">
        <f>RANK(Table11[[#This Row],[Total Score]],Table11[[Gender]:[Total Score]],0)</f>
        <v>99</v>
      </c>
      <c r="H121" s="97" t="str">
        <f>_xlfn.XLOOKUP(Table11[[#This Row],[Total Score]],I:I,K:K,,-1)</f>
        <v>Good</v>
      </c>
    </row>
    <row r="122" spans="2:8" x14ac:dyDescent="0.35">
      <c r="B122" s="95" t="s">
        <v>17</v>
      </c>
      <c r="C122" s="96" t="s">
        <v>24</v>
      </c>
      <c r="D122" s="96" t="s">
        <v>11</v>
      </c>
      <c r="E122" s="96" t="s">
        <v>12</v>
      </c>
      <c r="F122" s="96">
        <v>219</v>
      </c>
      <c r="G122" s="96">
        <f>RANK(Table11[[#This Row],[Total Score]],Table11[[Gender]:[Total Score]],0)</f>
        <v>89</v>
      </c>
      <c r="H122" s="97" t="str">
        <f>_xlfn.XLOOKUP(Table11[[#This Row],[Total Score]],I:I,K:K,,-1)</f>
        <v>Good</v>
      </c>
    </row>
    <row r="123" spans="2:8" x14ac:dyDescent="0.35">
      <c r="B123" s="95" t="s">
        <v>17</v>
      </c>
      <c r="C123" s="96" t="s">
        <v>13</v>
      </c>
      <c r="D123" s="96" t="s">
        <v>20</v>
      </c>
      <c r="E123" s="96" t="s">
        <v>12</v>
      </c>
      <c r="F123" s="96">
        <v>178</v>
      </c>
      <c r="G123" s="96">
        <f>RANK(Table11[[#This Row],[Total Score]],Table11[[Gender]:[Total Score]],0)</f>
        <v>172</v>
      </c>
      <c r="H123" s="97" t="str">
        <f>_xlfn.XLOOKUP(Table11[[#This Row],[Total Score]],I:I,K:K,,-1)</f>
        <v>Poor</v>
      </c>
    </row>
    <row r="124" spans="2:8" x14ac:dyDescent="0.35">
      <c r="B124" s="95" t="s">
        <v>17</v>
      </c>
      <c r="C124" s="96" t="s">
        <v>21</v>
      </c>
      <c r="D124" s="96" t="s">
        <v>11</v>
      </c>
      <c r="E124" s="96" t="s">
        <v>12</v>
      </c>
      <c r="F124" s="96">
        <v>220</v>
      </c>
      <c r="G124" s="96">
        <f>RANK(Table11[[#This Row],[Total Score]],Table11[[Gender]:[Total Score]],0)</f>
        <v>87</v>
      </c>
      <c r="H124" s="97" t="str">
        <f>_xlfn.XLOOKUP(Table11[[#This Row],[Total Score]],I:I,K:K,,-1)</f>
        <v>Good</v>
      </c>
    </row>
    <row r="125" spans="2:8" x14ac:dyDescent="0.35">
      <c r="B125" s="95" t="s">
        <v>8</v>
      </c>
      <c r="C125" s="96" t="s">
        <v>21</v>
      </c>
      <c r="D125" s="96" t="s">
        <v>11</v>
      </c>
      <c r="E125" s="96" t="s">
        <v>12</v>
      </c>
      <c r="F125" s="96">
        <v>247</v>
      </c>
      <c r="G125" s="96">
        <f>RANK(Table11[[#This Row],[Total Score]],Table11[[Gender]:[Total Score]],0)</f>
        <v>36</v>
      </c>
      <c r="H125" s="97" t="str">
        <f>_xlfn.XLOOKUP(Table11[[#This Row],[Total Score]],I:I,K:K,,-1)</f>
        <v>Very Good</v>
      </c>
    </row>
    <row r="126" spans="2:8" x14ac:dyDescent="0.35">
      <c r="B126" s="95" t="s">
        <v>8</v>
      </c>
      <c r="C126" s="96" t="s">
        <v>24</v>
      </c>
      <c r="D126" s="96" t="s">
        <v>11</v>
      </c>
      <c r="E126" s="96" t="s">
        <v>15</v>
      </c>
      <c r="F126" s="96">
        <v>213</v>
      </c>
      <c r="G126" s="96">
        <f>RANK(Table11[[#This Row],[Total Score]],Table11[[Gender]:[Total Score]],0)</f>
        <v>99</v>
      </c>
      <c r="H126" s="97" t="str">
        <f>_xlfn.XLOOKUP(Table11[[#This Row],[Total Score]],I:I,K:K,,-1)</f>
        <v>Good</v>
      </c>
    </row>
    <row r="127" spans="2:8" x14ac:dyDescent="0.35">
      <c r="B127" s="95" t="s">
        <v>17</v>
      </c>
      <c r="C127" s="96" t="s">
        <v>21</v>
      </c>
      <c r="D127" s="96" t="s">
        <v>11</v>
      </c>
      <c r="E127" s="96" t="s">
        <v>12</v>
      </c>
      <c r="F127" s="96">
        <v>172</v>
      </c>
      <c r="G127" s="96">
        <f>RANK(Table11[[#This Row],[Total Score]],Table11[[Gender]:[Total Score]],0)</f>
        <v>185</v>
      </c>
      <c r="H127" s="97" t="str">
        <f>_xlfn.XLOOKUP(Table11[[#This Row],[Total Score]],I:I,K:K,,-1)</f>
        <v>Poor</v>
      </c>
    </row>
    <row r="128" spans="2:8" x14ac:dyDescent="0.35">
      <c r="B128" s="95" t="s">
        <v>17</v>
      </c>
      <c r="C128" s="96" t="s">
        <v>24</v>
      </c>
      <c r="D128" s="96" t="s">
        <v>11</v>
      </c>
      <c r="E128" s="96" t="s">
        <v>12</v>
      </c>
      <c r="F128" s="96">
        <v>187</v>
      </c>
      <c r="G128" s="96">
        <f>RANK(Table11[[#This Row],[Total Score]],Table11[[Gender]:[Total Score]],0)</f>
        <v>151</v>
      </c>
      <c r="H128" s="97" t="str">
        <f>_xlfn.XLOOKUP(Table11[[#This Row],[Total Score]],I:I,K:K,,-1)</f>
        <v>Fair</v>
      </c>
    </row>
    <row r="129" spans="2:8" x14ac:dyDescent="0.35">
      <c r="B129" s="95" t="s">
        <v>17</v>
      </c>
      <c r="C129" s="96" t="s">
        <v>21</v>
      </c>
      <c r="D129" s="96" t="s">
        <v>20</v>
      </c>
      <c r="E129" s="96" t="s">
        <v>12</v>
      </c>
      <c r="F129" s="96">
        <v>203</v>
      </c>
      <c r="G129" s="96">
        <f>RANK(Table11[[#This Row],[Total Score]],Table11[[Gender]:[Total Score]],0)</f>
        <v>123</v>
      </c>
      <c r="H129" s="97" t="str">
        <f>_xlfn.XLOOKUP(Table11[[#This Row],[Total Score]],I:I,K:K,,-1)</f>
        <v>Fair</v>
      </c>
    </row>
    <row r="130" spans="2:8" x14ac:dyDescent="0.35">
      <c r="B130" s="95" t="s">
        <v>8</v>
      </c>
      <c r="C130" s="96" t="s">
        <v>13</v>
      </c>
      <c r="D130" s="96" t="s">
        <v>20</v>
      </c>
      <c r="E130" s="96" t="s">
        <v>12</v>
      </c>
      <c r="F130" s="96">
        <v>104</v>
      </c>
      <c r="G130" s="96">
        <f>RANK(Table11[[#This Row],[Total Score]],Table11[[Gender]:[Total Score]],0)</f>
        <v>222</v>
      </c>
      <c r="H130" s="97" t="str">
        <f>_xlfn.XLOOKUP(Table11[[#This Row],[Total Score]],I:I,K:K,,-1)</f>
        <v>Poor</v>
      </c>
    </row>
    <row r="131" spans="2:8" x14ac:dyDescent="0.35">
      <c r="B131" s="95" t="s">
        <v>8</v>
      </c>
      <c r="C131" s="96" t="s">
        <v>21</v>
      </c>
      <c r="D131" s="96" t="s">
        <v>11</v>
      </c>
      <c r="E131" s="96" t="s">
        <v>15</v>
      </c>
      <c r="F131" s="96">
        <v>228</v>
      </c>
      <c r="G131" s="96">
        <f>RANK(Table11[[#This Row],[Total Score]],Table11[[Gender]:[Total Score]],0)</f>
        <v>67</v>
      </c>
      <c r="H131" s="97" t="str">
        <f>_xlfn.XLOOKUP(Table11[[#This Row],[Total Score]],I:I,K:K,,-1)</f>
        <v>Good</v>
      </c>
    </row>
    <row r="132" spans="2:8" x14ac:dyDescent="0.35">
      <c r="B132" s="95" t="s">
        <v>8</v>
      </c>
      <c r="C132" s="96" t="s">
        <v>13</v>
      </c>
      <c r="D132" s="96" t="s">
        <v>11</v>
      </c>
      <c r="E132" s="96" t="s">
        <v>12</v>
      </c>
      <c r="F132" s="96">
        <v>211</v>
      </c>
      <c r="G132" s="96">
        <f>RANK(Table11[[#This Row],[Total Score]],Table11[[Gender]:[Total Score]],0)</f>
        <v>104</v>
      </c>
      <c r="H132" s="97" t="str">
        <f>_xlfn.XLOOKUP(Table11[[#This Row],[Total Score]],I:I,K:K,,-1)</f>
        <v>Good</v>
      </c>
    </row>
    <row r="133" spans="2:8" x14ac:dyDescent="0.35">
      <c r="B133" s="95" t="s">
        <v>8</v>
      </c>
      <c r="C133" s="96" t="s">
        <v>21</v>
      </c>
      <c r="D133" s="96" t="s">
        <v>20</v>
      </c>
      <c r="E133" s="96" t="s">
        <v>15</v>
      </c>
      <c r="F133" s="96">
        <v>223</v>
      </c>
      <c r="G133" s="96">
        <f>RANK(Table11[[#This Row],[Total Score]],Table11[[Gender]:[Total Score]],0)</f>
        <v>76</v>
      </c>
      <c r="H133" s="97" t="str">
        <f>_xlfn.XLOOKUP(Table11[[#This Row],[Total Score]],I:I,K:K,,-1)</f>
        <v>Good</v>
      </c>
    </row>
    <row r="134" spans="2:8" x14ac:dyDescent="0.35">
      <c r="B134" s="95" t="s">
        <v>17</v>
      </c>
      <c r="C134" s="96" t="s">
        <v>9</v>
      </c>
      <c r="D134" s="96" t="s">
        <v>11</v>
      </c>
      <c r="E134" s="96" t="s">
        <v>15</v>
      </c>
      <c r="F134" s="96">
        <v>216</v>
      </c>
      <c r="G134" s="96">
        <f>RANK(Table11[[#This Row],[Total Score]],Table11[[Gender]:[Total Score]],0)</f>
        <v>96</v>
      </c>
      <c r="H134" s="97" t="str">
        <f>_xlfn.XLOOKUP(Table11[[#This Row],[Total Score]],I:I,K:K,,-1)</f>
        <v>Good</v>
      </c>
    </row>
    <row r="135" spans="2:8" x14ac:dyDescent="0.35">
      <c r="B135" s="95" t="s">
        <v>8</v>
      </c>
      <c r="C135" s="96" t="s">
        <v>13</v>
      </c>
      <c r="D135" s="96" t="s">
        <v>11</v>
      </c>
      <c r="E135" s="96" t="s">
        <v>12</v>
      </c>
      <c r="F135" s="96">
        <v>171</v>
      </c>
      <c r="G135" s="96">
        <f>RANK(Table11[[#This Row],[Total Score]],Table11[[Gender]:[Total Score]],0)</f>
        <v>187</v>
      </c>
      <c r="H135" s="97" t="str">
        <f>_xlfn.XLOOKUP(Table11[[#This Row],[Total Score]],I:I,K:K,,-1)</f>
        <v>Poor</v>
      </c>
    </row>
    <row r="136" spans="2:8" x14ac:dyDescent="0.35">
      <c r="B136" s="95" t="s">
        <v>17</v>
      </c>
      <c r="C136" s="96" t="s">
        <v>18</v>
      </c>
      <c r="D136" s="96" t="s">
        <v>11</v>
      </c>
      <c r="E136" s="96" t="s">
        <v>15</v>
      </c>
      <c r="F136" s="96">
        <v>164</v>
      </c>
      <c r="G136" s="96">
        <f>RANK(Table11[[#This Row],[Total Score]],Table11[[Gender]:[Total Score]],0)</f>
        <v>194</v>
      </c>
      <c r="H136" s="97" t="str">
        <f>_xlfn.XLOOKUP(Table11[[#This Row],[Total Score]],I:I,K:K,,-1)</f>
        <v>Poor</v>
      </c>
    </row>
    <row r="137" spans="2:8" x14ac:dyDescent="0.35">
      <c r="B137" s="95" t="s">
        <v>8</v>
      </c>
      <c r="C137" s="96" t="s">
        <v>9</v>
      </c>
      <c r="D137" s="96" t="s">
        <v>20</v>
      </c>
      <c r="E137" s="96" t="s">
        <v>15</v>
      </c>
      <c r="F137" s="96">
        <v>162</v>
      </c>
      <c r="G137" s="96">
        <f>RANK(Table11[[#This Row],[Total Score]],Table11[[Gender]:[Total Score]],0)</f>
        <v>197</v>
      </c>
      <c r="H137" s="97" t="str">
        <f>_xlfn.XLOOKUP(Table11[[#This Row],[Total Score]],I:I,K:K,,-1)</f>
        <v>Poor</v>
      </c>
    </row>
    <row r="138" spans="2:8" x14ac:dyDescent="0.35">
      <c r="B138" s="95" t="s">
        <v>8</v>
      </c>
      <c r="C138" s="96" t="s">
        <v>21</v>
      </c>
      <c r="D138" s="96" t="s">
        <v>11</v>
      </c>
      <c r="E138" s="96" t="s">
        <v>12</v>
      </c>
      <c r="F138" s="96">
        <v>223</v>
      </c>
      <c r="G138" s="96">
        <f>RANK(Table11[[#This Row],[Total Score]],Table11[[Gender]:[Total Score]],0)</f>
        <v>76</v>
      </c>
      <c r="H138" s="97" t="str">
        <f>_xlfn.XLOOKUP(Table11[[#This Row],[Total Score]],I:I,K:K,,-1)</f>
        <v>Good</v>
      </c>
    </row>
    <row r="139" spans="2:8" x14ac:dyDescent="0.35">
      <c r="B139" s="95" t="s">
        <v>8</v>
      </c>
      <c r="C139" s="96" t="s">
        <v>13</v>
      </c>
      <c r="D139" s="96" t="s">
        <v>11</v>
      </c>
      <c r="E139" s="96" t="s">
        <v>12</v>
      </c>
      <c r="F139" s="96">
        <v>183</v>
      </c>
      <c r="G139" s="96">
        <f>RANK(Table11[[#This Row],[Total Score]],Table11[[Gender]:[Total Score]],0)</f>
        <v>161</v>
      </c>
      <c r="H139" s="97" t="str">
        <f>_xlfn.XLOOKUP(Table11[[#This Row],[Total Score]],I:I,K:K,,-1)</f>
        <v>Fair</v>
      </c>
    </row>
    <row r="140" spans="2:8" x14ac:dyDescent="0.35">
      <c r="B140" s="95" t="s">
        <v>17</v>
      </c>
      <c r="C140" s="96" t="s">
        <v>13</v>
      </c>
      <c r="D140" s="96" t="s">
        <v>20</v>
      </c>
      <c r="E140" s="96" t="s">
        <v>12</v>
      </c>
      <c r="F140" s="96">
        <v>169</v>
      </c>
      <c r="G140" s="96">
        <f>RANK(Table11[[#This Row],[Total Score]],Table11[[Gender]:[Total Score]],0)</f>
        <v>188</v>
      </c>
      <c r="H140" s="97" t="str">
        <f>_xlfn.XLOOKUP(Table11[[#This Row],[Total Score]],I:I,K:K,,-1)</f>
        <v>Poor</v>
      </c>
    </row>
    <row r="141" spans="2:8" x14ac:dyDescent="0.35">
      <c r="B141" s="95" t="s">
        <v>8</v>
      </c>
      <c r="C141" s="96" t="s">
        <v>24</v>
      </c>
      <c r="D141" s="96" t="s">
        <v>11</v>
      </c>
      <c r="E141" s="96" t="s">
        <v>12</v>
      </c>
      <c r="F141" s="96">
        <v>234</v>
      </c>
      <c r="G141" s="96">
        <f>RANK(Table11[[#This Row],[Total Score]],Table11[[Gender]:[Total Score]],0)</f>
        <v>57</v>
      </c>
      <c r="H141" s="97" t="str">
        <f>_xlfn.XLOOKUP(Table11[[#This Row],[Total Score]],I:I,K:K,,-1)</f>
        <v>Good</v>
      </c>
    </row>
    <row r="142" spans="2:8" x14ac:dyDescent="0.35">
      <c r="B142" s="95" t="s">
        <v>8</v>
      </c>
      <c r="C142" s="96" t="s">
        <v>24</v>
      </c>
      <c r="D142" s="96" t="s">
        <v>11</v>
      </c>
      <c r="E142" s="96" t="s">
        <v>12</v>
      </c>
      <c r="F142" s="96">
        <v>187</v>
      </c>
      <c r="G142" s="96">
        <f>RANK(Table11[[#This Row],[Total Score]],Table11[[Gender]:[Total Score]],0)</f>
        <v>151</v>
      </c>
      <c r="H142" s="97" t="str">
        <f>_xlfn.XLOOKUP(Table11[[#This Row],[Total Score]],I:I,K:K,,-1)</f>
        <v>Fair</v>
      </c>
    </row>
    <row r="143" spans="2:8" x14ac:dyDescent="0.35">
      <c r="B143" s="95" t="s">
        <v>17</v>
      </c>
      <c r="C143" s="96" t="s">
        <v>21</v>
      </c>
      <c r="D143" s="96" t="s">
        <v>20</v>
      </c>
      <c r="E143" s="96" t="s">
        <v>15</v>
      </c>
      <c r="F143" s="96">
        <v>192</v>
      </c>
      <c r="G143" s="96">
        <f>RANK(Table11[[#This Row],[Total Score]],Table11[[Gender]:[Total Score]],0)</f>
        <v>141</v>
      </c>
      <c r="H143" s="97" t="str">
        <f>_xlfn.XLOOKUP(Table11[[#This Row],[Total Score]],I:I,K:K,,-1)</f>
        <v>Fair</v>
      </c>
    </row>
    <row r="144" spans="2:8" x14ac:dyDescent="0.35">
      <c r="B144" s="95" t="s">
        <v>8</v>
      </c>
      <c r="C144" s="96" t="s">
        <v>13</v>
      </c>
      <c r="D144" s="96" t="s">
        <v>11</v>
      </c>
      <c r="E144" s="96" t="s">
        <v>12</v>
      </c>
      <c r="F144" s="96">
        <v>183</v>
      </c>
      <c r="G144" s="96">
        <f>RANK(Table11[[#This Row],[Total Score]],Table11[[Gender]:[Total Score]],0)</f>
        <v>161</v>
      </c>
      <c r="H144" s="97" t="str">
        <f>_xlfn.XLOOKUP(Table11[[#This Row],[Total Score]],I:I,K:K,,-1)</f>
        <v>Fair</v>
      </c>
    </row>
    <row r="145" spans="2:8" x14ac:dyDescent="0.35">
      <c r="B145" s="95" t="s">
        <v>17</v>
      </c>
      <c r="C145" s="96" t="s">
        <v>18</v>
      </c>
      <c r="D145" s="96" t="s">
        <v>11</v>
      </c>
      <c r="E145" s="96" t="s">
        <v>15</v>
      </c>
      <c r="F145" s="96">
        <v>282</v>
      </c>
      <c r="G145" s="96">
        <f>RANK(Table11[[#This Row],[Total Score]],Table11[[Gender]:[Total Score]],0)</f>
        <v>4</v>
      </c>
      <c r="H145" s="97" t="str">
        <f>_xlfn.XLOOKUP(Table11[[#This Row],[Total Score]],I:I,K:K,,-1)</f>
        <v>Excellent</v>
      </c>
    </row>
    <row r="146" spans="2:8" x14ac:dyDescent="0.35">
      <c r="B146" s="95" t="s">
        <v>17</v>
      </c>
      <c r="C146" s="96" t="s">
        <v>21</v>
      </c>
      <c r="D146" s="96" t="s">
        <v>11</v>
      </c>
      <c r="E146" s="96" t="s">
        <v>15</v>
      </c>
      <c r="F146" s="96">
        <v>296</v>
      </c>
      <c r="G146" s="96">
        <f>RANK(Table11[[#This Row],[Total Score]],Table11[[Gender]:[Total Score]],0)</f>
        <v>2</v>
      </c>
      <c r="H146" s="97" t="str">
        <f>_xlfn.XLOOKUP(Table11[[#This Row],[Total Score]],I:I,K:K,,-1)</f>
        <v>Excellent</v>
      </c>
    </row>
    <row r="147" spans="2:8" x14ac:dyDescent="0.35">
      <c r="B147" s="95" t="s">
        <v>17</v>
      </c>
      <c r="C147" s="96" t="s">
        <v>21</v>
      </c>
      <c r="D147" s="96" t="s">
        <v>20</v>
      </c>
      <c r="E147" s="96" t="s">
        <v>12</v>
      </c>
      <c r="F147" s="96">
        <v>152</v>
      </c>
      <c r="G147" s="96">
        <f>RANK(Table11[[#This Row],[Total Score]],Table11[[Gender]:[Total Score]],0)</f>
        <v>206</v>
      </c>
      <c r="H147" s="97" t="str">
        <f>_xlfn.XLOOKUP(Table11[[#This Row],[Total Score]],I:I,K:K,,-1)</f>
        <v>Poor</v>
      </c>
    </row>
    <row r="148" spans="2:8" x14ac:dyDescent="0.35">
      <c r="B148" s="95" t="s">
        <v>17</v>
      </c>
      <c r="C148" s="96" t="s">
        <v>21</v>
      </c>
      <c r="D148" s="96" t="s">
        <v>11</v>
      </c>
      <c r="E148" s="96" t="s">
        <v>12</v>
      </c>
      <c r="F148" s="96">
        <v>201</v>
      </c>
      <c r="G148" s="96">
        <f>RANK(Table11[[#This Row],[Total Score]],Table11[[Gender]:[Total Score]],0)</f>
        <v>124</v>
      </c>
      <c r="H148" s="97" t="str">
        <f>_xlfn.XLOOKUP(Table11[[#This Row],[Total Score]],I:I,K:K,,-1)</f>
        <v>Fair</v>
      </c>
    </row>
    <row r="149" spans="2:8" x14ac:dyDescent="0.35">
      <c r="B149" s="95" t="s">
        <v>17</v>
      </c>
      <c r="C149" s="96" t="s">
        <v>24</v>
      </c>
      <c r="D149" s="96" t="s">
        <v>11</v>
      </c>
      <c r="E149" s="96" t="s">
        <v>12</v>
      </c>
      <c r="F149" s="96">
        <v>236</v>
      </c>
      <c r="G149" s="96">
        <f>RANK(Table11[[#This Row],[Total Score]],Table11[[Gender]:[Total Score]],0)</f>
        <v>50</v>
      </c>
      <c r="H149" s="97" t="str">
        <f>_xlfn.XLOOKUP(Table11[[#This Row],[Total Score]],I:I,K:K,,-1)</f>
        <v>Good</v>
      </c>
    </row>
    <row r="150" spans="2:8" x14ac:dyDescent="0.35">
      <c r="B150" s="95" t="s">
        <v>8</v>
      </c>
      <c r="C150" s="96" t="s">
        <v>21</v>
      </c>
      <c r="D150" s="96" t="s">
        <v>11</v>
      </c>
      <c r="E150" s="96" t="s">
        <v>15</v>
      </c>
      <c r="F150" s="96">
        <v>229</v>
      </c>
      <c r="G150" s="96">
        <f>RANK(Table11[[#This Row],[Total Score]],Table11[[Gender]:[Total Score]],0)</f>
        <v>65</v>
      </c>
      <c r="H150" s="97" t="str">
        <f>_xlfn.XLOOKUP(Table11[[#This Row],[Total Score]],I:I,K:K,,-1)</f>
        <v>Good</v>
      </c>
    </row>
    <row r="151" spans="2:8" x14ac:dyDescent="0.35">
      <c r="B151" s="95" t="s">
        <v>8</v>
      </c>
      <c r="C151" s="96" t="s">
        <v>21</v>
      </c>
      <c r="D151" s="96" t="s">
        <v>11</v>
      </c>
      <c r="E151" s="96" t="s">
        <v>15</v>
      </c>
      <c r="F151" s="96">
        <v>269</v>
      </c>
      <c r="G151" s="96">
        <f>RANK(Table11[[#This Row],[Total Score]],Table11[[Gender]:[Total Score]],0)</f>
        <v>12</v>
      </c>
      <c r="H151" s="97" t="str">
        <f>_xlfn.XLOOKUP(Table11[[#This Row],[Total Score]],I:I,K:K,,-1)</f>
        <v>Very Good</v>
      </c>
    </row>
    <row r="152" spans="2:8" x14ac:dyDescent="0.35">
      <c r="B152" s="95" t="s">
        <v>8</v>
      </c>
      <c r="C152" s="96" t="s">
        <v>9</v>
      </c>
      <c r="D152" s="96" t="s">
        <v>11</v>
      </c>
      <c r="E152" s="96" t="s">
        <v>12</v>
      </c>
      <c r="F152" s="96">
        <v>196</v>
      </c>
      <c r="G152" s="96">
        <f>RANK(Table11[[#This Row],[Total Score]],Table11[[Gender]:[Total Score]],0)</f>
        <v>132</v>
      </c>
      <c r="H152" s="97" t="str">
        <f>_xlfn.XLOOKUP(Table11[[#This Row],[Total Score]],I:I,K:K,,-1)</f>
        <v>Fair</v>
      </c>
    </row>
    <row r="153" spans="2:8" x14ac:dyDescent="0.35">
      <c r="B153" s="95" t="s">
        <v>17</v>
      </c>
      <c r="C153" s="96" t="s">
        <v>13</v>
      </c>
      <c r="D153" s="96" t="s">
        <v>20</v>
      </c>
      <c r="E153" s="96" t="s">
        <v>12</v>
      </c>
      <c r="F153" s="96">
        <v>224</v>
      </c>
      <c r="G153" s="96">
        <f>RANK(Table11[[#This Row],[Total Score]],Table11[[Gender]:[Total Score]],0)</f>
        <v>75</v>
      </c>
      <c r="H153" s="97" t="str">
        <f>_xlfn.XLOOKUP(Table11[[#This Row],[Total Score]],I:I,K:K,,-1)</f>
        <v>Good</v>
      </c>
    </row>
    <row r="154" spans="2:8" x14ac:dyDescent="0.35">
      <c r="B154" s="95" t="s">
        <v>8</v>
      </c>
      <c r="C154" s="96" t="s">
        <v>21</v>
      </c>
      <c r="D154" s="96" t="s">
        <v>20</v>
      </c>
      <c r="E154" s="96" t="s">
        <v>12</v>
      </c>
      <c r="F154" s="96">
        <v>195</v>
      </c>
      <c r="G154" s="96">
        <f>RANK(Table11[[#This Row],[Total Score]],Table11[[Gender]:[Total Score]],0)</f>
        <v>135</v>
      </c>
      <c r="H154" s="97" t="str">
        <f>_xlfn.XLOOKUP(Table11[[#This Row],[Total Score]],I:I,K:K,,-1)</f>
        <v>Fair</v>
      </c>
    </row>
    <row r="155" spans="2:8" x14ac:dyDescent="0.35">
      <c r="B155" s="95" t="s">
        <v>8</v>
      </c>
      <c r="C155" s="96" t="s">
        <v>13</v>
      </c>
      <c r="D155" s="96" t="s">
        <v>20</v>
      </c>
      <c r="E155" s="96" t="s">
        <v>15</v>
      </c>
      <c r="F155" s="96">
        <v>207</v>
      </c>
      <c r="G155" s="96">
        <f>RANK(Table11[[#This Row],[Total Score]],Table11[[Gender]:[Total Score]],0)</f>
        <v>112</v>
      </c>
      <c r="H155" s="97" t="str">
        <f>_xlfn.XLOOKUP(Table11[[#This Row],[Total Score]],I:I,K:K,,-1)</f>
        <v>Fair</v>
      </c>
    </row>
    <row r="156" spans="2:8" x14ac:dyDescent="0.35">
      <c r="B156" s="95" t="s">
        <v>17</v>
      </c>
      <c r="C156" s="96" t="s">
        <v>13</v>
      </c>
      <c r="D156" s="96" t="s">
        <v>11</v>
      </c>
      <c r="E156" s="96" t="s">
        <v>12</v>
      </c>
      <c r="F156" s="96">
        <v>208</v>
      </c>
      <c r="G156" s="96">
        <f>RANK(Table11[[#This Row],[Total Score]],Table11[[Gender]:[Total Score]],0)</f>
        <v>109</v>
      </c>
      <c r="H156" s="97" t="str">
        <f>_xlfn.XLOOKUP(Table11[[#This Row],[Total Score]],I:I,K:K,,-1)</f>
        <v>Fair</v>
      </c>
    </row>
    <row r="157" spans="2:8" x14ac:dyDescent="0.35">
      <c r="B157" s="95" t="s">
        <v>8</v>
      </c>
      <c r="C157" s="96" t="s">
        <v>13</v>
      </c>
      <c r="D157" s="96" t="s">
        <v>11</v>
      </c>
      <c r="E157" s="96" t="s">
        <v>12</v>
      </c>
      <c r="F157" s="96">
        <v>223</v>
      </c>
      <c r="G157" s="96">
        <f>RANK(Table11[[#This Row],[Total Score]],Table11[[Gender]:[Total Score]],0)</f>
        <v>76</v>
      </c>
      <c r="H157" s="97" t="str">
        <f>_xlfn.XLOOKUP(Table11[[#This Row],[Total Score]],I:I,K:K,,-1)</f>
        <v>Good</v>
      </c>
    </row>
    <row r="158" spans="2:8" x14ac:dyDescent="0.35">
      <c r="B158" s="95" t="s">
        <v>8</v>
      </c>
      <c r="C158" s="96" t="s">
        <v>9</v>
      </c>
      <c r="D158" s="96" t="s">
        <v>11</v>
      </c>
      <c r="E158" s="96" t="s">
        <v>15</v>
      </c>
      <c r="F158" s="96">
        <v>180</v>
      </c>
      <c r="G158" s="96">
        <f>RANK(Table11[[#This Row],[Total Score]],Table11[[Gender]:[Total Score]],0)</f>
        <v>169</v>
      </c>
      <c r="H158" s="97" t="str">
        <f>_xlfn.XLOOKUP(Table11[[#This Row],[Total Score]],I:I,K:K,,-1)</f>
        <v>Fair</v>
      </c>
    </row>
    <row r="159" spans="2:8" x14ac:dyDescent="0.35">
      <c r="B159" s="95" t="s">
        <v>8</v>
      </c>
      <c r="C159" s="96" t="s">
        <v>24</v>
      </c>
      <c r="D159" s="96" t="s">
        <v>11</v>
      </c>
      <c r="E159" s="96" t="s">
        <v>15</v>
      </c>
      <c r="F159" s="96">
        <v>227</v>
      </c>
      <c r="G159" s="96">
        <f>RANK(Table11[[#This Row],[Total Score]],Table11[[Gender]:[Total Score]],0)</f>
        <v>69</v>
      </c>
      <c r="H159" s="97" t="str">
        <f>_xlfn.XLOOKUP(Table11[[#This Row],[Total Score]],I:I,K:K,,-1)</f>
        <v>Good</v>
      </c>
    </row>
    <row r="160" spans="2:8" x14ac:dyDescent="0.35">
      <c r="B160" s="95" t="s">
        <v>17</v>
      </c>
      <c r="C160" s="96" t="s">
        <v>21</v>
      </c>
      <c r="D160" s="96" t="s">
        <v>20</v>
      </c>
      <c r="E160" s="96" t="s">
        <v>12</v>
      </c>
      <c r="F160" s="96">
        <v>184</v>
      </c>
      <c r="G160" s="96">
        <f>RANK(Table11[[#This Row],[Total Score]],Table11[[Gender]:[Total Score]],0)</f>
        <v>158</v>
      </c>
      <c r="H160" s="97" t="str">
        <f>_xlfn.XLOOKUP(Table11[[#This Row],[Total Score]],I:I,K:K,,-1)</f>
        <v>Fair</v>
      </c>
    </row>
    <row r="161" spans="2:8" x14ac:dyDescent="0.35">
      <c r="B161" s="95" t="s">
        <v>17</v>
      </c>
      <c r="C161" s="96" t="s">
        <v>9</v>
      </c>
      <c r="D161" s="96" t="s">
        <v>11</v>
      </c>
      <c r="E161" s="96" t="s">
        <v>15</v>
      </c>
      <c r="F161" s="96">
        <v>196</v>
      </c>
      <c r="G161" s="96">
        <f>RANK(Table11[[#This Row],[Total Score]],Table11[[Gender]:[Total Score]],0)</f>
        <v>132</v>
      </c>
      <c r="H161" s="97" t="str">
        <f>_xlfn.XLOOKUP(Table11[[#This Row],[Total Score]],I:I,K:K,,-1)</f>
        <v>Fair</v>
      </c>
    </row>
    <row r="162" spans="2:8" x14ac:dyDescent="0.35">
      <c r="B162" s="95" t="s">
        <v>17</v>
      </c>
      <c r="C162" s="96" t="s">
        <v>24</v>
      </c>
      <c r="D162" s="96" t="s">
        <v>11</v>
      </c>
      <c r="E162" s="96" t="s">
        <v>15</v>
      </c>
      <c r="F162" s="96">
        <v>228</v>
      </c>
      <c r="G162" s="96">
        <f>RANK(Table11[[#This Row],[Total Score]],Table11[[Gender]:[Total Score]],0)</f>
        <v>67</v>
      </c>
      <c r="H162" s="97" t="str">
        <f>_xlfn.XLOOKUP(Table11[[#This Row],[Total Score]],I:I,K:K,,-1)</f>
        <v>Good</v>
      </c>
    </row>
    <row r="163" spans="2:8" x14ac:dyDescent="0.35">
      <c r="B163" s="95" t="s">
        <v>17</v>
      </c>
      <c r="C163" s="96" t="s">
        <v>24</v>
      </c>
      <c r="D163" s="96" t="s">
        <v>20</v>
      </c>
      <c r="E163" s="96" t="s">
        <v>12</v>
      </c>
      <c r="F163" s="96">
        <v>266</v>
      </c>
      <c r="G163" s="96">
        <f>RANK(Table11[[#This Row],[Total Score]],Table11[[Gender]:[Total Score]],0)</f>
        <v>15</v>
      </c>
      <c r="H163" s="97" t="str">
        <f>_xlfn.XLOOKUP(Table11[[#This Row],[Total Score]],I:I,K:K,,-1)</f>
        <v>Very Good</v>
      </c>
    </row>
    <row r="164" spans="2:8" x14ac:dyDescent="0.35">
      <c r="B164" s="95" t="s">
        <v>8</v>
      </c>
      <c r="C164" s="96" t="s">
        <v>21</v>
      </c>
      <c r="D164" s="96" t="s">
        <v>20</v>
      </c>
      <c r="E164" s="96" t="s">
        <v>12</v>
      </c>
      <c r="F164" s="96">
        <v>254</v>
      </c>
      <c r="G164" s="96">
        <f>RANK(Table11[[#This Row],[Total Score]],Table11[[Gender]:[Total Score]],0)</f>
        <v>27</v>
      </c>
      <c r="H164" s="97" t="str">
        <f>_xlfn.XLOOKUP(Table11[[#This Row],[Total Score]],I:I,K:K,,-1)</f>
        <v>Very Good</v>
      </c>
    </row>
    <row r="165" spans="2:8" x14ac:dyDescent="0.35">
      <c r="B165" s="95" t="s">
        <v>8</v>
      </c>
      <c r="C165" s="96" t="s">
        <v>21</v>
      </c>
      <c r="D165" s="96" t="s">
        <v>11</v>
      </c>
      <c r="E165" s="96" t="s">
        <v>12</v>
      </c>
      <c r="F165" s="96">
        <v>194</v>
      </c>
      <c r="G165" s="96">
        <f>RANK(Table11[[#This Row],[Total Score]],Table11[[Gender]:[Total Score]],0)</f>
        <v>139</v>
      </c>
      <c r="H165" s="97" t="str">
        <f>_xlfn.XLOOKUP(Table11[[#This Row],[Total Score]],I:I,K:K,,-1)</f>
        <v>Fair</v>
      </c>
    </row>
    <row r="166" spans="2:8" x14ac:dyDescent="0.35">
      <c r="B166" s="95" t="s">
        <v>17</v>
      </c>
      <c r="C166" s="96" t="s">
        <v>13</v>
      </c>
      <c r="D166" s="96" t="s">
        <v>11</v>
      </c>
      <c r="E166" s="96" t="s">
        <v>12</v>
      </c>
      <c r="F166" s="96">
        <v>177</v>
      </c>
      <c r="G166" s="96">
        <f>RANK(Table11[[#This Row],[Total Score]],Table11[[Gender]:[Total Score]],0)</f>
        <v>176</v>
      </c>
      <c r="H166" s="97" t="str">
        <f>_xlfn.XLOOKUP(Table11[[#This Row],[Total Score]],I:I,K:K,,-1)</f>
        <v>Poor</v>
      </c>
    </row>
    <row r="167" spans="2:8" x14ac:dyDescent="0.35">
      <c r="B167" s="95" t="s">
        <v>17</v>
      </c>
      <c r="C167" s="96" t="s">
        <v>13</v>
      </c>
      <c r="D167" s="96" t="s">
        <v>11</v>
      </c>
      <c r="E167" s="96" t="s">
        <v>15</v>
      </c>
      <c r="F167" s="96">
        <v>267</v>
      </c>
      <c r="G167" s="96">
        <f>RANK(Table11[[#This Row],[Total Score]],Table11[[Gender]:[Total Score]],0)</f>
        <v>13</v>
      </c>
      <c r="H167" s="97" t="str">
        <f>_xlfn.XLOOKUP(Table11[[#This Row],[Total Score]],I:I,K:K,,-1)</f>
        <v>Very Good</v>
      </c>
    </row>
    <row r="168" spans="2:8" x14ac:dyDescent="0.35">
      <c r="B168" s="95" t="s">
        <v>8</v>
      </c>
      <c r="C168" s="96" t="s">
        <v>21</v>
      </c>
      <c r="D168" s="96" t="s">
        <v>11</v>
      </c>
      <c r="E168" s="96" t="s">
        <v>12</v>
      </c>
      <c r="F168" s="96">
        <v>297</v>
      </c>
      <c r="G168" s="96">
        <f>RANK(Table11[[#This Row],[Total Score]],Table11[[Gender]:[Total Score]],0)</f>
        <v>1</v>
      </c>
      <c r="H168" s="97" t="str">
        <f>_xlfn.XLOOKUP(Table11[[#This Row],[Total Score]],I:I,K:K,,-1)</f>
        <v>Excellent</v>
      </c>
    </row>
    <row r="169" spans="2:8" x14ac:dyDescent="0.35">
      <c r="B169" s="95" t="s">
        <v>8</v>
      </c>
      <c r="C169" s="96" t="s">
        <v>13</v>
      </c>
      <c r="D169" s="96" t="s">
        <v>20</v>
      </c>
      <c r="E169" s="96" t="s">
        <v>12</v>
      </c>
      <c r="F169" s="96">
        <v>204</v>
      </c>
      <c r="G169" s="96">
        <f>RANK(Table11[[#This Row],[Total Score]],Table11[[Gender]:[Total Score]],0)</f>
        <v>120</v>
      </c>
      <c r="H169" s="97" t="str">
        <f>_xlfn.XLOOKUP(Table11[[#This Row],[Total Score]],I:I,K:K,,-1)</f>
        <v>Fair</v>
      </c>
    </row>
    <row r="170" spans="2:8" x14ac:dyDescent="0.35">
      <c r="B170" s="95" t="s">
        <v>17</v>
      </c>
      <c r="C170" s="96" t="s">
        <v>9</v>
      </c>
      <c r="D170" s="96" t="s">
        <v>11</v>
      </c>
      <c r="E170" s="96" t="s">
        <v>12</v>
      </c>
      <c r="F170" s="96">
        <v>131</v>
      </c>
      <c r="G170" s="96">
        <f>RANK(Table11[[#This Row],[Total Score]],Table11[[Gender]:[Total Score]],0)</f>
        <v>216</v>
      </c>
      <c r="H170" s="97" t="str">
        <f>_xlfn.XLOOKUP(Table11[[#This Row],[Total Score]],I:I,K:K,,-1)</f>
        <v>Poor</v>
      </c>
    </row>
    <row r="171" spans="2:8" x14ac:dyDescent="0.35">
      <c r="B171" s="95" t="s">
        <v>17</v>
      </c>
      <c r="C171" s="96" t="s">
        <v>24</v>
      </c>
      <c r="D171" s="96" t="s">
        <v>11</v>
      </c>
      <c r="E171" s="96" t="s">
        <v>15</v>
      </c>
      <c r="F171" s="96">
        <v>226</v>
      </c>
      <c r="G171" s="96">
        <f>RANK(Table11[[#This Row],[Total Score]],Table11[[Gender]:[Total Score]],0)</f>
        <v>73</v>
      </c>
      <c r="H171" s="97" t="str">
        <f>_xlfn.XLOOKUP(Table11[[#This Row],[Total Score]],I:I,K:K,,-1)</f>
        <v>Good</v>
      </c>
    </row>
    <row r="172" spans="2:8" x14ac:dyDescent="0.35">
      <c r="B172" s="95" t="s">
        <v>17</v>
      </c>
      <c r="C172" s="96" t="s">
        <v>13</v>
      </c>
      <c r="D172" s="96" t="s">
        <v>11</v>
      </c>
      <c r="E172" s="96" t="s">
        <v>12</v>
      </c>
      <c r="F172" s="96">
        <v>129</v>
      </c>
      <c r="G172" s="96">
        <f>RANK(Table11[[#This Row],[Total Score]],Table11[[Gender]:[Total Score]],0)</f>
        <v>217</v>
      </c>
      <c r="H172" s="97" t="str">
        <f>_xlfn.XLOOKUP(Table11[[#This Row],[Total Score]],I:I,K:K,,-1)</f>
        <v>Poor</v>
      </c>
    </row>
    <row r="173" spans="2:8" x14ac:dyDescent="0.35">
      <c r="B173" s="95" t="s">
        <v>8</v>
      </c>
      <c r="C173" s="96" t="s">
        <v>13</v>
      </c>
      <c r="D173" s="96" t="s">
        <v>11</v>
      </c>
      <c r="E173" s="96" t="s">
        <v>15</v>
      </c>
      <c r="F173" s="96">
        <v>270</v>
      </c>
      <c r="G173" s="96">
        <f>RANK(Table11[[#This Row],[Total Score]],Table11[[Gender]:[Total Score]],0)</f>
        <v>11</v>
      </c>
      <c r="H173" s="97" t="str">
        <f>_xlfn.XLOOKUP(Table11[[#This Row],[Total Score]],I:I,K:K,,-1)</f>
        <v>Excellent</v>
      </c>
    </row>
    <row r="174" spans="2:8" x14ac:dyDescent="0.35">
      <c r="B174" s="95" t="s">
        <v>8</v>
      </c>
      <c r="C174" s="96" t="s">
        <v>24</v>
      </c>
      <c r="D174" s="96" t="s">
        <v>20</v>
      </c>
      <c r="E174" s="96" t="s">
        <v>12</v>
      </c>
      <c r="F174" s="96">
        <v>168</v>
      </c>
      <c r="G174" s="96">
        <f>RANK(Table11[[#This Row],[Total Score]],Table11[[Gender]:[Total Score]],0)</f>
        <v>190</v>
      </c>
      <c r="H174" s="97" t="str">
        <f>_xlfn.XLOOKUP(Table11[[#This Row],[Total Score]],I:I,K:K,,-1)</f>
        <v>Poor</v>
      </c>
    </row>
    <row r="175" spans="2:8" x14ac:dyDescent="0.35">
      <c r="B175" s="95" t="s">
        <v>8</v>
      </c>
      <c r="C175" s="96" t="s">
        <v>9</v>
      </c>
      <c r="D175" s="96" t="s">
        <v>20</v>
      </c>
      <c r="E175" s="96" t="s">
        <v>15</v>
      </c>
      <c r="F175" s="96">
        <v>192</v>
      </c>
      <c r="G175" s="96">
        <f>RANK(Table11[[#This Row],[Total Score]],Table11[[Gender]:[Total Score]],0)</f>
        <v>141</v>
      </c>
      <c r="H175" s="97" t="str">
        <f>_xlfn.XLOOKUP(Table11[[#This Row],[Total Score]],I:I,K:K,,-1)</f>
        <v>Fair</v>
      </c>
    </row>
    <row r="176" spans="2:8" x14ac:dyDescent="0.35">
      <c r="B176" s="95" t="s">
        <v>17</v>
      </c>
      <c r="C176" s="96" t="s">
        <v>9</v>
      </c>
      <c r="D176" s="96" t="s">
        <v>20</v>
      </c>
      <c r="E176" s="96" t="s">
        <v>12</v>
      </c>
      <c r="F176" s="96">
        <v>157</v>
      </c>
      <c r="G176" s="96">
        <f>RANK(Table11[[#This Row],[Total Score]],Table11[[Gender]:[Total Score]],0)</f>
        <v>198</v>
      </c>
      <c r="H176" s="97" t="str">
        <f>_xlfn.XLOOKUP(Table11[[#This Row],[Total Score]],I:I,K:K,,-1)</f>
        <v>Poor</v>
      </c>
    </row>
    <row r="177" spans="2:8" x14ac:dyDescent="0.35">
      <c r="B177" s="95" t="s">
        <v>17</v>
      </c>
      <c r="C177" s="96" t="s">
        <v>13</v>
      </c>
      <c r="D177" s="96" t="s">
        <v>11</v>
      </c>
      <c r="E177" s="96" t="s">
        <v>12</v>
      </c>
      <c r="F177" s="96">
        <v>201</v>
      </c>
      <c r="G177" s="96">
        <f>RANK(Table11[[#This Row],[Total Score]],Table11[[Gender]:[Total Score]],0)</f>
        <v>124</v>
      </c>
      <c r="H177" s="97" t="str">
        <f>_xlfn.XLOOKUP(Table11[[#This Row],[Total Score]],I:I,K:K,,-1)</f>
        <v>Fair</v>
      </c>
    </row>
    <row r="178" spans="2:8" x14ac:dyDescent="0.35">
      <c r="B178" s="95" t="s">
        <v>17</v>
      </c>
      <c r="C178" s="96" t="s">
        <v>9</v>
      </c>
      <c r="D178" s="96" t="s">
        <v>11</v>
      </c>
      <c r="E178" s="96" t="s">
        <v>15</v>
      </c>
      <c r="F178" s="96">
        <v>257</v>
      </c>
      <c r="G178" s="96">
        <f>RANK(Table11[[#This Row],[Total Score]],Table11[[Gender]:[Total Score]],0)</f>
        <v>23</v>
      </c>
      <c r="H178" s="97" t="str">
        <f>_xlfn.XLOOKUP(Table11[[#This Row],[Total Score]],I:I,K:K,,-1)</f>
        <v>Very Good</v>
      </c>
    </row>
    <row r="179" spans="2:8" x14ac:dyDescent="0.35">
      <c r="B179" s="95" t="s">
        <v>17</v>
      </c>
      <c r="C179" s="96" t="s">
        <v>24</v>
      </c>
      <c r="D179" s="96" t="s">
        <v>11</v>
      </c>
      <c r="E179" s="96" t="s">
        <v>12</v>
      </c>
      <c r="F179" s="96">
        <v>205</v>
      </c>
      <c r="G179" s="96">
        <f>RANK(Table11[[#This Row],[Total Score]],Table11[[Gender]:[Total Score]],0)</f>
        <v>116</v>
      </c>
      <c r="H179" s="97" t="str">
        <f>_xlfn.XLOOKUP(Table11[[#This Row],[Total Score]],I:I,K:K,,-1)</f>
        <v>Fair</v>
      </c>
    </row>
    <row r="180" spans="2:8" x14ac:dyDescent="0.35">
      <c r="B180" s="95" t="s">
        <v>17</v>
      </c>
      <c r="C180" s="96" t="s">
        <v>21</v>
      </c>
      <c r="D180" s="96" t="s">
        <v>11</v>
      </c>
      <c r="E180" s="96" t="s">
        <v>12</v>
      </c>
      <c r="F180" s="96">
        <v>165</v>
      </c>
      <c r="G180" s="96">
        <f>RANK(Table11[[#This Row],[Total Score]],Table11[[Gender]:[Total Score]],0)</f>
        <v>193</v>
      </c>
      <c r="H180" s="97" t="str">
        <f>_xlfn.XLOOKUP(Table11[[#This Row],[Total Score]],I:I,K:K,,-1)</f>
        <v>Poor</v>
      </c>
    </row>
    <row r="181" spans="2:8" x14ac:dyDescent="0.35">
      <c r="B181" s="95" t="s">
        <v>8</v>
      </c>
      <c r="C181" s="96" t="s">
        <v>21</v>
      </c>
      <c r="D181" s="96" t="s">
        <v>20</v>
      </c>
      <c r="E181" s="96" t="s">
        <v>15</v>
      </c>
      <c r="F181" s="96">
        <v>176</v>
      </c>
      <c r="G181" s="96">
        <f>RANK(Table11[[#This Row],[Total Score]],Table11[[Gender]:[Total Score]],0)</f>
        <v>179</v>
      </c>
      <c r="H181" s="97" t="str">
        <f>_xlfn.XLOOKUP(Table11[[#This Row],[Total Score]],I:I,K:K,,-1)</f>
        <v>Poor</v>
      </c>
    </row>
    <row r="182" spans="2:8" x14ac:dyDescent="0.35">
      <c r="B182" s="95" t="s">
        <v>17</v>
      </c>
      <c r="C182" s="96" t="s">
        <v>9</v>
      </c>
      <c r="D182" s="96" t="s">
        <v>11</v>
      </c>
      <c r="E182" s="96" t="s">
        <v>15</v>
      </c>
      <c r="F182" s="96">
        <v>223</v>
      </c>
      <c r="G182" s="96">
        <f>RANK(Table11[[#This Row],[Total Score]],Table11[[Gender]:[Total Score]],0)</f>
        <v>76</v>
      </c>
      <c r="H182" s="97" t="str">
        <f>_xlfn.XLOOKUP(Table11[[#This Row],[Total Score]],I:I,K:K,,-1)</f>
        <v>Good</v>
      </c>
    </row>
    <row r="183" spans="2:8" x14ac:dyDescent="0.35">
      <c r="B183" s="95" t="s">
        <v>17</v>
      </c>
      <c r="C183" s="96" t="s">
        <v>21</v>
      </c>
      <c r="D183" s="96" t="s">
        <v>11</v>
      </c>
      <c r="E183" s="96" t="s">
        <v>12</v>
      </c>
      <c r="F183" s="96">
        <v>182</v>
      </c>
      <c r="G183" s="96">
        <f>RANK(Table11[[#This Row],[Total Score]],Table11[[Gender]:[Total Score]],0)</f>
        <v>164</v>
      </c>
      <c r="H183" s="97" t="str">
        <f>_xlfn.XLOOKUP(Table11[[#This Row],[Total Score]],I:I,K:K,,-1)</f>
        <v>Fair</v>
      </c>
    </row>
    <row r="184" spans="2:8" x14ac:dyDescent="0.35">
      <c r="B184" s="95" t="s">
        <v>17</v>
      </c>
      <c r="C184" s="96" t="s">
        <v>18</v>
      </c>
      <c r="D184" s="96" t="s">
        <v>20</v>
      </c>
      <c r="E184" s="96" t="s">
        <v>12</v>
      </c>
      <c r="F184" s="96">
        <v>175</v>
      </c>
      <c r="G184" s="96">
        <f>RANK(Table11[[#This Row],[Total Score]],Table11[[Gender]:[Total Score]],0)</f>
        <v>181</v>
      </c>
      <c r="H184" s="97" t="str">
        <f>_xlfn.XLOOKUP(Table11[[#This Row],[Total Score]],I:I,K:K,,-1)</f>
        <v>Poor</v>
      </c>
    </row>
    <row r="185" spans="2:8" x14ac:dyDescent="0.35">
      <c r="B185" s="95" t="s">
        <v>17</v>
      </c>
      <c r="C185" s="96" t="s">
        <v>9</v>
      </c>
      <c r="D185" s="96" t="s">
        <v>11</v>
      </c>
      <c r="E185" s="96" t="s">
        <v>12</v>
      </c>
      <c r="F185" s="96">
        <v>191</v>
      </c>
      <c r="G185" s="96">
        <f>RANK(Table11[[#This Row],[Total Score]],Table11[[Gender]:[Total Score]],0)</f>
        <v>143</v>
      </c>
      <c r="H185" s="97" t="str">
        <f>_xlfn.XLOOKUP(Table11[[#This Row],[Total Score]],I:I,K:K,,-1)</f>
        <v>Fair</v>
      </c>
    </row>
    <row r="186" spans="2:8" x14ac:dyDescent="0.35">
      <c r="B186" s="95" t="s">
        <v>8</v>
      </c>
      <c r="C186" s="96" t="s">
        <v>13</v>
      </c>
      <c r="D186" s="96" t="s">
        <v>20</v>
      </c>
      <c r="E186" s="96" t="s">
        <v>12</v>
      </c>
      <c r="F186" s="96">
        <v>122</v>
      </c>
      <c r="G186" s="96">
        <f>RANK(Table11[[#This Row],[Total Score]],Table11[[Gender]:[Total Score]],0)</f>
        <v>218</v>
      </c>
      <c r="H186" s="97" t="str">
        <f>_xlfn.XLOOKUP(Table11[[#This Row],[Total Score]],I:I,K:K,,-1)</f>
        <v>Poor</v>
      </c>
    </row>
    <row r="187" spans="2:8" x14ac:dyDescent="0.35">
      <c r="B187" s="95" t="s">
        <v>8</v>
      </c>
      <c r="C187" s="96" t="s">
        <v>18</v>
      </c>
      <c r="D187" s="96" t="s">
        <v>11</v>
      </c>
      <c r="E187" s="96" t="s">
        <v>15</v>
      </c>
      <c r="F187" s="96">
        <v>233</v>
      </c>
      <c r="G187" s="96">
        <f>RANK(Table11[[#This Row],[Total Score]],Table11[[Gender]:[Total Score]],0)</f>
        <v>59</v>
      </c>
      <c r="H187" s="97" t="str">
        <f>_xlfn.XLOOKUP(Table11[[#This Row],[Total Score]],I:I,K:K,,-1)</f>
        <v>Good</v>
      </c>
    </row>
    <row r="188" spans="2:8" x14ac:dyDescent="0.35">
      <c r="B188" s="95" t="s">
        <v>8</v>
      </c>
      <c r="C188" s="96" t="s">
        <v>9</v>
      </c>
      <c r="D188" s="96" t="s">
        <v>11</v>
      </c>
      <c r="E188" s="96" t="s">
        <v>12</v>
      </c>
      <c r="F188" s="96">
        <v>89</v>
      </c>
      <c r="G188" s="96">
        <f>RANK(Table11[[#This Row],[Total Score]],Table11[[Gender]:[Total Score]],0)</f>
        <v>225</v>
      </c>
      <c r="H188" s="97" t="str">
        <f>_xlfn.XLOOKUP(Table11[[#This Row],[Total Score]],I:I,K:K,,-1)</f>
        <v>Poor</v>
      </c>
    </row>
    <row r="189" spans="2:8" x14ac:dyDescent="0.35">
      <c r="B189" s="95" t="s">
        <v>8</v>
      </c>
      <c r="C189" s="96" t="s">
        <v>21</v>
      </c>
      <c r="D189" s="96" t="s">
        <v>20</v>
      </c>
      <c r="E189" s="96" t="s">
        <v>12</v>
      </c>
      <c r="F189" s="96">
        <v>196</v>
      </c>
      <c r="G189" s="96">
        <f>RANK(Table11[[#This Row],[Total Score]],Table11[[Gender]:[Total Score]],0)</f>
        <v>132</v>
      </c>
      <c r="H189" s="97" t="str">
        <f>_xlfn.XLOOKUP(Table11[[#This Row],[Total Score]],I:I,K:K,,-1)</f>
        <v>Fair</v>
      </c>
    </row>
    <row r="190" spans="2:8" x14ac:dyDescent="0.35">
      <c r="B190" s="95" t="s">
        <v>17</v>
      </c>
      <c r="C190" s="96" t="s">
        <v>24</v>
      </c>
      <c r="D190" s="96" t="s">
        <v>11</v>
      </c>
      <c r="E190" s="96" t="s">
        <v>12</v>
      </c>
      <c r="F190" s="96">
        <v>183</v>
      </c>
      <c r="G190" s="96">
        <f>RANK(Table11[[#This Row],[Total Score]],Table11[[Gender]:[Total Score]],0)</f>
        <v>161</v>
      </c>
      <c r="H190" s="97" t="str">
        <f>_xlfn.XLOOKUP(Table11[[#This Row],[Total Score]],I:I,K:K,,-1)</f>
        <v>Fair</v>
      </c>
    </row>
    <row r="191" spans="2:8" x14ac:dyDescent="0.35">
      <c r="B191" s="95" t="s">
        <v>8</v>
      </c>
      <c r="C191" s="96" t="s">
        <v>9</v>
      </c>
      <c r="D191" s="96" t="s">
        <v>11</v>
      </c>
      <c r="E191" s="96" t="s">
        <v>12</v>
      </c>
      <c r="F191" s="96">
        <v>254</v>
      </c>
      <c r="G191" s="96">
        <f>RANK(Table11[[#This Row],[Total Score]],Table11[[Gender]:[Total Score]],0)</f>
        <v>27</v>
      </c>
      <c r="H191" s="97" t="str">
        <f>_xlfn.XLOOKUP(Table11[[#This Row],[Total Score]],I:I,K:K,,-1)</f>
        <v>Very Good</v>
      </c>
    </row>
    <row r="192" spans="2:8" x14ac:dyDescent="0.35">
      <c r="B192" s="95" t="s">
        <v>8</v>
      </c>
      <c r="C192" s="96" t="s">
        <v>13</v>
      </c>
      <c r="D192" s="96" t="s">
        <v>11</v>
      </c>
      <c r="E192" s="96" t="s">
        <v>12</v>
      </c>
      <c r="F192" s="96">
        <v>227</v>
      </c>
      <c r="G192" s="96">
        <f>RANK(Table11[[#This Row],[Total Score]],Table11[[Gender]:[Total Score]],0)</f>
        <v>69</v>
      </c>
      <c r="H192" s="97" t="str">
        <f>_xlfn.XLOOKUP(Table11[[#This Row],[Total Score]],I:I,K:K,,-1)</f>
        <v>Good</v>
      </c>
    </row>
    <row r="193" spans="2:8" x14ac:dyDescent="0.35">
      <c r="B193" s="95" t="s">
        <v>17</v>
      </c>
      <c r="C193" s="96" t="s">
        <v>18</v>
      </c>
      <c r="D193" s="96" t="s">
        <v>20</v>
      </c>
      <c r="E193" s="96" t="s">
        <v>12</v>
      </c>
      <c r="F193" s="96">
        <v>230</v>
      </c>
      <c r="G193" s="96">
        <f>RANK(Table11[[#This Row],[Total Score]],Table11[[Gender]:[Total Score]],0)</f>
        <v>64</v>
      </c>
      <c r="H193" s="97" t="str">
        <f>_xlfn.XLOOKUP(Table11[[#This Row],[Total Score]],I:I,K:K,,-1)</f>
        <v>Good</v>
      </c>
    </row>
    <row r="194" spans="2:8" x14ac:dyDescent="0.35">
      <c r="B194" s="95" t="s">
        <v>8</v>
      </c>
      <c r="C194" s="96" t="s">
        <v>21</v>
      </c>
      <c r="D194" s="96" t="s">
        <v>20</v>
      </c>
      <c r="E194" s="96" t="s">
        <v>12</v>
      </c>
      <c r="F194" s="96">
        <v>213</v>
      </c>
      <c r="G194" s="96">
        <f>RANK(Table11[[#This Row],[Total Score]],Table11[[Gender]:[Total Score]],0)</f>
        <v>99</v>
      </c>
      <c r="H194" s="97" t="str">
        <f>_xlfn.XLOOKUP(Table11[[#This Row],[Total Score]],I:I,K:K,,-1)</f>
        <v>Good</v>
      </c>
    </row>
    <row r="195" spans="2:8" x14ac:dyDescent="0.35">
      <c r="B195" s="95" t="s">
        <v>17</v>
      </c>
      <c r="C195" s="96" t="s">
        <v>24</v>
      </c>
      <c r="D195" s="96" t="s">
        <v>20</v>
      </c>
      <c r="E195" s="96" t="s">
        <v>15</v>
      </c>
      <c r="F195" s="96">
        <v>152</v>
      </c>
      <c r="G195" s="96">
        <f>RANK(Table11[[#This Row],[Total Score]],Table11[[Gender]:[Total Score]],0)</f>
        <v>206</v>
      </c>
      <c r="H195" s="97" t="str">
        <f>_xlfn.XLOOKUP(Table11[[#This Row],[Total Score]],I:I,K:K,,-1)</f>
        <v>Poor</v>
      </c>
    </row>
    <row r="196" spans="2:8" x14ac:dyDescent="0.35">
      <c r="B196" s="95" t="s">
        <v>8</v>
      </c>
      <c r="C196" s="96" t="s">
        <v>18</v>
      </c>
      <c r="D196" s="96" t="s">
        <v>20</v>
      </c>
      <c r="E196" s="96" t="s">
        <v>12</v>
      </c>
      <c r="F196" s="96">
        <v>178</v>
      </c>
      <c r="G196" s="96">
        <f>RANK(Table11[[#This Row],[Total Score]],Table11[[Gender]:[Total Score]],0)</f>
        <v>172</v>
      </c>
      <c r="H196" s="97" t="str">
        <f>_xlfn.XLOOKUP(Table11[[#This Row],[Total Score]],I:I,K:K,,-1)</f>
        <v>Poor</v>
      </c>
    </row>
    <row r="197" spans="2:8" x14ac:dyDescent="0.35">
      <c r="B197" s="95" t="s">
        <v>17</v>
      </c>
      <c r="C197" s="96" t="s">
        <v>9</v>
      </c>
      <c r="D197" s="96" t="s">
        <v>11</v>
      </c>
      <c r="E197" s="96" t="s">
        <v>12</v>
      </c>
      <c r="F197" s="96">
        <v>153</v>
      </c>
      <c r="G197" s="96">
        <f>RANK(Table11[[#This Row],[Total Score]],Table11[[Gender]:[Total Score]],0)</f>
        <v>202</v>
      </c>
      <c r="H197" s="97" t="str">
        <f>_xlfn.XLOOKUP(Table11[[#This Row],[Total Score]],I:I,K:K,,-1)</f>
        <v>Poor</v>
      </c>
    </row>
    <row r="198" spans="2:8" x14ac:dyDescent="0.35">
      <c r="B198" s="95" t="s">
        <v>17</v>
      </c>
      <c r="C198" s="96" t="s">
        <v>9</v>
      </c>
      <c r="D198" s="96" t="s">
        <v>20</v>
      </c>
      <c r="E198" s="96" t="s">
        <v>15</v>
      </c>
      <c r="F198" s="96">
        <v>227</v>
      </c>
      <c r="G198" s="96">
        <f>RANK(Table11[[#This Row],[Total Score]],Table11[[Gender]:[Total Score]],0)</f>
        <v>69</v>
      </c>
      <c r="H198" s="97" t="str">
        <f>_xlfn.XLOOKUP(Table11[[#This Row],[Total Score]],I:I,K:K,,-1)</f>
        <v>Good</v>
      </c>
    </row>
    <row r="199" spans="2:8" x14ac:dyDescent="0.35">
      <c r="B199" s="95" t="s">
        <v>8</v>
      </c>
      <c r="C199" s="96" t="s">
        <v>24</v>
      </c>
      <c r="D199" s="96" t="s">
        <v>11</v>
      </c>
      <c r="E199" s="96" t="s">
        <v>12</v>
      </c>
      <c r="F199" s="96">
        <v>265</v>
      </c>
      <c r="G199" s="96">
        <f>RANK(Table11[[#This Row],[Total Score]],Table11[[Gender]:[Total Score]],0)</f>
        <v>18</v>
      </c>
      <c r="H199" s="97" t="str">
        <f>_xlfn.XLOOKUP(Table11[[#This Row],[Total Score]],I:I,K:K,,-1)</f>
        <v>Very Good</v>
      </c>
    </row>
    <row r="200" spans="2:8" x14ac:dyDescent="0.35">
      <c r="B200" s="95" t="s">
        <v>17</v>
      </c>
      <c r="C200" s="96" t="s">
        <v>9</v>
      </c>
      <c r="D200" s="96" t="s">
        <v>20</v>
      </c>
      <c r="E200" s="96" t="s">
        <v>12</v>
      </c>
      <c r="F200" s="96">
        <v>208</v>
      </c>
      <c r="G200" s="96">
        <f>RANK(Table11[[#This Row],[Total Score]],Table11[[Gender]:[Total Score]],0)</f>
        <v>109</v>
      </c>
      <c r="H200" s="97" t="str">
        <f>_xlfn.XLOOKUP(Table11[[#This Row],[Total Score]],I:I,K:K,,-1)</f>
        <v>Fair</v>
      </c>
    </row>
    <row r="201" spans="2:8" x14ac:dyDescent="0.35">
      <c r="B201" s="95" t="s">
        <v>8</v>
      </c>
      <c r="C201" s="96" t="s">
        <v>13</v>
      </c>
      <c r="D201" s="96" t="s">
        <v>11</v>
      </c>
      <c r="E201" s="96" t="s">
        <v>15</v>
      </c>
      <c r="F201" s="96">
        <v>222</v>
      </c>
      <c r="G201" s="96">
        <f>RANK(Table11[[#This Row],[Total Score]],Table11[[Gender]:[Total Score]],0)</f>
        <v>84</v>
      </c>
      <c r="H201" s="97" t="str">
        <f>_xlfn.XLOOKUP(Table11[[#This Row],[Total Score]],I:I,K:K,,-1)</f>
        <v>Good</v>
      </c>
    </row>
    <row r="202" spans="2:8" x14ac:dyDescent="0.35">
      <c r="B202" s="95" t="s">
        <v>17</v>
      </c>
      <c r="C202" s="96" t="s">
        <v>21</v>
      </c>
      <c r="D202" s="96" t="s">
        <v>11</v>
      </c>
      <c r="E202" s="96" t="s">
        <v>15</v>
      </c>
      <c r="F202" s="96">
        <v>252</v>
      </c>
      <c r="G202" s="96">
        <f>RANK(Table11[[#This Row],[Total Score]],Table11[[Gender]:[Total Score]],0)</f>
        <v>30</v>
      </c>
      <c r="H202" s="97" t="str">
        <f>_xlfn.XLOOKUP(Table11[[#This Row],[Total Score]],I:I,K:K,,-1)</f>
        <v>Very Good</v>
      </c>
    </row>
    <row r="203" spans="2:8" x14ac:dyDescent="0.35">
      <c r="B203" s="95" t="s">
        <v>8</v>
      </c>
      <c r="C203" s="96" t="s">
        <v>13</v>
      </c>
      <c r="D203" s="96" t="s">
        <v>11</v>
      </c>
      <c r="E203" s="96" t="s">
        <v>15</v>
      </c>
      <c r="F203" s="96">
        <v>218</v>
      </c>
      <c r="G203" s="96">
        <f>RANK(Table11[[#This Row],[Total Score]],Table11[[Gender]:[Total Score]],0)</f>
        <v>91</v>
      </c>
      <c r="H203" s="97" t="str">
        <f>_xlfn.XLOOKUP(Table11[[#This Row],[Total Score]],I:I,K:K,,-1)</f>
        <v>Good</v>
      </c>
    </row>
    <row r="204" spans="2:8" x14ac:dyDescent="0.35">
      <c r="B204" s="95" t="s">
        <v>17</v>
      </c>
      <c r="C204" s="96" t="s">
        <v>13</v>
      </c>
      <c r="D204" s="96" t="s">
        <v>20</v>
      </c>
      <c r="E204" s="96" t="s">
        <v>12</v>
      </c>
      <c r="F204" s="96">
        <v>210</v>
      </c>
      <c r="G204" s="96">
        <f>RANK(Table11[[#This Row],[Total Score]],Table11[[Gender]:[Total Score]],0)</f>
        <v>106</v>
      </c>
      <c r="H204" s="97" t="str">
        <f>_xlfn.XLOOKUP(Table11[[#This Row],[Total Score]],I:I,K:K,,-1)</f>
        <v>Good</v>
      </c>
    </row>
    <row r="205" spans="2:8" x14ac:dyDescent="0.35">
      <c r="B205" s="95" t="s">
        <v>17</v>
      </c>
      <c r="C205" s="96" t="s">
        <v>21</v>
      </c>
      <c r="D205" s="96" t="s">
        <v>11</v>
      </c>
      <c r="E205" s="96" t="s">
        <v>12</v>
      </c>
      <c r="F205" s="96">
        <v>247</v>
      </c>
      <c r="G205" s="96">
        <f>RANK(Table11[[#This Row],[Total Score]],Table11[[Gender]:[Total Score]],0)</f>
        <v>36</v>
      </c>
      <c r="H205" s="97" t="str">
        <f>_xlfn.XLOOKUP(Table11[[#This Row],[Total Score]],I:I,K:K,,-1)</f>
        <v>Very Good</v>
      </c>
    </row>
    <row r="206" spans="2:8" x14ac:dyDescent="0.35">
      <c r="B206" s="95" t="s">
        <v>8</v>
      </c>
      <c r="C206" s="96" t="s">
        <v>21</v>
      </c>
      <c r="D206" s="96" t="s">
        <v>20</v>
      </c>
      <c r="E206" s="96" t="s">
        <v>12</v>
      </c>
      <c r="F206" s="96">
        <v>208</v>
      </c>
      <c r="G206" s="96">
        <f>RANK(Table11[[#This Row],[Total Score]],Table11[[Gender]:[Total Score]],0)</f>
        <v>109</v>
      </c>
      <c r="H206" s="97" t="str">
        <f>_xlfn.XLOOKUP(Table11[[#This Row],[Total Score]],I:I,K:K,,-1)</f>
        <v>Fair</v>
      </c>
    </row>
    <row r="207" spans="2:8" x14ac:dyDescent="0.35">
      <c r="B207" s="95" t="s">
        <v>8</v>
      </c>
      <c r="C207" s="96" t="s">
        <v>24</v>
      </c>
      <c r="D207" s="96" t="s">
        <v>11</v>
      </c>
      <c r="E207" s="96" t="s">
        <v>15</v>
      </c>
      <c r="F207" s="96">
        <v>262</v>
      </c>
      <c r="G207" s="96">
        <f>RANK(Table11[[#This Row],[Total Score]],Table11[[Gender]:[Total Score]],0)</f>
        <v>19</v>
      </c>
      <c r="H207" s="97" t="str">
        <f>_xlfn.XLOOKUP(Table11[[#This Row],[Total Score]],I:I,K:K,,-1)</f>
        <v>Very Good</v>
      </c>
    </row>
    <row r="208" spans="2:8" x14ac:dyDescent="0.35">
      <c r="B208" s="95" t="s">
        <v>17</v>
      </c>
      <c r="C208" s="96" t="s">
        <v>21</v>
      </c>
      <c r="D208" s="96" t="s">
        <v>11</v>
      </c>
      <c r="E208" s="96" t="s">
        <v>12</v>
      </c>
      <c r="F208" s="96">
        <v>242</v>
      </c>
      <c r="G208" s="96">
        <f>RANK(Table11[[#This Row],[Total Score]],Table11[[Gender]:[Total Score]],0)</f>
        <v>43</v>
      </c>
      <c r="H208" s="97" t="str">
        <f>_xlfn.XLOOKUP(Table11[[#This Row],[Total Score]],I:I,K:K,,-1)</f>
        <v>Very Good</v>
      </c>
    </row>
    <row r="209" spans="2:8" x14ac:dyDescent="0.35">
      <c r="B209" s="95" t="s">
        <v>8</v>
      </c>
      <c r="C209" s="96" t="s">
        <v>21</v>
      </c>
      <c r="D209" s="96" t="s">
        <v>11</v>
      </c>
      <c r="E209" s="96" t="s">
        <v>15</v>
      </c>
      <c r="F209" s="96">
        <v>254</v>
      </c>
      <c r="G209" s="96">
        <f>RANK(Table11[[#This Row],[Total Score]],Table11[[Gender]:[Total Score]],0)</f>
        <v>27</v>
      </c>
      <c r="H209" s="97" t="str">
        <f>_xlfn.XLOOKUP(Table11[[#This Row],[Total Score]],I:I,K:K,,-1)</f>
        <v>Very Good</v>
      </c>
    </row>
    <row r="210" spans="2:8" x14ac:dyDescent="0.35">
      <c r="B210" s="95" t="s">
        <v>8</v>
      </c>
      <c r="C210" s="96" t="s">
        <v>18</v>
      </c>
      <c r="D210" s="96" t="s">
        <v>11</v>
      </c>
      <c r="E210" s="96" t="s">
        <v>12</v>
      </c>
      <c r="F210" s="96">
        <v>235</v>
      </c>
      <c r="G210" s="96">
        <f>RANK(Table11[[#This Row],[Total Score]],Table11[[Gender]:[Total Score]],0)</f>
        <v>54</v>
      </c>
      <c r="H210" s="97" t="str">
        <f>_xlfn.XLOOKUP(Table11[[#This Row],[Total Score]],I:I,K:K,,-1)</f>
        <v>Good</v>
      </c>
    </row>
    <row r="211" spans="2:8" x14ac:dyDescent="0.35">
      <c r="B211" s="95" t="s">
        <v>8</v>
      </c>
      <c r="C211" s="96" t="s">
        <v>24</v>
      </c>
      <c r="D211" s="96" t="s">
        <v>11</v>
      </c>
      <c r="E211" s="96" t="s">
        <v>12</v>
      </c>
      <c r="F211" s="96">
        <v>204</v>
      </c>
      <c r="G211" s="96">
        <f>RANK(Table11[[#This Row],[Total Score]],Table11[[Gender]:[Total Score]],0)</f>
        <v>120</v>
      </c>
      <c r="H211" s="97" t="str">
        <f>_xlfn.XLOOKUP(Table11[[#This Row],[Total Score]],I:I,K:K,,-1)</f>
        <v>Fair</v>
      </c>
    </row>
    <row r="212" spans="2:8" x14ac:dyDescent="0.35">
      <c r="B212" s="95" t="s">
        <v>17</v>
      </c>
      <c r="C212" s="96" t="s">
        <v>9</v>
      </c>
      <c r="D212" s="96" t="s">
        <v>11</v>
      </c>
      <c r="E212" s="96" t="s">
        <v>15</v>
      </c>
      <c r="F212" s="96">
        <v>278</v>
      </c>
      <c r="G212" s="96">
        <f>RANK(Table11[[#This Row],[Total Score]],Table11[[Gender]:[Total Score]],0)</f>
        <v>5</v>
      </c>
      <c r="H212" s="97" t="str">
        <f>_xlfn.XLOOKUP(Table11[[#This Row],[Total Score]],I:I,K:K,,-1)</f>
        <v>Excellent</v>
      </c>
    </row>
    <row r="213" spans="2:8" x14ac:dyDescent="0.35">
      <c r="B213" s="95" t="s">
        <v>17</v>
      </c>
      <c r="C213" s="96" t="s">
        <v>13</v>
      </c>
      <c r="D213" s="96" t="s">
        <v>20</v>
      </c>
      <c r="E213" s="96" t="s">
        <v>15</v>
      </c>
      <c r="F213" s="96">
        <v>211</v>
      </c>
      <c r="G213" s="96">
        <f>RANK(Table11[[#This Row],[Total Score]],Table11[[Gender]:[Total Score]],0)</f>
        <v>104</v>
      </c>
      <c r="H213" s="97" t="str">
        <f>_xlfn.XLOOKUP(Table11[[#This Row],[Total Score]],I:I,K:K,,-1)</f>
        <v>Good</v>
      </c>
    </row>
    <row r="214" spans="2:8" x14ac:dyDescent="0.35">
      <c r="B214" s="95" t="s">
        <v>17</v>
      </c>
      <c r="C214" s="96" t="s">
        <v>21</v>
      </c>
      <c r="D214" s="96" t="s">
        <v>20</v>
      </c>
      <c r="E214" s="96" t="s">
        <v>12</v>
      </c>
      <c r="F214" s="96">
        <v>181</v>
      </c>
      <c r="G214" s="96">
        <f>RANK(Table11[[#This Row],[Total Score]],Table11[[Gender]:[Total Score]],0)</f>
        <v>167</v>
      </c>
      <c r="H214" s="97" t="str">
        <f>_xlfn.XLOOKUP(Table11[[#This Row],[Total Score]],I:I,K:K,,-1)</f>
        <v>Fair</v>
      </c>
    </row>
    <row r="215" spans="2:8" x14ac:dyDescent="0.35">
      <c r="B215" s="95" t="s">
        <v>17</v>
      </c>
      <c r="C215" s="96" t="s">
        <v>21</v>
      </c>
      <c r="D215" s="96" t="s">
        <v>20</v>
      </c>
      <c r="E215" s="96" t="s">
        <v>12</v>
      </c>
      <c r="F215" s="96">
        <v>191</v>
      </c>
      <c r="G215" s="96">
        <f>RANK(Table11[[#This Row],[Total Score]],Table11[[Gender]:[Total Score]],0)</f>
        <v>143</v>
      </c>
      <c r="H215" s="97" t="str">
        <f>_xlfn.XLOOKUP(Table11[[#This Row],[Total Score]],I:I,K:K,,-1)</f>
        <v>Fair</v>
      </c>
    </row>
    <row r="216" spans="2:8" x14ac:dyDescent="0.35">
      <c r="B216" s="95" t="s">
        <v>17</v>
      </c>
      <c r="C216" s="96" t="s">
        <v>21</v>
      </c>
      <c r="D216" s="96" t="s">
        <v>11</v>
      </c>
      <c r="E216" s="96" t="s">
        <v>15</v>
      </c>
      <c r="F216" s="96">
        <v>251</v>
      </c>
      <c r="G216" s="96">
        <f>RANK(Table11[[#This Row],[Total Score]],Table11[[Gender]:[Total Score]],0)</f>
        <v>32</v>
      </c>
      <c r="H216" s="97" t="str">
        <f>_xlfn.XLOOKUP(Table11[[#This Row],[Total Score]],I:I,K:K,,-1)</f>
        <v>Very Good</v>
      </c>
    </row>
    <row r="217" spans="2:8" x14ac:dyDescent="0.35">
      <c r="B217" s="95" t="s">
        <v>8</v>
      </c>
      <c r="C217" s="96" t="s">
        <v>21</v>
      </c>
      <c r="D217" s="96" t="s">
        <v>20</v>
      </c>
      <c r="E217" s="96" t="s">
        <v>12</v>
      </c>
      <c r="F217" s="96">
        <v>167</v>
      </c>
      <c r="G217" s="96">
        <f>RANK(Table11[[#This Row],[Total Score]],Table11[[Gender]:[Total Score]],0)</f>
        <v>192</v>
      </c>
      <c r="H217" s="97" t="str">
        <f>_xlfn.XLOOKUP(Table11[[#This Row],[Total Score]],I:I,K:K,,-1)</f>
        <v>Poor</v>
      </c>
    </row>
    <row r="218" spans="2:8" x14ac:dyDescent="0.35">
      <c r="B218" s="95" t="s">
        <v>8</v>
      </c>
      <c r="C218" s="96" t="s">
        <v>21</v>
      </c>
      <c r="D218" s="96" t="s">
        <v>11</v>
      </c>
      <c r="E218" s="96" t="s">
        <v>15</v>
      </c>
      <c r="F218" s="96">
        <v>235</v>
      </c>
      <c r="G218" s="96">
        <f>RANK(Table11[[#This Row],[Total Score]],Table11[[Gender]:[Total Score]],0)</f>
        <v>54</v>
      </c>
      <c r="H218" s="97" t="str">
        <f>_xlfn.XLOOKUP(Table11[[#This Row],[Total Score]],I:I,K:K,,-1)</f>
        <v>Good</v>
      </c>
    </row>
    <row r="219" spans="2:8" x14ac:dyDescent="0.35">
      <c r="B219" s="95" t="s">
        <v>8</v>
      </c>
      <c r="C219" s="96" t="s">
        <v>13</v>
      </c>
      <c r="D219" s="96" t="s">
        <v>11</v>
      </c>
      <c r="E219" s="96" t="s">
        <v>12</v>
      </c>
      <c r="F219" s="96">
        <v>200</v>
      </c>
      <c r="G219" s="96">
        <f>RANK(Table11[[#This Row],[Total Score]],Table11[[Gender]:[Total Score]],0)</f>
        <v>128</v>
      </c>
      <c r="H219" s="97" t="str">
        <f>_xlfn.XLOOKUP(Table11[[#This Row],[Total Score]],I:I,K:K,,-1)</f>
        <v>Fair</v>
      </c>
    </row>
    <row r="220" spans="2:8" x14ac:dyDescent="0.35">
      <c r="B220" s="95" t="s">
        <v>17</v>
      </c>
      <c r="C220" s="96" t="s">
        <v>13</v>
      </c>
      <c r="D220" s="96" t="s">
        <v>11</v>
      </c>
      <c r="E220" s="96" t="s">
        <v>12</v>
      </c>
      <c r="F220" s="96">
        <v>252</v>
      </c>
      <c r="G220" s="96">
        <f>RANK(Table11[[#This Row],[Total Score]],Table11[[Gender]:[Total Score]],0)</f>
        <v>30</v>
      </c>
      <c r="H220" s="97" t="str">
        <f>_xlfn.XLOOKUP(Table11[[#This Row],[Total Score]],I:I,K:K,,-1)</f>
        <v>Very Good</v>
      </c>
    </row>
    <row r="221" spans="2:8" x14ac:dyDescent="0.35">
      <c r="B221" s="95" t="s">
        <v>8</v>
      </c>
      <c r="C221" s="96" t="s">
        <v>18</v>
      </c>
      <c r="D221" s="96" t="s">
        <v>11</v>
      </c>
      <c r="E221" s="96" t="s">
        <v>12</v>
      </c>
      <c r="F221" s="96">
        <v>178</v>
      </c>
      <c r="G221" s="96">
        <f>RANK(Table11[[#This Row],[Total Score]],Table11[[Gender]:[Total Score]],0)</f>
        <v>172</v>
      </c>
      <c r="H221" s="97" t="str">
        <f>_xlfn.XLOOKUP(Table11[[#This Row],[Total Score]],I:I,K:K,,-1)</f>
        <v>Poor</v>
      </c>
    </row>
    <row r="222" spans="2:8" x14ac:dyDescent="0.35">
      <c r="B222" s="95" t="s">
        <v>17</v>
      </c>
      <c r="C222" s="96" t="s">
        <v>21</v>
      </c>
      <c r="D222" s="96" t="s">
        <v>11</v>
      </c>
      <c r="E222" s="96" t="s">
        <v>12</v>
      </c>
      <c r="F222" s="96">
        <v>187</v>
      </c>
      <c r="G222" s="96">
        <f>RANK(Table11[[#This Row],[Total Score]],Table11[[Gender]:[Total Score]],0)</f>
        <v>151</v>
      </c>
      <c r="H222" s="97" t="str">
        <f>_xlfn.XLOOKUP(Table11[[#This Row],[Total Score]],I:I,K:K,,-1)</f>
        <v>Fair</v>
      </c>
    </row>
    <row r="223" spans="2:8" x14ac:dyDescent="0.35">
      <c r="B223" s="95" t="s">
        <v>8</v>
      </c>
      <c r="C223" s="96" t="s">
        <v>21</v>
      </c>
      <c r="D223" s="96" t="s">
        <v>11</v>
      </c>
      <c r="E223" s="96" t="s">
        <v>12</v>
      </c>
      <c r="F223" s="96">
        <v>204</v>
      </c>
      <c r="G223" s="96">
        <f>RANK(Table11[[#This Row],[Total Score]],Table11[[Gender]:[Total Score]],0)</f>
        <v>120</v>
      </c>
      <c r="H223" s="97" t="str">
        <f>_xlfn.XLOOKUP(Table11[[#This Row],[Total Score]],I:I,K:K,,-1)</f>
        <v>Fair</v>
      </c>
    </row>
    <row r="224" spans="2:8" x14ac:dyDescent="0.35">
      <c r="B224" s="95" t="s">
        <v>17</v>
      </c>
      <c r="C224" s="96" t="s">
        <v>13</v>
      </c>
      <c r="D224" s="96" t="s">
        <v>11</v>
      </c>
      <c r="E224" s="96" t="s">
        <v>12</v>
      </c>
      <c r="F224" s="96">
        <v>186</v>
      </c>
      <c r="G224" s="96">
        <f>RANK(Table11[[#This Row],[Total Score]],Table11[[Gender]:[Total Score]],0)</f>
        <v>155</v>
      </c>
      <c r="H224" s="97" t="str">
        <f>_xlfn.XLOOKUP(Table11[[#This Row],[Total Score]],I:I,K:K,,-1)</f>
        <v>Fair</v>
      </c>
    </row>
    <row r="225" spans="2:8" x14ac:dyDescent="0.35">
      <c r="B225" s="95" t="s">
        <v>8</v>
      </c>
      <c r="C225" s="96" t="s">
        <v>21</v>
      </c>
      <c r="D225" s="96" t="s">
        <v>20</v>
      </c>
      <c r="E225" s="96" t="s">
        <v>12</v>
      </c>
      <c r="F225" s="96">
        <v>175</v>
      </c>
      <c r="G225" s="96">
        <f>RANK(Table11[[#This Row],[Total Score]],Table11[[Gender]:[Total Score]],0)</f>
        <v>181</v>
      </c>
      <c r="H225" s="97" t="str">
        <f>_xlfn.XLOOKUP(Table11[[#This Row],[Total Score]],I:I,K:K,,-1)</f>
        <v>Poor</v>
      </c>
    </row>
    <row r="226" spans="2:8" x14ac:dyDescent="0.35">
      <c r="B226" s="95" t="s">
        <v>8</v>
      </c>
      <c r="C226" s="96" t="s">
        <v>18</v>
      </c>
      <c r="D226" s="96" t="s">
        <v>11</v>
      </c>
      <c r="E226" s="96" t="s">
        <v>12</v>
      </c>
      <c r="F226" s="96">
        <v>184</v>
      </c>
      <c r="G226" s="96">
        <f>RANK(Table11[[#This Row],[Total Score]],Table11[[Gender]:[Total Score]],0)</f>
        <v>158</v>
      </c>
      <c r="H226" s="97" t="str">
        <f>_xlfn.XLOOKUP(Table11[[#This Row],[Total Score]],I:I,K:K,,-1)</f>
        <v>Fair</v>
      </c>
    </row>
    <row r="227" spans="2:8" x14ac:dyDescent="0.35">
      <c r="B227" s="95" t="s">
        <v>8</v>
      </c>
      <c r="C227" s="96" t="s">
        <v>13</v>
      </c>
      <c r="D227" s="96" t="s">
        <v>11</v>
      </c>
      <c r="E227" s="96" t="s">
        <v>15</v>
      </c>
      <c r="F227" s="96">
        <v>223</v>
      </c>
      <c r="G227" s="96">
        <f>RANK(Table11[[#This Row],[Total Score]],Table11[[Gender]:[Total Score]],0)</f>
        <v>76</v>
      </c>
      <c r="H227" s="97" t="str">
        <f>_xlfn.XLOOKUP(Table11[[#This Row],[Total Score]],I:I,K:K,,-1)</f>
        <v>Good</v>
      </c>
    </row>
    <row r="228" spans="2:8" x14ac:dyDescent="0.35">
      <c r="B228" s="95" t="s">
        <v>17</v>
      </c>
      <c r="C228" s="96" t="s">
        <v>9</v>
      </c>
      <c r="D228" s="96" t="s">
        <v>20</v>
      </c>
      <c r="E228" s="96" t="s">
        <v>15</v>
      </c>
      <c r="F228" s="96">
        <v>182</v>
      </c>
      <c r="G228" s="96">
        <f>RANK(Table11[[#This Row],[Total Score]],Table11[[Gender]:[Total Score]],0)</f>
        <v>164</v>
      </c>
      <c r="H228" s="97" t="str">
        <f>_xlfn.XLOOKUP(Table11[[#This Row],[Total Score]],I:I,K:K,,-1)</f>
        <v>Fair</v>
      </c>
    </row>
    <row r="229" spans="2:8" x14ac:dyDescent="0.35">
      <c r="B229" s="95" t="s">
        <v>8</v>
      </c>
      <c r="C229" s="96" t="s">
        <v>18</v>
      </c>
      <c r="D229" s="96" t="s">
        <v>11</v>
      </c>
      <c r="E229" s="96" t="s">
        <v>15</v>
      </c>
      <c r="F229" s="96">
        <v>256</v>
      </c>
      <c r="G229" s="96">
        <f>RANK(Table11[[#This Row],[Total Score]],Table11[[Gender]:[Total Score]],0)</f>
        <v>25</v>
      </c>
      <c r="H229" s="97" t="str">
        <f>_xlfn.XLOOKUP(Table11[[#This Row],[Total Score]],I:I,K:K,,-1)</f>
        <v>Very Good</v>
      </c>
    </row>
    <row r="230" spans="2:8" x14ac:dyDescent="0.35">
      <c r="B230" s="95" t="s">
        <v>8</v>
      </c>
      <c r="C230" s="96" t="s">
        <v>21</v>
      </c>
      <c r="D230" s="96" t="s">
        <v>20</v>
      </c>
      <c r="E230" s="96" t="s">
        <v>15</v>
      </c>
      <c r="F230" s="96">
        <v>236</v>
      </c>
      <c r="G230" s="96">
        <f>RANK(Table11[[#This Row],[Total Score]],Table11[[Gender]:[Total Score]],0)</f>
        <v>50</v>
      </c>
      <c r="H230" s="97" t="str">
        <f>_xlfn.XLOOKUP(Table11[[#This Row],[Total Score]],I:I,K:K,,-1)</f>
        <v>Good</v>
      </c>
    </row>
    <row r="231" spans="2:8" x14ac:dyDescent="0.35">
      <c r="B231" s="95" t="s">
        <v>8</v>
      </c>
      <c r="C231" s="96" t="s">
        <v>21</v>
      </c>
      <c r="D231" s="96" t="s">
        <v>11</v>
      </c>
      <c r="E231" s="96" t="s">
        <v>15</v>
      </c>
      <c r="F231" s="96">
        <v>223</v>
      </c>
      <c r="G231" s="96">
        <f>RANK(Table11[[#This Row],[Total Score]],Table11[[Gender]:[Total Score]],0)</f>
        <v>76</v>
      </c>
      <c r="H231" s="97" t="str">
        <f>_xlfn.XLOOKUP(Table11[[#This Row],[Total Score]],I:I,K:K,,-1)</f>
        <v>Good</v>
      </c>
    </row>
    <row r="232" spans="2:8" x14ac:dyDescent="0.35">
      <c r="B232" s="98" t="s">
        <v>8</v>
      </c>
      <c r="C232" s="99" t="s">
        <v>21</v>
      </c>
      <c r="D232" s="99" t="s">
        <v>20</v>
      </c>
      <c r="E232" s="99" t="s">
        <v>12</v>
      </c>
      <c r="F232" s="99">
        <v>249</v>
      </c>
      <c r="G232" s="99">
        <f>RANK(Table11[[#This Row],[Total Score]],Table11[[Gender]:[Total Score]],0)</f>
        <v>33</v>
      </c>
      <c r="H232" s="100" t="str">
        <f>_xlfn.XLOOKUP(Table11[[#This Row],[Total Score]],I:I,K:K,,-1)</f>
        <v>Very Good</v>
      </c>
    </row>
    <row r="233" spans="2:8" x14ac:dyDescent="0.35">
      <c r="B233" s="98" t="s">
        <v>58</v>
      </c>
      <c r="C233" s="99"/>
      <c r="D233" s="99"/>
      <c r="E233" s="99"/>
      <c r="F233" s="99">
        <f>SUBTOTAL(101,Table11[Total Score])</f>
        <v>205.42920353982302</v>
      </c>
      <c r="G233" s="99">
        <f>SUBTOTAL(109,Table11[RANK])</f>
        <v>25463</v>
      </c>
      <c r="H233" s="100">
        <f>SUBTOTAL(103,Table11[Grading])</f>
        <v>226</v>
      </c>
    </row>
  </sheetData>
  <conditionalFormatting sqref="F7:F232">
    <cfRule type="dataBar" priority="1">
      <dataBar>
        <cfvo type="min"/>
        <cfvo type="max"/>
        <color rgb="FFFFB628"/>
      </dataBar>
      <extLst>
        <ext xmlns:x14="http://schemas.microsoft.com/office/spreadsheetml/2009/9/main" uri="{B025F937-C7B1-47D3-B67F-A62EFF666E3E}">
          <x14:id>{5B7ADAA0-265F-4896-98A9-C961D4AC3E13}</x14:id>
        </ext>
      </extLs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5B7ADAA0-265F-4896-98A9-C961D4AC3E13}">
            <x14:dataBar minLength="0" maxLength="100" border="1" negativeBarBorderColorSameAsPositive="0">
              <x14:cfvo type="autoMin"/>
              <x14:cfvo type="autoMax"/>
              <x14:borderColor rgb="FFFFB628"/>
              <x14:negativeFillColor rgb="FFFF0000"/>
              <x14:negativeBorderColor rgb="FFFF0000"/>
              <x14:axisColor rgb="FF000000"/>
            </x14:dataBar>
          </x14:cfRule>
          <xm:sqref>F7:F232</xm:sqref>
        </x14:conditionalFormatting>
      </x14:conditionalFormattings>
    </ext>
    <ext xmlns:x14="http://schemas.microsoft.com/office/spreadsheetml/2009/9/main" uri="{A8765BA9-456A-4dab-B4F3-ACF838C121DE}">
      <x14:slicerList>
        <x14:slicer r:id="rId4"/>
      </x14:slicerList>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B042D-C59D-4F39-92A0-22123C660C39}">
  <sheetPr>
    <tabColor rgb="FFFF0000"/>
  </sheetPr>
  <dimension ref="A1:Q224"/>
  <sheetViews>
    <sheetView showGridLines="0" tabSelected="1" zoomScale="86" zoomScaleNormal="86" workbookViewId="0">
      <selection activeCell="D15" sqref="D15"/>
    </sheetView>
  </sheetViews>
  <sheetFormatPr defaultRowHeight="14.5" x14ac:dyDescent="0.35"/>
  <cols>
    <col min="1" max="1" width="8.90625" customWidth="1"/>
    <col min="2" max="2" width="15.1796875" style="1" customWidth="1"/>
    <col min="3" max="3" width="14.1796875" style="1" customWidth="1"/>
    <col min="4" max="4" width="10.453125" style="1" customWidth="1"/>
    <col min="5" max="5" width="12" customWidth="1"/>
    <col min="6" max="6" width="12" style="1" customWidth="1"/>
    <col min="7" max="7" width="11.90625" style="1" bestFit="1" customWidth="1"/>
    <col min="8" max="8" width="5.6328125" hidden="1" customWidth="1"/>
    <col min="9" max="9" width="7.08984375" hidden="1" customWidth="1"/>
    <col min="10" max="10" width="16.26953125" style="6" bestFit="1" customWidth="1"/>
    <col min="11" max="11" width="13.453125" bestFit="1" customWidth="1"/>
    <col min="12" max="12" width="5.1796875" bestFit="1" customWidth="1"/>
    <col min="13" max="13" width="16.453125" bestFit="1" customWidth="1"/>
    <col min="14" max="14" width="10" bestFit="1" customWidth="1"/>
    <col min="15" max="15" width="6.1796875" bestFit="1" customWidth="1"/>
    <col min="16" max="16" width="12.7265625" bestFit="1" customWidth="1"/>
    <col min="17" max="17" width="10.36328125" style="1" bestFit="1" customWidth="1"/>
  </cols>
  <sheetData>
    <row r="1" spans="1:17" ht="21" thickBot="1" x14ac:dyDescent="0.85">
      <c r="A1" s="10" t="s">
        <v>25</v>
      </c>
      <c r="B1" s="11" t="s">
        <v>26</v>
      </c>
      <c r="C1" s="11" t="s">
        <v>59</v>
      </c>
      <c r="D1" s="11" t="s">
        <v>60</v>
      </c>
      <c r="E1" s="10" t="s">
        <v>27</v>
      </c>
      <c r="F1" s="11" t="s">
        <v>96</v>
      </c>
      <c r="G1" s="11" t="s">
        <v>65</v>
      </c>
      <c r="H1" s="25" t="s">
        <v>28</v>
      </c>
      <c r="I1" s="25" t="s">
        <v>30</v>
      </c>
      <c r="J1" s="119" t="s">
        <v>63</v>
      </c>
      <c r="K1" s="79" t="s">
        <v>93</v>
      </c>
      <c r="L1" s="79"/>
      <c r="M1" s="81"/>
      <c r="N1" s="81"/>
      <c r="O1" s="79"/>
      <c r="P1" s="84"/>
      <c r="Q1" s="84"/>
    </row>
    <row r="2" spans="1:17" ht="15" thickBot="1" x14ac:dyDescent="0.4">
      <c r="A2" s="9" t="s">
        <v>17</v>
      </c>
      <c r="B2" s="12" t="s">
        <v>18</v>
      </c>
      <c r="C2" s="12" t="s">
        <v>20</v>
      </c>
      <c r="D2" s="12" t="s">
        <v>12</v>
      </c>
      <c r="E2" s="9">
        <v>148</v>
      </c>
      <c r="F2" s="12">
        <f>RANK(Table9[[#This Row],[Total Score]],Table9[[Gender]:[Total Score]],0)</f>
        <v>206</v>
      </c>
      <c r="G2" s="12" t="str">
        <f>_xlfn.XLOOKUP(Table9[[#This Row],[Total Score]],H:H,I:I,,-1)</f>
        <v>F</v>
      </c>
      <c r="H2" s="24">
        <v>270</v>
      </c>
      <c r="I2" s="23" t="s">
        <v>31</v>
      </c>
      <c r="J2" s="120"/>
      <c r="K2" s="81" t="s">
        <v>20</v>
      </c>
      <c r="L2" s="84"/>
      <c r="M2" s="76" t="s">
        <v>91</v>
      </c>
      <c r="N2" s="85" t="s">
        <v>11</v>
      </c>
      <c r="O2" s="75"/>
      <c r="P2" s="77" t="s">
        <v>92</v>
      </c>
      <c r="Q2" s="77" t="s">
        <v>88</v>
      </c>
    </row>
    <row r="3" spans="1:17" ht="15" thickBot="1" x14ac:dyDescent="0.4">
      <c r="A3" s="9" t="s">
        <v>8</v>
      </c>
      <c r="B3" s="12" t="s">
        <v>9</v>
      </c>
      <c r="C3" s="12" t="s">
        <v>11</v>
      </c>
      <c r="D3" s="12" t="s">
        <v>12</v>
      </c>
      <c r="E3" s="9">
        <v>232</v>
      </c>
      <c r="F3" s="12">
        <f>RANK(Table9[[#This Row],[Total Score]],Table9[[Gender]:[Total Score]],0)</f>
        <v>66</v>
      </c>
      <c r="G3" s="12" t="str">
        <f>_xlfn.XLOOKUP(Table9[[#This Row],[Total Score]],H:H,I:I,,-1)</f>
        <v>C-</v>
      </c>
      <c r="H3" s="24">
        <v>240</v>
      </c>
      <c r="I3" s="23" t="s">
        <v>33</v>
      </c>
      <c r="J3" s="119" t="s">
        <v>94</v>
      </c>
      <c r="K3" s="81" t="s">
        <v>8</v>
      </c>
      <c r="L3" s="84" t="s">
        <v>17</v>
      </c>
      <c r="M3" s="86"/>
      <c r="N3" s="85" t="s">
        <v>8</v>
      </c>
      <c r="O3" s="75" t="s">
        <v>17</v>
      </c>
      <c r="P3" s="83"/>
      <c r="Q3" s="83"/>
    </row>
    <row r="4" spans="1:17" ht="15" thickBot="1" x14ac:dyDescent="0.4">
      <c r="A4" s="9" t="s">
        <v>17</v>
      </c>
      <c r="B4" s="12" t="s">
        <v>13</v>
      </c>
      <c r="C4" s="12" t="s">
        <v>11</v>
      </c>
      <c r="D4" s="12" t="s">
        <v>12</v>
      </c>
      <c r="E4" s="9">
        <v>164</v>
      </c>
      <c r="F4" s="12">
        <f>RANK(Table9[[#This Row],[Total Score]],Table9[[Gender]:[Total Score]],0)</f>
        <v>185</v>
      </c>
      <c r="G4" s="12" t="str">
        <f>_xlfn.XLOOKUP(Table9[[#This Row],[Total Score]],H:H,I:I,,-1)</f>
        <v>F</v>
      </c>
      <c r="H4" s="24">
        <v>210</v>
      </c>
      <c r="I4" s="23" t="s">
        <v>46</v>
      </c>
      <c r="J4" s="121" t="s">
        <v>18</v>
      </c>
      <c r="K4" s="155">
        <v>516</v>
      </c>
      <c r="L4" s="156">
        <v>717</v>
      </c>
      <c r="M4" s="157">
        <v>1233</v>
      </c>
      <c r="N4" s="155">
        <v>659</v>
      </c>
      <c r="O4" s="158">
        <v>791</v>
      </c>
      <c r="P4" s="159">
        <v>1450</v>
      </c>
      <c r="Q4" s="164">
        <v>2683</v>
      </c>
    </row>
    <row r="5" spans="1:17" ht="15" thickBot="1" x14ac:dyDescent="0.4">
      <c r="A5" s="9" t="s">
        <v>17</v>
      </c>
      <c r="B5" s="12" t="s">
        <v>21</v>
      </c>
      <c r="C5" s="12" t="s">
        <v>11</v>
      </c>
      <c r="D5" s="12" t="s">
        <v>12</v>
      </c>
      <c r="E5" s="9">
        <v>135</v>
      </c>
      <c r="F5" s="12">
        <f>RANK(Table9[[#This Row],[Total Score]],Table9[[Gender]:[Total Score]],0)</f>
        <v>216</v>
      </c>
      <c r="G5" s="12" t="str">
        <f>_xlfn.XLOOKUP(Table9[[#This Row],[Total Score]],H:H,I:I,,-1)</f>
        <v>F</v>
      </c>
      <c r="H5" s="24">
        <v>180</v>
      </c>
      <c r="I5" s="23" t="s">
        <v>52</v>
      </c>
      <c r="J5" s="122" t="s">
        <v>37</v>
      </c>
      <c r="K5" s="148"/>
      <c r="L5" s="149"/>
      <c r="M5" s="153"/>
      <c r="N5" s="148"/>
      <c r="O5" s="151">
        <v>275</v>
      </c>
      <c r="P5" s="141">
        <v>275</v>
      </c>
      <c r="Q5" s="143">
        <v>275</v>
      </c>
    </row>
    <row r="6" spans="1:17" ht="15" thickBot="1" x14ac:dyDescent="0.4">
      <c r="A6" s="9" t="s">
        <v>8</v>
      </c>
      <c r="B6" s="12" t="s">
        <v>13</v>
      </c>
      <c r="C6" s="12" t="s">
        <v>20</v>
      </c>
      <c r="D6" s="12" t="s">
        <v>12</v>
      </c>
      <c r="E6" s="9">
        <v>173</v>
      </c>
      <c r="F6" s="12">
        <f>RANK(Table9[[#This Row],[Total Score]],Table9[[Gender]:[Total Score]],0)</f>
        <v>170</v>
      </c>
      <c r="G6" s="12" t="str">
        <f>_xlfn.XLOOKUP(Table9[[#This Row],[Total Score]],H:H,I:I,,-1)</f>
        <v>F</v>
      </c>
      <c r="H6" s="24">
        <v>27</v>
      </c>
      <c r="I6" s="23" t="s">
        <v>53</v>
      </c>
      <c r="J6" s="123" t="s">
        <v>38</v>
      </c>
      <c r="K6" s="150"/>
      <c r="L6" s="42">
        <v>243</v>
      </c>
      <c r="M6" s="154">
        <v>243</v>
      </c>
      <c r="N6" s="150">
        <v>268</v>
      </c>
      <c r="O6" s="152"/>
      <c r="P6" s="139">
        <v>268</v>
      </c>
      <c r="Q6" s="144">
        <v>511</v>
      </c>
    </row>
    <row r="7" spans="1:17" x14ac:dyDescent="0.35">
      <c r="A7" s="9" t="s">
        <v>17</v>
      </c>
      <c r="B7" s="12" t="s">
        <v>24</v>
      </c>
      <c r="C7" s="12" t="s">
        <v>11</v>
      </c>
      <c r="D7" s="12" t="s">
        <v>15</v>
      </c>
      <c r="E7" s="9">
        <v>241</v>
      </c>
      <c r="F7" s="12">
        <f>RANK(Table9[[#This Row],[Total Score]],Table9[[Gender]:[Total Score]],0)</f>
        <v>49</v>
      </c>
      <c r="G7" s="12" t="str">
        <f>_xlfn.XLOOKUP(Table9[[#This Row],[Total Score]],H:H,I:I,,-1)</f>
        <v>B+</v>
      </c>
      <c r="J7" s="123" t="s">
        <v>35</v>
      </c>
      <c r="K7" s="150">
        <v>226</v>
      </c>
      <c r="L7" s="42"/>
      <c r="M7" s="154">
        <v>226</v>
      </c>
      <c r="N7" s="150"/>
      <c r="O7" s="152"/>
      <c r="P7" s="139"/>
      <c r="Q7" s="144">
        <v>226</v>
      </c>
    </row>
    <row r="8" spans="1:17" x14ac:dyDescent="0.35">
      <c r="A8" s="9" t="s">
        <v>8</v>
      </c>
      <c r="B8" s="12" t="s">
        <v>21</v>
      </c>
      <c r="C8" s="12" t="s">
        <v>11</v>
      </c>
      <c r="D8" s="12" t="s">
        <v>12</v>
      </c>
      <c r="E8" s="9">
        <v>238</v>
      </c>
      <c r="F8" s="12">
        <f>RANK(Table9[[#This Row],[Total Score]],Table9[[Gender]:[Total Score]],0)</f>
        <v>54</v>
      </c>
      <c r="G8" s="12" t="str">
        <f>_xlfn.XLOOKUP(Table9[[#This Row],[Total Score]],H:H,I:I,,-1)</f>
        <v>C-</v>
      </c>
      <c r="J8" s="123" t="s">
        <v>53</v>
      </c>
      <c r="K8" s="150">
        <v>290</v>
      </c>
      <c r="L8" s="42">
        <v>474</v>
      </c>
      <c r="M8" s="154">
        <v>764</v>
      </c>
      <c r="N8" s="150"/>
      <c r="O8" s="152">
        <v>331</v>
      </c>
      <c r="P8" s="139">
        <v>331</v>
      </c>
      <c r="Q8" s="144">
        <v>1095</v>
      </c>
    </row>
    <row r="9" spans="1:17" ht="15" thickBot="1" x14ac:dyDescent="0.4">
      <c r="A9" s="9" t="s">
        <v>8</v>
      </c>
      <c r="B9" s="12" t="s">
        <v>21</v>
      </c>
      <c r="C9" s="12" t="s">
        <v>20</v>
      </c>
      <c r="D9" s="12" t="s">
        <v>15</v>
      </c>
      <c r="E9" s="9">
        <v>253</v>
      </c>
      <c r="F9" s="12">
        <f>RANK(Table9[[#This Row],[Total Score]],Table9[[Gender]:[Total Score]],0)</f>
        <v>35</v>
      </c>
      <c r="G9" s="12" t="str">
        <f>_xlfn.XLOOKUP(Table9[[#This Row],[Total Score]],H:H,I:I,,-1)</f>
        <v>B+</v>
      </c>
      <c r="J9" s="124" t="s">
        <v>95</v>
      </c>
      <c r="K9" s="160"/>
      <c r="L9" s="161"/>
      <c r="M9" s="162"/>
      <c r="N9" s="160">
        <v>391</v>
      </c>
      <c r="O9" s="163">
        <v>185</v>
      </c>
      <c r="P9" s="142">
        <v>576</v>
      </c>
      <c r="Q9" s="145">
        <v>576</v>
      </c>
    </row>
    <row r="10" spans="1:17" ht="15" thickBot="1" x14ac:dyDescent="0.4">
      <c r="A10" s="9" t="s">
        <v>17</v>
      </c>
      <c r="B10" s="12" t="s">
        <v>9</v>
      </c>
      <c r="C10" s="12" t="s">
        <v>20</v>
      </c>
      <c r="D10" s="12" t="s">
        <v>12</v>
      </c>
      <c r="E10" s="9">
        <v>170</v>
      </c>
      <c r="F10" s="12">
        <f>RANK(Table9[[#This Row],[Total Score]],Table9[[Gender]:[Total Score]],0)</f>
        <v>175</v>
      </c>
      <c r="G10" s="12" t="str">
        <f>_xlfn.XLOOKUP(Table9[[#This Row],[Total Score]],H:H,I:I,,-1)</f>
        <v>F</v>
      </c>
      <c r="J10" s="125" t="s">
        <v>9</v>
      </c>
      <c r="K10" s="81">
        <v>1410</v>
      </c>
      <c r="L10" s="82">
        <v>1261</v>
      </c>
      <c r="M10" s="82">
        <v>2671</v>
      </c>
      <c r="N10" s="82">
        <v>3340</v>
      </c>
      <c r="O10" s="140">
        <v>2350</v>
      </c>
      <c r="P10" s="140">
        <v>5690</v>
      </c>
      <c r="Q10" s="84">
        <v>8361</v>
      </c>
    </row>
    <row r="11" spans="1:17" x14ac:dyDescent="0.35">
      <c r="A11" s="9" t="s">
        <v>17</v>
      </c>
      <c r="B11" s="12" t="s">
        <v>13</v>
      </c>
      <c r="C11" s="12" t="s">
        <v>20</v>
      </c>
      <c r="D11" s="12" t="s">
        <v>12</v>
      </c>
      <c r="E11" s="9">
        <v>170</v>
      </c>
      <c r="F11" s="12">
        <f>RANK(Table9[[#This Row],[Total Score]],Table9[[Gender]:[Total Score]],0)</f>
        <v>175</v>
      </c>
      <c r="G11" s="12" t="str">
        <f>_xlfn.XLOOKUP(Table9[[#This Row],[Total Score]],H:H,I:I,,-1)</f>
        <v>F</v>
      </c>
      <c r="J11" s="127" t="s">
        <v>37</v>
      </c>
      <c r="K11" s="131"/>
      <c r="L11" s="132"/>
      <c r="M11" s="136"/>
      <c r="N11" s="132">
        <v>544</v>
      </c>
      <c r="O11" s="133">
        <v>272</v>
      </c>
      <c r="P11" s="141">
        <v>816</v>
      </c>
      <c r="Q11" s="143">
        <v>816</v>
      </c>
    </row>
    <row r="12" spans="1:17" x14ac:dyDescent="0.35">
      <c r="A12" s="9" t="s">
        <v>8</v>
      </c>
      <c r="B12" s="12" t="s">
        <v>13</v>
      </c>
      <c r="C12" s="12" t="s">
        <v>11</v>
      </c>
      <c r="D12" s="12" t="s">
        <v>12</v>
      </c>
      <c r="E12" s="9">
        <v>199</v>
      </c>
      <c r="F12" s="12">
        <f>RANK(Table9[[#This Row],[Total Score]],Table9[[Gender]:[Total Score]],0)</f>
        <v>133</v>
      </c>
      <c r="G12" s="12" t="str">
        <f>_xlfn.XLOOKUP(Table9[[#This Row],[Total Score]],H:H,I:I,,-1)</f>
        <v>D-</v>
      </c>
      <c r="J12" s="128" t="s">
        <v>38</v>
      </c>
      <c r="K12" s="134">
        <v>257</v>
      </c>
      <c r="L12" s="1"/>
      <c r="M12" s="137">
        <v>257</v>
      </c>
      <c r="N12" s="1">
        <v>249</v>
      </c>
      <c r="O12">
        <v>983</v>
      </c>
      <c r="P12" s="139">
        <v>1232</v>
      </c>
      <c r="Q12" s="144">
        <v>1489</v>
      </c>
    </row>
    <row r="13" spans="1:17" x14ac:dyDescent="0.35">
      <c r="A13" s="9" t="s">
        <v>8</v>
      </c>
      <c r="B13" s="12" t="s">
        <v>9</v>
      </c>
      <c r="C13" s="12" t="s">
        <v>11</v>
      </c>
      <c r="D13" s="12" t="s">
        <v>12</v>
      </c>
      <c r="E13" s="9">
        <v>176</v>
      </c>
      <c r="F13" s="12">
        <f>RANK(Table9[[#This Row],[Total Score]],Table9[[Gender]:[Total Score]],0)</f>
        <v>166</v>
      </c>
      <c r="G13" s="12" t="str">
        <f>_xlfn.XLOOKUP(Table9[[#This Row],[Total Score]],H:H,I:I,,-1)</f>
        <v>F</v>
      </c>
      <c r="J13" s="128" t="s">
        <v>35</v>
      </c>
      <c r="K13" s="134">
        <v>225</v>
      </c>
      <c r="L13" s="1">
        <v>234</v>
      </c>
      <c r="M13" s="137">
        <v>459</v>
      </c>
      <c r="N13" s="1">
        <v>1166</v>
      </c>
      <c r="O13">
        <v>446</v>
      </c>
      <c r="P13" s="139">
        <v>1612</v>
      </c>
      <c r="Q13" s="144">
        <v>2071</v>
      </c>
    </row>
    <row r="14" spans="1:17" x14ac:dyDescent="0.35">
      <c r="A14" s="9" t="s">
        <v>8</v>
      </c>
      <c r="B14" s="12" t="s">
        <v>24</v>
      </c>
      <c r="C14" s="12" t="s">
        <v>20</v>
      </c>
      <c r="D14" s="12" t="s">
        <v>12</v>
      </c>
      <c r="E14" s="9">
        <v>160</v>
      </c>
      <c r="F14" s="12">
        <f>RANK(Table9[[#This Row],[Total Score]],Table9[[Gender]:[Total Score]],0)</f>
        <v>191</v>
      </c>
      <c r="G14" s="12" t="str">
        <f>_xlfn.XLOOKUP(Table9[[#This Row],[Total Score]],H:H,I:I,,-1)</f>
        <v>F</v>
      </c>
      <c r="J14" s="128" t="s">
        <v>53</v>
      </c>
      <c r="K14" s="134">
        <v>162</v>
      </c>
      <c r="L14" s="1">
        <v>636</v>
      </c>
      <c r="M14" s="137">
        <v>798</v>
      </c>
      <c r="N14" s="1">
        <v>615</v>
      </c>
      <c r="O14">
        <v>456</v>
      </c>
      <c r="P14" s="139">
        <v>1071</v>
      </c>
      <c r="Q14" s="144">
        <v>1869</v>
      </c>
    </row>
    <row r="15" spans="1:17" ht="15" thickBot="1" x14ac:dyDescent="0.4">
      <c r="A15" s="9" t="s">
        <v>17</v>
      </c>
      <c r="B15" s="12" t="s">
        <v>9</v>
      </c>
      <c r="C15" s="12" t="s">
        <v>11</v>
      </c>
      <c r="D15" s="12" t="s">
        <v>12</v>
      </c>
      <c r="E15" s="9">
        <v>176</v>
      </c>
      <c r="F15" s="12">
        <f>RANK(Table9[[#This Row],[Total Score]],Table9[[Gender]:[Total Score]],0)</f>
        <v>166</v>
      </c>
      <c r="G15" s="12" t="str">
        <f>_xlfn.XLOOKUP(Table9[[#This Row],[Total Score]],H:H,I:I,,-1)</f>
        <v>F</v>
      </c>
      <c r="J15" s="129" t="s">
        <v>95</v>
      </c>
      <c r="K15" s="53">
        <v>766</v>
      </c>
      <c r="L15" s="80">
        <v>391</v>
      </c>
      <c r="M15" s="138">
        <v>1157</v>
      </c>
      <c r="N15" s="80">
        <v>766</v>
      </c>
      <c r="O15" s="135">
        <v>193</v>
      </c>
      <c r="P15" s="142">
        <v>959</v>
      </c>
      <c r="Q15" s="145">
        <v>2116</v>
      </c>
    </row>
    <row r="16" spans="1:17" ht="15" thickBot="1" x14ac:dyDescent="0.4">
      <c r="A16" s="9" t="s">
        <v>8</v>
      </c>
      <c r="B16" s="12" t="s">
        <v>18</v>
      </c>
      <c r="C16" s="12" t="s">
        <v>11</v>
      </c>
      <c r="D16" s="12" t="s">
        <v>15</v>
      </c>
      <c r="E16" s="9">
        <v>182</v>
      </c>
      <c r="F16" s="12">
        <f>RANK(Table9[[#This Row],[Total Score]],Table9[[Gender]:[Total Score]],0)</f>
        <v>162</v>
      </c>
      <c r="G16" s="12" t="str">
        <f>_xlfn.XLOOKUP(Table9[[#This Row],[Total Score]],H:H,I:I,,-1)</f>
        <v>D-</v>
      </c>
      <c r="J16" s="130" t="s">
        <v>13</v>
      </c>
      <c r="K16" s="81">
        <v>1847</v>
      </c>
      <c r="L16" s="82">
        <v>2466</v>
      </c>
      <c r="M16" s="82">
        <v>4313</v>
      </c>
      <c r="N16" s="82">
        <v>7709</v>
      </c>
      <c r="O16" s="140">
        <v>4212</v>
      </c>
      <c r="P16" s="140">
        <v>11921</v>
      </c>
      <c r="Q16" s="84">
        <v>16234</v>
      </c>
    </row>
    <row r="17" spans="1:17" x14ac:dyDescent="0.35">
      <c r="A17" s="9" t="s">
        <v>8</v>
      </c>
      <c r="B17" s="12" t="s">
        <v>21</v>
      </c>
      <c r="C17" s="12" t="s">
        <v>20</v>
      </c>
      <c r="D17" s="12" t="s">
        <v>15</v>
      </c>
      <c r="E17" s="9">
        <v>207</v>
      </c>
      <c r="F17" s="12">
        <f>RANK(Table9[[#This Row],[Total Score]],Table9[[Gender]:[Total Score]],0)</f>
        <v>115</v>
      </c>
      <c r="G17" s="12" t="str">
        <f>_xlfn.XLOOKUP(Table9[[#This Row],[Total Score]],H:H,I:I,,-1)</f>
        <v>D-</v>
      </c>
      <c r="J17" s="127" t="s">
        <v>37</v>
      </c>
      <c r="K17" s="131"/>
      <c r="L17" s="132"/>
      <c r="M17" s="136"/>
      <c r="N17" s="132">
        <v>571</v>
      </c>
      <c r="O17" s="133">
        <v>838</v>
      </c>
      <c r="P17" s="141">
        <v>1409</v>
      </c>
      <c r="Q17" s="143">
        <v>1409</v>
      </c>
    </row>
    <row r="18" spans="1:17" x14ac:dyDescent="0.35">
      <c r="A18" s="9" t="s">
        <v>17</v>
      </c>
      <c r="B18" s="12" t="s">
        <v>24</v>
      </c>
      <c r="C18" s="12" t="s">
        <v>20</v>
      </c>
      <c r="D18" s="12" t="s">
        <v>15</v>
      </c>
      <c r="E18" s="9">
        <v>214</v>
      </c>
      <c r="F18" s="12">
        <f>RANK(Table9[[#This Row],[Total Score]],Table9[[Gender]:[Total Score]],0)</f>
        <v>101</v>
      </c>
      <c r="G18" s="12" t="str">
        <f>_xlfn.XLOOKUP(Table9[[#This Row],[Total Score]],H:H,I:I,,-1)</f>
        <v>C-</v>
      </c>
      <c r="J18" s="128" t="s">
        <v>38</v>
      </c>
      <c r="K18" s="134">
        <v>268</v>
      </c>
      <c r="L18" s="1">
        <v>241</v>
      </c>
      <c r="M18" s="137">
        <v>509</v>
      </c>
      <c r="N18" s="1">
        <v>1286</v>
      </c>
      <c r="O18">
        <v>499</v>
      </c>
      <c r="P18" s="139">
        <v>1785</v>
      </c>
      <c r="Q18" s="144">
        <v>2294</v>
      </c>
    </row>
    <row r="19" spans="1:17" x14ac:dyDescent="0.35">
      <c r="A19" s="9" t="s">
        <v>8</v>
      </c>
      <c r="B19" s="12" t="s">
        <v>24</v>
      </c>
      <c r="C19" s="12" t="s">
        <v>11</v>
      </c>
      <c r="D19" s="12" t="s">
        <v>15</v>
      </c>
      <c r="E19" s="9">
        <v>253</v>
      </c>
      <c r="F19" s="12">
        <f>RANK(Table9[[#This Row],[Total Score]],Table9[[Gender]:[Total Score]],0)</f>
        <v>35</v>
      </c>
      <c r="G19" s="12" t="str">
        <f>_xlfn.XLOOKUP(Table9[[#This Row],[Total Score]],H:H,I:I,,-1)</f>
        <v>B+</v>
      </c>
      <c r="J19" s="128" t="s">
        <v>35</v>
      </c>
      <c r="K19" s="134">
        <v>216</v>
      </c>
      <c r="L19" s="1">
        <v>232</v>
      </c>
      <c r="M19" s="137">
        <v>448</v>
      </c>
      <c r="N19" s="1">
        <v>2935</v>
      </c>
      <c r="O19">
        <v>1797</v>
      </c>
      <c r="P19" s="139">
        <v>4732</v>
      </c>
      <c r="Q19" s="144">
        <v>5180</v>
      </c>
    </row>
    <row r="20" spans="1:17" x14ac:dyDescent="0.35">
      <c r="A20" s="9" t="s">
        <v>17</v>
      </c>
      <c r="B20" s="12" t="s">
        <v>21</v>
      </c>
      <c r="C20" s="12" t="s">
        <v>11</v>
      </c>
      <c r="D20" s="12" t="s">
        <v>12</v>
      </c>
      <c r="E20" s="9">
        <v>156</v>
      </c>
      <c r="F20" s="12">
        <f>RANK(Table9[[#This Row],[Total Score]],Table9[[Gender]:[Total Score]],0)</f>
        <v>196</v>
      </c>
      <c r="G20" s="12" t="str">
        <f>_xlfn.XLOOKUP(Table9[[#This Row],[Total Score]],H:H,I:I,,-1)</f>
        <v>F</v>
      </c>
      <c r="J20" s="128" t="s">
        <v>53</v>
      </c>
      <c r="K20" s="134">
        <v>349</v>
      </c>
      <c r="L20" s="1">
        <v>792</v>
      </c>
      <c r="M20" s="137">
        <v>1141</v>
      </c>
      <c r="N20" s="1">
        <v>1304</v>
      </c>
      <c r="O20">
        <v>893</v>
      </c>
      <c r="P20" s="139">
        <v>2197</v>
      </c>
      <c r="Q20" s="144">
        <v>3338</v>
      </c>
    </row>
    <row r="21" spans="1:17" ht="15" thickBot="1" x14ac:dyDescent="0.4">
      <c r="A21" s="9" t="s">
        <v>17</v>
      </c>
      <c r="B21" s="12" t="s">
        <v>18</v>
      </c>
      <c r="C21" s="12" t="s">
        <v>20</v>
      </c>
      <c r="D21" s="12" t="s">
        <v>12</v>
      </c>
      <c r="E21" s="9">
        <v>178</v>
      </c>
      <c r="F21" s="12">
        <f>RANK(Table9[[#This Row],[Total Score]],Table9[[Gender]:[Total Score]],0)</f>
        <v>164</v>
      </c>
      <c r="G21" s="12" t="str">
        <f>_xlfn.XLOOKUP(Table9[[#This Row],[Total Score]],H:H,I:I,,-1)</f>
        <v>F</v>
      </c>
      <c r="J21" s="129" t="s">
        <v>95</v>
      </c>
      <c r="K21" s="53">
        <v>1014</v>
      </c>
      <c r="L21" s="80">
        <v>1201</v>
      </c>
      <c r="M21" s="138">
        <v>2215</v>
      </c>
      <c r="N21" s="80">
        <v>1613</v>
      </c>
      <c r="O21" s="135">
        <v>185</v>
      </c>
      <c r="P21" s="142">
        <v>1798</v>
      </c>
      <c r="Q21" s="145">
        <v>4013</v>
      </c>
    </row>
    <row r="22" spans="1:17" ht="15" thickBot="1" x14ac:dyDescent="0.4">
      <c r="A22" s="9" t="s">
        <v>8</v>
      </c>
      <c r="B22" s="12" t="s">
        <v>13</v>
      </c>
      <c r="C22" s="12" t="s">
        <v>11</v>
      </c>
      <c r="D22" s="12" t="s">
        <v>12</v>
      </c>
      <c r="E22" s="9">
        <v>220</v>
      </c>
      <c r="F22" s="12">
        <f>RANK(Table9[[#This Row],[Total Score]],Table9[[Gender]:[Total Score]],0)</f>
        <v>90</v>
      </c>
      <c r="G22" s="12" t="str">
        <f>_xlfn.XLOOKUP(Table9[[#This Row],[Total Score]],H:H,I:I,,-1)</f>
        <v>C-</v>
      </c>
      <c r="J22" s="130" t="s">
        <v>21</v>
      </c>
      <c r="K22" s="81">
        <v>2268</v>
      </c>
      <c r="L22" s="82">
        <v>1880</v>
      </c>
      <c r="M22" s="82">
        <v>4148</v>
      </c>
      <c r="N22" s="82">
        <v>2764</v>
      </c>
      <c r="O22" s="140">
        <v>3488</v>
      </c>
      <c r="P22" s="140">
        <v>6252</v>
      </c>
      <c r="Q22" s="84">
        <v>10400</v>
      </c>
    </row>
    <row r="23" spans="1:17" x14ac:dyDescent="0.35">
      <c r="A23" s="9" t="s">
        <v>17</v>
      </c>
      <c r="B23" s="12" t="s">
        <v>9</v>
      </c>
      <c r="C23" s="12" t="s">
        <v>20</v>
      </c>
      <c r="D23" s="12" t="s">
        <v>12</v>
      </c>
      <c r="E23" s="9">
        <v>175</v>
      </c>
      <c r="F23" s="12">
        <f>RANK(Table9[[#This Row],[Total Score]],Table9[[Gender]:[Total Score]],0)</f>
        <v>169</v>
      </c>
      <c r="G23" s="12" t="str">
        <f>_xlfn.XLOOKUP(Table9[[#This Row],[Total Score]],H:H,I:I,,-1)</f>
        <v>F</v>
      </c>
      <c r="J23" s="127" t="s">
        <v>37</v>
      </c>
      <c r="K23" s="131"/>
      <c r="L23" s="132"/>
      <c r="M23" s="136"/>
      <c r="N23" s="132">
        <v>275</v>
      </c>
      <c r="O23" s="133"/>
      <c r="P23" s="141">
        <v>275</v>
      </c>
      <c r="Q23" s="143">
        <v>275</v>
      </c>
    </row>
    <row r="24" spans="1:17" x14ac:dyDescent="0.35">
      <c r="A24" s="9" t="s">
        <v>8</v>
      </c>
      <c r="B24" s="12" t="s">
        <v>13</v>
      </c>
      <c r="C24" s="12" t="s">
        <v>11</v>
      </c>
      <c r="D24" s="12" t="s">
        <v>12</v>
      </c>
      <c r="E24" s="9">
        <v>160</v>
      </c>
      <c r="F24" s="12">
        <f>RANK(Table9[[#This Row],[Total Score]],Table9[[Gender]:[Total Score]],0)</f>
        <v>191</v>
      </c>
      <c r="G24" s="12" t="str">
        <f>_xlfn.XLOOKUP(Table9[[#This Row],[Total Score]],H:H,I:I,,-1)</f>
        <v>F</v>
      </c>
      <c r="J24" s="128" t="s">
        <v>38</v>
      </c>
      <c r="K24" s="134">
        <v>769</v>
      </c>
      <c r="L24" s="1">
        <v>493</v>
      </c>
      <c r="M24" s="137">
        <v>1262</v>
      </c>
      <c r="N24" s="1">
        <v>531</v>
      </c>
      <c r="O24">
        <v>518</v>
      </c>
      <c r="P24" s="139">
        <v>1049</v>
      </c>
      <c r="Q24" s="144">
        <v>2311</v>
      </c>
    </row>
    <row r="25" spans="1:17" x14ac:dyDescent="0.35">
      <c r="A25" s="9" t="s">
        <v>8</v>
      </c>
      <c r="B25" s="12" t="s">
        <v>18</v>
      </c>
      <c r="C25" s="12" t="s">
        <v>20</v>
      </c>
      <c r="D25" s="12" t="s">
        <v>12</v>
      </c>
      <c r="E25" s="9">
        <v>140</v>
      </c>
      <c r="F25" s="12">
        <f>RANK(Table9[[#This Row],[Total Score]],Table9[[Gender]:[Total Score]],0)</f>
        <v>211</v>
      </c>
      <c r="G25" s="12" t="str">
        <f>_xlfn.XLOOKUP(Table9[[#This Row],[Total Score]],H:H,I:I,,-1)</f>
        <v>F</v>
      </c>
      <c r="J25" s="128" t="s">
        <v>35</v>
      </c>
      <c r="K25" s="134"/>
      <c r="L25" s="1">
        <v>676</v>
      </c>
      <c r="M25" s="137">
        <v>676</v>
      </c>
      <c r="N25" s="1">
        <v>1560</v>
      </c>
      <c r="O25">
        <v>1356</v>
      </c>
      <c r="P25" s="139">
        <v>2916</v>
      </c>
      <c r="Q25" s="144">
        <v>3592</v>
      </c>
    </row>
    <row r="26" spans="1:17" x14ac:dyDescent="0.35">
      <c r="A26" s="9" t="s">
        <v>17</v>
      </c>
      <c r="B26" s="12" t="s">
        <v>9</v>
      </c>
      <c r="C26" s="12" t="s">
        <v>20</v>
      </c>
      <c r="D26" s="12" t="s">
        <v>12</v>
      </c>
      <c r="E26" s="9">
        <v>123</v>
      </c>
      <c r="F26" s="12">
        <f>RANK(Table9[[#This Row],[Total Score]],Table9[[Gender]:[Total Score]],0)</f>
        <v>220</v>
      </c>
      <c r="G26" s="12" t="str">
        <f>_xlfn.XLOOKUP(Table9[[#This Row],[Total Score]],H:H,I:I,,-1)</f>
        <v>F</v>
      </c>
      <c r="J26" s="128" t="s">
        <v>53</v>
      </c>
      <c r="K26" s="134">
        <v>901</v>
      </c>
      <c r="L26" s="1">
        <v>314</v>
      </c>
      <c r="M26" s="137">
        <v>1215</v>
      </c>
      <c r="N26" s="1"/>
      <c r="O26">
        <v>614</v>
      </c>
      <c r="P26" s="139">
        <v>614</v>
      </c>
      <c r="Q26" s="144">
        <v>1829</v>
      </c>
    </row>
    <row r="27" spans="1:17" ht="15" thickBot="1" x14ac:dyDescent="0.4">
      <c r="A27" s="9" t="s">
        <v>8</v>
      </c>
      <c r="B27" s="12" t="s">
        <v>9</v>
      </c>
      <c r="C27" s="12" t="s">
        <v>11</v>
      </c>
      <c r="D27" s="12" t="s">
        <v>12</v>
      </c>
      <c r="E27" s="9">
        <v>146</v>
      </c>
      <c r="F27" s="12">
        <f>RANK(Table9[[#This Row],[Total Score]],Table9[[Gender]:[Total Score]],0)</f>
        <v>208</v>
      </c>
      <c r="G27" s="12" t="str">
        <f>_xlfn.XLOOKUP(Table9[[#This Row],[Total Score]],H:H,I:I,,-1)</f>
        <v>F</v>
      </c>
      <c r="J27" s="129" t="s">
        <v>95</v>
      </c>
      <c r="K27" s="53">
        <v>598</v>
      </c>
      <c r="L27" s="80">
        <v>397</v>
      </c>
      <c r="M27" s="138">
        <v>995</v>
      </c>
      <c r="N27" s="80">
        <v>398</v>
      </c>
      <c r="O27" s="135">
        <v>1000</v>
      </c>
      <c r="P27" s="142">
        <v>1398</v>
      </c>
      <c r="Q27" s="145">
        <v>2393</v>
      </c>
    </row>
    <row r="28" spans="1:17" ht="15" thickBot="1" x14ac:dyDescent="0.4">
      <c r="A28" s="9" t="s">
        <v>17</v>
      </c>
      <c r="B28" s="12" t="s">
        <v>24</v>
      </c>
      <c r="C28" s="12" t="s">
        <v>11</v>
      </c>
      <c r="D28" s="12" t="s">
        <v>12</v>
      </c>
      <c r="E28" s="9">
        <v>199</v>
      </c>
      <c r="F28" s="12">
        <f>RANK(Table9[[#This Row],[Total Score]],Table9[[Gender]:[Total Score]],0)</f>
        <v>133</v>
      </c>
      <c r="G28" s="12" t="str">
        <f>_xlfn.XLOOKUP(Table9[[#This Row],[Total Score]],H:H,I:I,,-1)</f>
        <v>D-</v>
      </c>
      <c r="J28" s="130" t="s">
        <v>24</v>
      </c>
      <c r="K28" s="81">
        <v>1077</v>
      </c>
      <c r="L28" s="82">
        <v>1672</v>
      </c>
      <c r="M28" s="82">
        <v>2749</v>
      </c>
      <c r="N28" s="82">
        <v>3161</v>
      </c>
      <c r="O28" s="140">
        <v>2745</v>
      </c>
      <c r="P28" s="140">
        <v>5906</v>
      </c>
      <c r="Q28" s="84">
        <v>8655</v>
      </c>
    </row>
    <row r="29" spans="1:17" x14ac:dyDescent="0.35">
      <c r="A29" s="9" t="s">
        <v>8</v>
      </c>
      <c r="B29" s="12" t="s">
        <v>21</v>
      </c>
      <c r="C29" s="12" t="s">
        <v>11</v>
      </c>
      <c r="D29" s="12" t="s">
        <v>12</v>
      </c>
      <c r="E29" s="9">
        <v>216</v>
      </c>
      <c r="F29" s="12">
        <f>RANK(Table9[[#This Row],[Total Score]],Table9[[Gender]:[Total Score]],0)</f>
        <v>96</v>
      </c>
      <c r="G29" s="12" t="str">
        <f>_xlfn.XLOOKUP(Table9[[#This Row],[Total Score]],H:H,I:I,,-1)</f>
        <v>C-</v>
      </c>
      <c r="J29" s="127" t="s">
        <v>37</v>
      </c>
      <c r="K29" s="131"/>
      <c r="L29" s="132">
        <v>293</v>
      </c>
      <c r="M29" s="136">
        <v>293</v>
      </c>
      <c r="N29" s="132">
        <v>1411</v>
      </c>
      <c r="O29" s="133"/>
      <c r="P29" s="141">
        <v>1411</v>
      </c>
      <c r="Q29" s="143">
        <v>1704</v>
      </c>
    </row>
    <row r="30" spans="1:17" x14ac:dyDescent="0.35">
      <c r="A30" s="9" t="s">
        <v>17</v>
      </c>
      <c r="B30" s="12" t="s">
        <v>13</v>
      </c>
      <c r="C30" s="12" t="s">
        <v>20</v>
      </c>
      <c r="D30" s="12" t="s">
        <v>15</v>
      </c>
      <c r="E30" s="9">
        <v>138</v>
      </c>
      <c r="F30" s="12">
        <f>RANK(Table9[[#This Row],[Total Score]],Table9[[Gender]:[Total Score]],0)</f>
        <v>212</v>
      </c>
      <c r="G30" s="12" t="str">
        <f>_xlfn.XLOOKUP(Table9[[#This Row],[Total Score]],H:H,I:I,,-1)</f>
        <v>F</v>
      </c>
      <c r="J30" s="128" t="s">
        <v>38</v>
      </c>
      <c r="K30" s="134">
        <v>257</v>
      </c>
      <c r="L30" s="1">
        <v>506</v>
      </c>
      <c r="M30" s="137">
        <v>763</v>
      </c>
      <c r="N30" s="1">
        <v>776</v>
      </c>
      <c r="O30">
        <v>769</v>
      </c>
      <c r="P30" s="139">
        <v>1545</v>
      </c>
      <c r="Q30" s="144">
        <v>2308</v>
      </c>
    </row>
    <row r="31" spans="1:17" x14ac:dyDescent="0.35">
      <c r="A31" s="9" t="s">
        <v>17</v>
      </c>
      <c r="B31" s="12" t="s">
        <v>13</v>
      </c>
      <c r="C31" s="12" t="s">
        <v>20</v>
      </c>
      <c r="D31" s="12" t="s">
        <v>15</v>
      </c>
      <c r="E31" s="9">
        <v>241</v>
      </c>
      <c r="F31" s="12">
        <f>RANK(Table9[[#This Row],[Total Score]],Table9[[Gender]:[Total Score]],0)</f>
        <v>49</v>
      </c>
      <c r="G31" s="12" t="str">
        <f>_xlfn.XLOOKUP(Table9[[#This Row],[Total Score]],H:H,I:I,,-1)</f>
        <v>B+</v>
      </c>
      <c r="J31" s="128" t="s">
        <v>35</v>
      </c>
      <c r="K31" s="134">
        <v>462</v>
      </c>
      <c r="L31" s="1">
        <v>438</v>
      </c>
      <c r="M31" s="137">
        <v>900</v>
      </c>
      <c r="N31" s="1">
        <v>428</v>
      </c>
      <c r="O31">
        <v>903</v>
      </c>
      <c r="P31" s="139">
        <v>1331</v>
      </c>
      <c r="Q31" s="144">
        <v>2231</v>
      </c>
    </row>
    <row r="32" spans="1:17" x14ac:dyDescent="0.35">
      <c r="A32" s="9" t="s">
        <v>8</v>
      </c>
      <c r="B32" s="12" t="s">
        <v>21</v>
      </c>
      <c r="C32" s="12" t="s">
        <v>11</v>
      </c>
      <c r="D32" s="12" t="s">
        <v>12</v>
      </c>
      <c r="E32" s="9">
        <v>265</v>
      </c>
      <c r="F32" s="12">
        <f>RANK(Table9[[#This Row],[Total Score]],Table9[[Gender]:[Total Score]],0)</f>
        <v>22</v>
      </c>
      <c r="G32" s="12" t="str">
        <f>_xlfn.XLOOKUP(Table9[[#This Row],[Total Score]],H:H,I:I,,-1)</f>
        <v>B+</v>
      </c>
      <c r="J32" s="128" t="s">
        <v>53</v>
      </c>
      <c r="K32" s="134">
        <v>160</v>
      </c>
      <c r="L32" s="1">
        <v>435</v>
      </c>
      <c r="M32" s="137">
        <v>595</v>
      </c>
      <c r="N32" s="1">
        <v>156</v>
      </c>
      <c r="O32">
        <v>309</v>
      </c>
      <c r="P32" s="139">
        <v>465</v>
      </c>
      <c r="Q32" s="144">
        <v>1060</v>
      </c>
    </row>
    <row r="33" spans="1:17" ht="15" thickBot="1" x14ac:dyDescent="0.4">
      <c r="A33" s="9" t="s">
        <v>17</v>
      </c>
      <c r="B33" s="12" t="s">
        <v>24</v>
      </c>
      <c r="C33" s="12" t="s">
        <v>11</v>
      </c>
      <c r="D33" s="12" t="s">
        <v>15</v>
      </c>
      <c r="E33" s="9">
        <v>193</v>
      </c>
      <c r="F33" s="12">
        <f>RANK(Table9[[#This Row],[Total Score]],Table9[[Gender]:[Total Score]],0)</f>
        <v>145</v>
      </c>
      <c r="G33" s="12" t="str">
        <f>_xlfn.XLOOKUP(Table9[[#This Row],[Total Score]],H:H,I:I,,-1)</f>
        <v>D-</v>
      </c>
      <c r="J33" s="129" t="s">
        <v>95</v>
      </c>
      <c r="K33" s="53">
        <v>198</v>
      </c>
      <c r="L33" s="80"/>
      <c r="M33" s="138">
        <v>198</v>
      </c>
      <c r="N33" s="80">
        <v>390</v>
      </c>
      <c r="O33" s="135">
        <v>764</v>
      </c>
      <c r="P33" s="142">
        <v>1154</v>
      </c>
      <c r="Q33" s="145">
        <v>1352</v>
      </c>
    </row>
    <row r="34" spans="1:17" ht="15" thickBot="1" x14ac:dyDescent="0.4">
      <c r="A34" s="9" t="s">
        <v>8</v>
      </c>
      <c r="B34" s="12" t="s">
        <v>9</v>
      </c>
      <c r="C34" s="12" t="s">
        <v>20</v>
      </c>
      <c r="D34" s="12" t="s">
        <v>12</v>
      </c>
      <c r="E34" s="9">
        <v>198</v>
      </c>
      <c r="F34" s="12">
        <f>RANK(Table9[[#This Row],[Total Score]],Table9[[Gender]:[Total Score]],0)</f>
        <v>135</v>
      </c>
      <c r="G34" s="12" t="str">
        <f>_xlfn.XLOOKUP(Table9[[#This Row],[Total Score]],H:H,I:I,,-1)</f>
        <v>D-</v>
      </c>
      <c r="J34" s="126" t="s">
        <v>88</v>
      </c>
      <c r="K34" s="146">
        <v>7118</v>
      </c>
      <c r="L34" s="146">
        <v>7996</v>
      </c>
      <c r="M34" s="146">
        <v>15114</v>
      </c>
      <c r="N34" s="146">
        <v>17633</v>
      </c>
      <c r="O34" s="147">
        <v>13586</v>
      </c>
      <c r="P34" s="147">
        <v>31219</v>
      </c>
      <c r="Q34" s="146">
        <v>46333</v>
      </c>
    </row>
    <row r="35" spans="1:17" ht="15" thickTop="1" x14ac:dyDescent="0.35">
      <c r="A35" s="9" t="s">
        <v>8</v>
      </c>
      <c r="B35" s="12" t="s">
        <v>21</v>
      </c>
      <c r="C35" s="12" t="s">
        <v>20</v>
      </c>
      <c r="D35" s="12" t="s">
        <v>15</v>
      </c>
      <c r="E35" s="9">
        <v>264</v>
      </c>
      <c r="F35" s="12">
        <f>RANK(Table9[[#This Row],[Total Score]],Table9[[Gender]:[Total Score]],0)</f>
        <v>23</v>
      </c>
      <c r="G35" s="12" t="str">
        <f>_xlfn.XLOOKUP(Table9[[#This Row],[Total Score]],H:H,I:I,,-1)</f>
        <v>B+</v>
      </c>
    </row>
    <row r="36" spans="1:17" x14ac:dyDescent="0.35">
      <c r="A36" s="9" t="s">
        <v>17</v>
      </c>
      <c r="B36" s="12" t="s">
        <v>18</v>
      </c>
      <c r="C36" s="12" t="s">
        <v>11</v>
      </c>
      <c r="D36" s="12" t="s">
        <v>12</v>
      </c>
      <c r="E36" s="9">
        <v>154</v>
      </c>
      <c r="F36" s="12">
        <f>RANK(Table9[[#This Row],[Total Score]],Table9[[Gender]:[Total Score]],0)</f>
        <v>202</v>
      </c>
      <c r="G36" s="12" t="str">
        <f>_xlfn.XLOOKUP(Table9[[#This Row],[Total Score]],H:H,I:I,,-1)</f>
        <v>F</v>
      </c>
    </row>
    <row r="37" spans="1:17" x14ac:dyDescent="0.35">
      <c r="A37" s="9" t="s">
        <v>17</v>
      </c>
      <c r="B37" s="12" t="s">
        <v>9</v>
      </c>
      <c r="C37" s="12" t="s">
        <v>11</v>
      </c>
      <c r="D37" s="12" t="s">
        <v>15</v>
      </c>
      <c r="E37" s="9">
        <v>272</v>
      </c>
      <c r="F37" s="12">
        <f>RANK(Table9[[#This Row],[Total Score]],Table9[[Gender]:[Total Score]],0)</f>
        <v>14</v>
      </c>
      <c r="G37" s="12" t="str">
        <f>_xlfn.XLOOKUP(Table9[[#This Row],[Total Score]],H:H,I:I,,-1)</f>
        <v>A+</v>
      </c>
    </row>
    <row r="38" spans="1:17" x14ac:dyDescent="0.35">
      <c r="A38" s="9" t="s">
        <v>8</v>
      </c>
      <c r="B38" s="12" t="s">
        <v>13</v>
      </c>
      <c r="C38" s="12" t="s">
        <v>11</v>
      </c>
      <c r="D38" s="12" t="s">
        <v>12</v>
      </c>
      <c r="E38" s="9">
        <v>192</v>
      </c>
      <c r="F38" s="12">
        <f>RANK(Table9[[#This Row],[Total Score]],Table9[[Gender]:[Total Score]],0)</f>
        <v>148</v>
      </c>
      <c r="G38" s="12" t="str">
        <f>_xlfn.XLOOKUP(Table9[[#This Row],[Total Score]],H:H,I:I,,-1)</f>
        <v>D-</v>
      </c>
    </row>
    <row r="39" spans="1:17" x14ac:dyDescent="0.35">
      <c r="A39" s="9" t="s">
        <v>17</v>
      </c>
      <c r="B39" s="12" t="s">
        <v>13</v>
      </c>
      <c r="C39" s="12" t="s">
        <v>20</v>
      </c>
      <c r="D39" s="12" t="s">
        <v>12</v>
      </c>
      <c r="E39" s="9">
        <v>207</v>
      </c>
      <c r="F39" s="12">
        <f>RANK(Table9[[#This Row],[Total Score]],Table9[[Gender]:[Total Score]],0)</f>
        <v>115</v>
      </c>
      <c r="G39" s="12" t="str">
        <f>_xlfn.XLOOKUP(Table9[[#This Row],[Total Score]],H:H,I:I,,-1)</f>
        <v>D-</v>
      </c>
    </row>
    <row r="40" spans="1:17" x14ac:dyDescent="0.35">
      <c r="A40" s="9" t="s">
        <v>17</v>
      </c>
      <c r="B40" s="12" t="s">
        <v>24</v>
      </c>
      <c r="C40" s="12" t="s">
        <v>20</v>
      </c>
      <c r="D40" s="12" t="s">
        <v>15</v>
      </c>
      <c r="E40" s="9">
        <v>293</v>
      </c>
      <c r="F40" s="12">
        <f>RANK(Table9[[#This Row],[Total Score]],Table9[[Gender]:[Total Score]],0)</f>
        <v>2</v>
      </c>
      <c r="G40" s="12" t="str">
        <f>_xlfn.XLOOKUP(Table9[[#This Row],[Total Score]],H:H,I:I,,-1)</f>
        <v>A+</v>
      </c>
    </row>
    <row r="41" spans="1:17" x14ac:dyDescent="0.35">
      <c r="A41" s="9" t="s">
        <v>8</v>
      </c>
      <c r="B41" s="12" t="s">
        <v>9</v>
      </c>
      <c r="C41" s="12" t="s">
        <v>11</v>
      </c>
      <c r="D41" s="12" t="s">
        <v>15</v>
      </c>
      <c r="E41" s="9">
        <v>195</v>
      </c>
      <c r="F41" s="12">
        <f>RANK(Table9[[#This Row],[Total Score]],Table9[[Gender]:[Total Score]],0)</f>
        <v>140</v>
      </c>
      <c r="G41" s="12" t="str">
        <f>_xlfn.XLOOKUP(Table9[[#This Row],[Total Score]],H:H,I:I,,-1)</f>
        <v>D-</v>
      </c>
    </row>
    <row r="42" spans="1:17" x14ac:dyDescent="0.35">
      <c r="A42" s="9" t="s">
        <v>8</v>
      </c>
      <c r="B42" s="12" t="s">
        <v>9</v>
      </c>
      <c r="C42" s="12" t="s">
        <v>11</v>
      </c>
      <c r="D42" s="12" t="s">
        <v>15</v>
      </c>
      <c r="E42" s="9">
        <v>234</v>
      </c>
      <c r="F42" s="12">
        <f>RANK(Table9[[#This Row],[Total Score]],Table9[[Gender]:[Total Score]],0)</f>
        <v>60</v>
      </c>
      <c r="G42" s="12" t="str">
        <f>_xlfn.XLOOKUP(Table9[[#This Row],[Total Score]],H:H,I:I,,-1)</f>
        <v>C-</v>
      </c>
    </row>
    <row r="43" spans="1:17" x14ac:dyDescent="0.35">
      <c r="A43" s="9" t="s">
        <v>17</v>
      </c>
      <c r="B43" s="12" t="s">
        <v>21</v>
      </c>
      <c r="C43" s="12" t="s">
        <v>20</v>
      </c>
      <c r="D43" s="12" t="s">
        <v>12</v>
      </c>
      <c r="E43" s="9">
        <v>192</v>
      </c>
      <c r="F43" s="12">
        <f>RANK(Table9[[#This Row],[Total Score]],Table9[[Gender]:[Total Score]],0)</f>
        <v>148</v>
      </c>
      <c r="G43" s="12" t="str">
        <f>_xlfn.XLOOKUP(Table9[[#This Row],[Total Score]],H:H,I:I,,-1)</f>
        <v>D-</v>
      </c>
    </row>
    <row r="44" spans="1:17" x14ac:dyDescent="0.35">
      <c r="A44" s="9" t="s">
        <v>17</v>
      </c>
      <c r="B44" s="12" t="s">
        <v>9</v>
      </c>
      <c r="C44" s="12" t="s">
        <v>20</v>
      </c>
      <c r="D44" s="12" t="s">
        <v>15</v>
      </c>
      <c r="E44" s="9">
        <v>234</v>
      </c>
      <c r="F44" s="12">
        <f>RANK(Table9[[#This Row],[Total Score]],Table9[[Gender]:[Total Score]],0)</f>
        <v>60</v>
      </c>
      <c r="G44" s="12" t="str">
        <f>_xlfn.XLOOKUP(Table9[[#This Row],[Total Score]],H:H,I:I,,-1)</f>
        <v>C-</v>
      </c>
    </row>
    <row r="45" spans="1:17" x14ac:dyDescent="0.35">
      <c r="A45" s="9" t="s">
        <v>8</v>
      </c>
      <c r="B45" s="12" t="s">
        <v>13</v>
      </c>
      <c r="C45" s="12" t="s">
        <v>11</v>
      </c>
      <c r="D45" s="12" t="s">
        <v>12</v>
      </c>
      <c r="E45" s="9">
        <v>200</v>
      </c>
      <c r="F45" s="12">
        <f>RANK(Table9[[#This Row],[Total Score]],Table9[[Gender]:[Total Score]],0)</f>
        <v>131</v>
      </c>
      <c r="G45" s="12" t="str">
        <f>_xlfn.XLOOKUP(Table9[[#This Row],[Total Score]],H:H,I:I,,-1)</f>
        <v>D-</v>
      </c>
    </row>
    <row r="46" spans="1:17" x14ac:dyDescent="0.35">
      <c r="A46" s="9" t="s">
        <v>8</v>
      </c>
      <c r="B46" s="12" t="s">
        <v>13</v>
      </c>
      <c r="C46" s="12" t="s">
        <v>11</v>
      </c>
      <c r="D46" s="12" t="s">
        <v>15</v>
      </c>
      <c r="E46" s="9">
        <v>225</v>
      </c>
      <c r="F46" s="12">
        <f>RANK(Table9[[#This Row],[Total Score]],Table9[[Gender]:[Total Score]],0)</f>
        <v>82</v>
      </c>
      <c r="G46" s="12" t="str">
        <f>_xlfn.XLOOKUP(Table9[[#This Row],[Total Score]],H:H,I:I,,-1)</f>
        <v>C-</v>
      </c>
    </row>
    <row r="47" spans="1:17" x14ac:dyDescent="0.35">
      <c r="A47" s="9" t="s">
        <v>8</v>
      </c>
      <c r="B47" s="12" t="s">
        <v>21</v>
      </c>
      <c r="C47" s="12" t="s">
        <v>11</v>
      </c>
      <c r="D47" s="12" t="s">
        <v>12</v>
      </c>
      <c r="E47" s="9">
        <v>204</v>
      </c>
      <c r="F47" s="12">
        <f>RANK(Table9[[#This Row],[Total Score]],Table9[[Gender]:[Total Score]],0)</f>
        <v>126</v>
      </c>
      <c r="G47" s="12" t="str">
        <f>_xlfn.XLOOKUP(Table9[[#This Row],[Total Score]],H:H,I:I,,-1)</f>
        <v>D-</v>
      </c>
    </row>
    <row r="48" spans="1:17" x14ac:dyDescent="0.35">
      <c r="A48" s="9" t="s">
        <v>17</v>
      </c>
      <c r="B48" s="12" t="s">
        <v>13</v>
      </c>
      <c r="C48" s="12" t="s">
        <v>20</v>
      </c>
      <c r="D48" s="12" t="s">
        <v>15</v>
      </c>
      <c r="E48" s="9">
        <v>197</v>
      </c>
      <c r="F48" s="12">
        <f>RANK(Table9[[#This Row],[Total Score]],Table9[[Gender]:[Total Score]],0)</f>
        <v>138</v>
      </c>
      <c r="G48" s="12" t="str">
        <f>_xlfn.XLOOKUP(Table9[[#This Row],[Total Score]],H:H,I:I,,-1)</f>
        <v>D-</v>
      </c>
    </row>
    <row r="49" spans="1:7" x14ac:dyDescent="0.35">
      <c r="A49" s="9" t="s">
        <v>8</v>
      </c>
      <c r="B49" s="12" t="s">
        <v>24</v>
      </c>
      <c r="C49" s="12" t="s">
        <v>11</v>
      </c>
      <c r="D49" s="12" t="s">
        <v>12</v>
      </c>
      <c r="E49" s="9">
        <v>200</v>
      </c>
      <c r="F49" s="12">
        <f>RANK(Table9[[#This Row],[Total Score]],Table9[[Gender]:[Total Score]],0)</f>
        <v>131</v>
      </c>
      <c r="G49" s="12" t="str">
        <f>_xlfn.XLOOKUP(Table9[[#This Row],[Total Score]],H:H,I:I,,-1)</f>
        <v>D-</v>
      </c>
    </row>
    <row r="50" spans="1:7" x14ac:dyDescent="0.35">
      <c r="A50" s="9" t="s">
        <v>17</v>
      </c>
      <c r="B50" s="12" t="s">
        <v>21</v>
      </c>
      <c r="C50" s="12" t="s">
        <v>11</v>
      </c>
      <c r="D50" s="12" t="s">
        <v>12</v>
      </c>
      <c r="E50" s="9">
        <v>168</v>
      </c>
      <c r="F50" s="12">
        <f>RANK(Table9[[#This Row],[Total Score]],Table9[[Gender]:[Total Score]],0)</f>
        <v>178</v>
      </c>
      <c r="G50" s="12" t="str">
        <f>_xlfn.XLOOKUP(Table9[[#This Row],[Total Score]],H:H,I:I,,-1)</f>
        <v>F</v>
      </c>
    </row>
    <row r="51" spans="1:7" x14ac:dyDescent="0.35">
      <c r="A51" s="9" t="s">
        <v>8</v>
      </c>
      <c r="B51" s="12" t="s">
        <v>13</v>
      </c>
      <c r="C51" s="12" t="s">
        <v>11</v>
      </c>
      <c r="D51" s="12" t="s">
        <v>15</v>
      </c>
      <c r="E51" s="9">
        <v>237</v>
      </c>
      <c r="F51" s="12">
        <f>RANK(Table9[[#This Row],[Total Score]],Table9[[Gender]:[Total Score]],0)</f>
        <v>56</v>
      </c>
      <c r="G51" s="12" t="str">
        <f>_xlfn.XLOOKUP(Table9[[#This Row],[Total Score]],H:H,I:I,,-1)</f>
        <v>C-</v>
      </c>
    </row>
    <row r="52" spans="1:7" x14ac:dyDescent="0.35">
      <c r="A52" s="9" t="s">
        <v>17</v>
      </c>
      <c r="B52" s="12" t="s">
        <v>13</v>
      </c>
      <c r="C52" s="12" t="s">
        <v>11</v>
      </c>
      <c r="D52" s="12" t="s">
        <v>12</v>
      </c>
      <c r="E52" s="9">
        <v>215</v>
      </c>
      <c r="F52" s="12">
        <f>RANK(Table9[[#This Row],[Total Score]],Table9[[Gender]:[Total Score]],0)</f>
        <v>100</v>
      </c>
      <c r="G52" s="12" t="str">
        <f>_xlfn.XLOOKUP(Table9[[#This Row],[Total Score]],H:H,I:I,,-1)</f>
        <v>C-</v>
      </c>
    </row>
    <row r="53" spans="1:7" x14ac:dyDescent="0.35">
      <c r="A53" s="9" t="s">
        <v>8</v>
      </c>
      <c r="B53" s="12" t="s">
        <v>9</v>
      </c>
      <c r="C53" s="12" t="s">
        <v>11</v>
      </c>
      <c r="D53" s="12" t="s">
        <v>12</v>
      </c>
      <c r="E53" s="9">
        <v>194</v>
      </c>
      <c r="F53" s="12">
        <f>RANK(Table9[[#This Row],[Total Score]],Table9[[Gender]:[Total Score]],0)</f>
        <v>141</v>
      </c>
      <c r="G53" s="12" t="str">
        <f>_xlfn.XLOOKUP(Table9[[#This Row],[Total Score]],H:H,I:I,,-1)</f>
        <v>D-</v>
      </c>
    </row>
    <row r="54" spans="1:7" x14ac:dyDescent="0.35">
      <c r="A54" s="9" t="s">
        <v>17</v>
      </c>
      <c r="B54" s="12" t="s">
        <v>13</v>
      </c>
      <c r="C54" s="12" t="s">
        <v>20</v>
      </c>
      <c r="D54" s="12" t="s">
        <v>15</v>
      </c>
      <c r="E54" s="9">
        <v>167</v>
      </c>
      <c r="F54" s="12">
        <f>RANK(Table9[[#This Row],[Total Score]],Table9[[Gender]:[Total Score]],0)</f>
        <v>181</v>
      </c>
      <c r="G54" s="12" t="str">
        <f>_xlfn.XLOOKUP(Table9[[#This Row],[Total Score]],H:H,I:I,,-1)</f>
        <v>F</v>
      </c>
    </row>
    <row r="55" spans="1:7" x14ac:dyDescent="0.35">
      <c r="A55" s="9" t="s">
        <v>8</v>
      </c>
      <c r="B55" s="12" t="s">
        <v>24</v>
      </c>
      <c r="C55" s="12" t="s">
        <v>20</v>
      </c>
      <c r="D55" s="12" t="s">
        <v>15</v>
      </c>
      <c r="E55" s="9">
        <v>257</v>
      </c>
      <c r="F55" s="12">
        <f>RANK(Table9[[#This Row],[Total Score]],Table9[[Gender]:[Total Score]],0)</f>
        <v>31</v>
      </c>
      <c r="G55" s="12" t="str">
        <f>_xlfn.XLOOKUP(Table9[[#This Row],[Total Score]],H:H,I:I,,-1)</f>
        <v>B+</v>
      </c>
    </row>
    <row r="56" spans="1:7" x14ac:dyDescent="0.35">
      <c r="A56" s="9" t="s">
        <v>17</v>
      </c>
      <c r="B56" s="12" t="s">
        <v>9</v>
      </c>
      <c r="C56" s="12" t="s">
        <v>11</v>
      </c>
      <c r="D56" s="12" t="s">
        <v>12</v>
      </c>
      <c r="E56" s="9">
        <v>245</v>
      </c>
      <c r="F56" s="12">
        <f>RANK(Table9[[#This Row],[Total Score]],Table9[[Gender]:[Total Score]],0)</f>
        <v>43</v>
      </c>
      <c r="G56" s="12" t="str">
        <f>_xlfn.XLOOKUP(Table9[[#This Row],[Total Score]],H:H,I:I,,-1)</f>
        <v>B+</v>
      </c>
    </row>
    <row r="57" spans="1:7" x14ac:dyDescent="0.35">
      <c r="A57" s="9" t="s">
        <v>8</v>
      </c>
      <c r="B57" s="12" t="s">
        <v>9</v>
      </c>
      <c r="C57" s="12" t="s">
        <v>11</v>
      </c>
      <c r="D57" s="12" t="s">
        <v>15</v>
      </c>
      <c r="E57" s="9">
        <v>191</v>
      </c>
      <c r="F57" s="12">
        <f>RANK(Table9[[#This Row],[Total Score]],Table9[[Gender]:[Total Score]],0)</f>
        <v>150</v>
      </c>
      <c r="G57" s="12" t="str">
        <f>_xlfn.XLOOKUP(Table9[[#This Row],[Total Score]],H:H,I:I,,-1)</f>
        <v>D-</v>
      </c>
    </row>
    <row r="58" spans="1:7" x14ac:dyDescent="0.35">
      <c r="A58" s="9" t="s">
        <v>17</v>
      </c>
      <c r="B58" s="12" t="s">
        <v>13</v>
      </c>
      <c r="C58" s="12" t="s">
        <v>11</v>
      </c>
      <c r="D58" s="12" t="s">
        <v>12</v>
      </c>
      <c r="E58" s="9">
        <v>131</v>
      </c>
      <c r="F58" s="12">
        <f>RANK(Table9[[#This Row],[Total Score]],Table9[[Gender]:[Total Score]],0)</f>
        <v>218</v>
      </c>
      <c r="G58" s="12" t="str">
        <f>_xlfn.XLOOKUP(Table9[[#This Row],[Total Score]],H:H,I:I,,-1)</f>
        <v>F</v>
      </c>
    </row>
    <row r="59" spans="1:7" x14ac:dyDescent="0.35">
      <c r="A59" s="9" t="s">
        <v>17</v>
      </c>
      <c r="B59" s="12" t="s">
        <v>21</v>
      </c>
      <c r="C59" s="12" t="s">
        <v>11</v>
      </c>
      <c r="D59" s="12" t="s">
        <v>12</v>
      </c>
      <c r="E59" s="9">
        <v>232</v>
      </c>
      <c r="F59" s="12">
        <f>RANK(Table9[[#This Row],[Total Score]],Table9[[Gender]:[Total Score]],0)</f>
        <v>66</v>
      </c>
      <c r="G59" s="12" t="str">
        <f>_xlfn.XLOOKUP(Table9[[#This Row],[Total Score]],H:H,I:I,,-1)</f>
        <v>C-</v>
      </c>
    </row>
    <row r="60" spans="1:7" x14ac:dyDescent="0.35">
      <c r="A60" s="9" t="s">
        <v>17</v>
      </c>
      <c r="B60" s="12" t="s">
        <v>13</v>
      </c>
      <c r="C60" s="12" t="s">
        <v>11</v>
      </c>
      <c r="D60" s="12" t="s">
        <v>12</v>
      </c>
      <c r="E60" s="9">
        <v>244</v>
      </c>
      <c r="F60" s="12">
        <f>RANK(Table9[[#This Row],[Total Score]],Table9[[Gender]:[Total Score]],0)</f>
        <v>45</v>
      </c>
      <c r="G60" s="12" t="str">
        <f>_xlfn.XLOOKUP(Table9[[#This Row],[Total Score]],H:H,I:I,,-1)</f>
        <v>B+</v>
      </c>
    </row>
    <row r="61" spans="1:7" x14ac:dyDescent="0.35">
      <c r="A61" s="9" t="s">
        <v>17</v>
      </c>
      <c r="B61" s="12" t="s">
        <v>13</v>
      </c>
      <c r="C61" s="12" t="s">
        <v>11</v>
      </c>
      <c r="D61" s="12" t="s">
        <v>12</v>
      </c>
      <c r="E61" s="9">
        <v>232</v>
      </c>
      <c r="F61" s="12">
        <f>RANK(Table9[[#This Row],[Total Score]],Table9[[Gender]:[Total Score]],0)</f>
        <v>66</v>
      </c>
      <c r="G61" s="12" t="str">
        <f>_xlfn.XLOOKUP(Table9[[#This Row],[Total Score]],H:H,I:I,,-1)</f>
        <v>C-</v>
      </c>
    </row>
    <row r="62" spans="1:7" x14ac:dyDescent="0.35">
      <c r="A62" s="9" t="s">
        <v>17</v>
      </c>
      <c r="B62" s="12" t="s">
        <v>24</v>
      </c>
      <c r="C62" s="12" t="s">
        <v>11</v>
      </c>
      <c r="D62" s="12" t="s">
        <v>12</v>
      </c>
      <c r="E62" s="9">
        <v>239</v>
      </c>
      <c r="F62" s="12">
        <f>RANK(Table9[[#This Row],[Total Score]],Table9[[Gender]:[Total Score]],0)</f>
        <v>52</v>
      </c>
      <c r="G62" s="12" t="str">
        <f>_xlfn.XLOOKUP(Table9[[#This Row],[Total Score]],H:H,I:I,,-1)</f>
        <v>C-</v>
      </c>
    </row>
    <row r="63" spans="1:7" x14ac:dyDescent="0.35">
      <c r="A63" s="9" t="s">
        <v>8</v>
      </c>
      <c r="B63" s="12" t="s">
        <v>13</v>
      </c>
      <c r="C63" s="12" t="s">
        <v>20</v>
      </c>
      <c r="D63" s="12" t="s">
        <v>12</v>
      </c>
      <c r="E63" s="9">
        <v>205</v>
      </c>
      <c r="F63" s="12">
        <f>RANK(Table9[[#This Row],[Total Score]],Table9[[Gender]:[Total Score]],0)</f>
        <v>124</v>
      </c>
      <c r="G63" s="12" t="str">
        <f>_xlfn.XLOOKUP(Table9[[#This Row],[Total Score]],H:H,I:I,,-1)</f>
        <v>D-</v>
      </c>
    </row>
    <row r="64" spans="1:7" x14ac:dyDescent="0.35">
      <c r="A64" s="9" t="s">
        <v>17</v>
      </c>
      <c r="B64" s="12" t="s">
        <v>13</v>
      </c>
      <c r="C64" s="12" t="s">
        <v>11</v>
      </c>
      <c r="D64" s="12" t="s">
        <v>15</v>
      </c>
      <c r="E64" s="9">
        <v>232</v>
      </c>
      <c r="F64" s="12">
        <f>RANK(Table9[[#This Row],[Total Score]],Table9[[Gender]:[Total Score]],0)</f>
        <v>66</v>
      </c>
      <c r="G64" s="12" t="str">
        <f>_xlfn.XLOOKUP(Table9[[#This Row],[Total Score]],H:H,I:I,,-1)</f>
        <v>C-</v>
      </c>
    </row>
    <row r="65" spans="1:7" x14ac:dyDescent="0.35">
      <c r="A65" s="9" t="s">
        <v>8</v>
      </c>
      <c r="B65" s="12" t="s">
        <v>21</v>
      </c>
      <c r="C65" s="12" t="s">
        <v>11</v>
      </c>
      <c r="D65" s="12" t="s">
        <v>15</v>
      </c>
      <c r="E65" s="9">
        <v>275</v>
      </c>
      <c r="F65" s="12">
        <f>RANK(Table9[[#This Row],[Total Score]],Table9[[Gender]:[Total Score]],0)</f>
        <v>10</v>
      </c>
      <c r="G65" s="12" t="str">
        <f>_xlfn.XLOOKUP(Table9[[#This Row],[Total Score]],H:H,I:I,,-1)</f>
        <v>A+</v>
      </c>
    </row>
    <row r="66" spans="1:7" x14ac:dyDescent="0.35">
      <c r="A66" s="9" t="s">
        <v>8</v>
      </c>
      <c r="B66" s="12" t="s">
        <v>21</v>
      </c>
      <c r="C66" s="12" t="s">
        <v>20</v>
      </c>
      <c r="D66" s="12" t="s">
        <v>12</v>
      </c>
      <c r="E66" s="9">
        <v>158</v>
      </c>
      <c r="F66" s="12">
        <f>RANK(Table9[[#This Row],[Total Score]],Table9[[Gender]:[Total Score]],0)</f>
        <v>195</v>
      </c>
      <c r="G66" s="12" t="str">
        <f>_xlfn.XLOOKUP(Table9[[#This Row],[Total Score]],H:H,I:I,,-1)</f>
        <v>F</v>
      </c>
    </row>
    <row r="67" spans="1:7" x14ac:dyDescent="0.35">
      <c r="A67" s="9" t="s">
        <v>17</v>
      </c>
      <c r="B67" s="12" t="s">
        <v>9</v>
      </c>
      <c r="C67" s="12" t="s">
        <v>11</v>
      </c>
      <c r="D67" s="12" t="s">
        <v>15</v>
      </c>
      <c r="E67" s="9">
        <v>245</v>
      </c>
      <c r="F67" s="12">
        <f>RANK(Table9[[#This Row],[Total Score]],Table9[[Gender]:[Total Score]],0)</f>
        <v>43</v>
      </c>
      <c r="G67" s="12" t="str">
        <f>_xlfn.XLOOKUP(Table9[[#This Row],[Total Score]],H:H,I:I,,-1)</f>
        <v>B+</v>
      </c>
    </row>
    <row r="68" spans="1:7" x14ac:dyDescent="0.35">
      <c r="A68" s="9" t="s">
        <v>17</v>
      </c>
      <c r="B68" s="12" t="s">
        <v>24</v>
      </c>
      <c r="C68" s="12" t="s">
        <v>11</v>
      </c>
      <c r="D68" s="12" t="s">
        <v>15</v>
      </c>
      <c r="E68" s="9">
        <v>267</v>
      </c>
      <c r="F68" s="12">
        <f>RANK(Table9[[#This Row],[Total Score]],Table9[[Gender]:[Total Score]],0)</f>
        <v>20</v>
      </c>
      <c r="G68" s="12" t="str">
        <f>_xlfn.XLOOKUP(Table9[[#This Row],[Total Score]],H:H,I:I,,-1)</f>
        <v>B+</v>
      </c>
    </row>
    <row r="69" spans="1:7" x14ac:dyDescent="0.35">
      <c r="A69" s="9" t="s">
        <v>17</v>
      </c>
      <c r="B69" s="12" t="s">
        <v>13</v>
      </c>
      <c r="C69" s="12" t="s">
        <v>11</v>
      </c>
      <c r="D69" s="12" t="s">
        <v>12</v>
      </c>
      <c r="E69" s="9">
        <v>214</v>
      </c>
      <c r="F69" s="12">
        <f>RANK(Table9[[#This Row],[Total Score]],Table9[[Gender]:[Total Score]],0)</f>
        <v>101</v>
      </c>
      <c r="G69" s="12" t="str">
        <f>_xlfn.XLOOKUP(Table9[[#This Row],[Total Score]],H:H,I:I,,-1)</f>
        <v>C-</v>
      </c>
    </row>
    <row r="70" spans="1:7" x14ac:dyDescent="0.35">
      <c r="A70" s="9" t="s">
        <v>17</v>
      </c>
      <c r="B70" s="12" t="s">
        <v>9</v>
      </c>
      <c r="C70" s="12" t="s">
        <v>20</v>
      </c>
      <c r="D70" s="12" t="s">
        <v>12</v>
      </c>
      <c r="E70" s="9">
        <v>189</v>
      </c>
      <c r="F70" s="12">
        <f>RANK(Table9[[#This Row],[Total Score]],Table9[[Gender]:[Total Score]],0)</f>
        <v>154</v>
      </c>
      <c r="G70" s="12" t="str">
        <f>_xlfn.XLOOKUP(Table9[[#This Row],[Total Score]],H:H,I:I,,-1)</f>
        <v>D-</v>
      </c>
    </row>
    <row r="71" spans="1:7" x14ac:dyDescent="0.35">
      <c r="A71" s="9" t="s">
        <v>17</v>
      </c>
      <c r="B71" s="12" t="s">
        <v>24</v>
      </c>
      <c r="C71" s="12" t="s">
        <v>11</v>
      </c>
      <c r="D71" s="12" t="s">
        <v>15</v>
      </c>
      <c r="E71" s="9">
        <v>213</v>
      </c>
      <c r="F71" s="12">
        <f>RANK(Table9[[#This Row],[Total Score]],Table9[[Gender]:[Total Score]],0)</f>
        <v>109</v>
      </c>
      <c r="G71" s="12" t="str">
        <f>_xlfn.XLOOKUP(Table9[[#This Row],[Total Score]],H:H,I:I,,-1)</f>
        <v>C-</v>
      </c>
    </row>
    <row r="72" spans="1:7" x14ac:dyDescent="0.35">
      <c r="A72" s="9" t="s">
        <v>17</v>
      </c>
      <c r="B72" s="12" t="s">
        <v>21</v>
      </c>
      <c r="C72" s="12" t="s">
        <v>20</v>
      </c>
      <c r="D72" s="12" t="s">
        <v>12</v>
      </c>
      <c r="E72" s="9">
        <v>252</v>
      </c>
      <c r="F72" s="12">
        <f>RANK(Table9[[#This Row],[Total Score]],Table9[[Gender]:[Total Score]],0)</f>
        <v>37</v>
      </c>
      <c r="G72" s="12" t="str">
        <f>_xlfn.XLOOKUP(Table9[[#This Row],[Total Score]],H:H,I:I,,-1)</f>
        <v>B+</v>
      </c>
    </row>
    <row r="73" spans="1:7" x14ac:dyDescent="0.35">
      <c r="A73" s="9" t="s">
        <v>8</v>
      </c>
      <c r="B73" s="12" t="s">
        <v>13</v>
      </c>
      <c r="C73" s="12" t="s">
        <v>11</v>
      </c>
      <c r="D73" s="12" t="s">
        <v>15</v>
      </c>
      <c r="E73" s="9">
        <v>232</v>
      </c>
      <c r="F73" s="12">
        <f>RANK(Table9[[#This Row],[Total Score]],Table9[[Gender]:[Total Score]],0)</f>
        <v>66</v>
      </c>
      <c r="G73" s="12" t="str">
        <f>_xlfn.XLOOKUP(Table9[[#This Row],[Total Score]],H:H,I:I,,-1)</f>
        <v>C-</v>
      </c>
    </row>
    <row r="74" spans="1:7" x14ac:dyDescent="0.35">
      <c r="A74" s="9" t="s">
        <v>17</v>
      </c>
      <c r="B74" s="12" t="s">
        <v>9</v>
      </c>
      <c r="C74" s="12" t="s">
        <v>11</v>
      </c>
      <c r="D74" s="12" t="s">
        <v>12</v>
      </c>
      <c r="E74" s="9">
        <v>220</v>
      </c>
      <c r="F74" s="12">
        <f>RANK(Table9[[#This Row],[Total Score]],Table9[[Gender]:[Total Score]],0)</f>
        <v>90</v>
      </c>
      <c r="G74" s="12" t="str">
        <f>_xlfn.XLOOKUP(Table9[[#This Row],[Total Score]],H:H,I:I,,-1)</f>
        <v>C-</v>
      </c>
    </row>
    <row r="75" spans="1:7" x14ac:dyDescent="0.35">
      <c r="A75" s="9" t="s">
        <v>8</v>
      </c>
      <c r="B75" s="12" t="s">
        <v>13</v>
      </c>
      <c r="C75" s="12" t="s">
        <v>11</v>
      </c>
      <c r="D75" s="12" t="s">
        <v>15</v>
      </c>
      <c r="E75" s="9">
        <v>232</v>
      </c>
      <c r="F75" s="12">
        <f>RANK(Table9[[#This Row],[Total Score]],Table9[[Gender]:[Total Score]],0)</f>
        <v>66</v>
      </c>
      <c r="G75" s="12" t="str">
        <f>_xlfn.XLOOKUP(Table9[[#This Row],[Total Score]],H:H,I:I,,-1)</f>
        <v>C-</v>
      </c>
    </row>
    <row r="76" spans="1:7" x14ac:dyDescent="0.35">
      <c r="A76" s="9" t="s">
        <v>8</v>
      </c>
      <c r="B76" s="12" t="s">
        <v>9</v>
      </c>
      <c r="C76" s="12" t="s">
        <v>20</v>
      </c>
      <c r="D76" s="12" t="s">
        <v>12</v>
      </c>
      <c r="E76" s="9">
        <v>191</v>
      </c>
      <c r="F76" s="12">
        <f>RANK(Table9[[#This Row],[Total Score]],Table9[[Gender]:[Total Score]],0)</f>
        <v>150</v>
      </c>
      <c r="G76" s="12" t="str">
        <f>_xlfn.XLOOKUP(Table9[[#This Row],[Total Score]],H:H,I:I,,-1)</f>
        <v>D-</v>
      </c>
    </row>
    <row r="77" spans="1:7" x14ac:dyDescent="0.35">
      <c r="A77" s="9" t="s">
        <v>8</v>
      </c>
      <c r="B77" s="12" t="s">
        <v>9</v>
      </c>
      <c r="C77" s="12" t="s">
        <v>11</v>
      </c>
      <c r="D77" s="12" t="s">
        <v>12</v>
      </c>
      <c r="E77" s="9">
        <v>229</v>
      </c>
      <c r="F77" s="12">
        <f>RANK(Table9[[#This Row],[Total Score]],Table9[[Gender]:[Total Score]],0)</f>
        <v>75</v>
      </c>
      <c r="G77" s="12" t="str">
        <f>_xlfn.XLOOKUP(Table9[[#This Row],[Total Score]],H:H,I:I,,-1)</f>
        <v>C-</v>
      </c>
    </row>
    <row r="78" spans="1:7" x14ac:dyDescent="0.35">
      <c r="A78" s="9" t="s">
        <v>8</v>
      </c>
      <c r="B78" s="12" t="s">
        <v>13</v>
      </c>
      <c r="C78" s="12" t="s">
        <v>20</v>
      </c>
      <c r="D78" s="12" t="s">
        <v>15</v>
      </c>
      <c r="E78" s="9">
        <v>204</v>
      </c>
      <c r="F78" s="12">
        <f>RANK(Table9[[#This Row],[Total Score]],Table9[[Gender]:[Total Score]],0)</f>
        <v>126</v>
      </c>
      <c r="G78" s="12" t="str">
        <f>_xlfn.XLOOKUP(Table9[[#This Row],[Total Score]],H:H,I:I,,-1)</f>
        <v>D-</v>
      </c>
    </row>
    <row r="79" spans="1:7" x14ac:dyDescent="0.35">
      <c r="A79" s="9" t="s">
        <v>17</v>
      </c>
      <c r="B79" s="12" t="s">
        <v>13</v>
      </c>
      <c r="C79" s="12" t="s">
        <v>11</v>
      </c>
      <c r="D79" s="12" t="s">
        <v>12</v>
      </c>
      <c r="E79" s="9">
        <v>233</v>
      </c>
      <c r="F79" s="12">
        <f>RANK(Table9[[#This Row],[Total Score]],Table9[[Gender]:[Total Score]],0)</f>
        <v>64</v>
      </c>
      <c r="G79" s="12" t="str">
        <f>_xlfn.XLOOKUP(Table9[[#This Row],[Total Score]],H:H,I:I,,-1)</f>
        <v>C-</v>
      </c>
    </row>
    <row r="80" spans="1:7" x14ac:dyDescent="0.35">
      <c r="A80" s="9" t="s">
        <v>8</v>
      </c>
      <c r="B80" s="12" t="s">
        <v>21</v>
      </c>
      <c r="C80" s="12" t="s">
        <v>20</v>
      </c>
      <c r="D80" s="12" t="s">
        <v>12</v>
      </c>
      <c r="E80" s="9">
        <v>184</v>
      </c>
      <c r="F80" s="12">
        <f>RANK(Table9[[#This Row],[Total Score]],Table9[[Gender]:[Total Score]],0)</f>
        <v>159</v>
      </c>
      <c r="G80" s="12" t="str">
        <f>_xlfn.XLOOKUP(Table9[[#This Row],[Total Score]],H:H,I:I,,-1)</f>
        <v>D-</v>
      </c>
    </row>
    <row r="81" spans="1:7" x14ac:dyDescent="0.35">
      <c r="A81" s="9" t="s">
        <v>17</v>
      </c>
      <c r="B81" s="12" t="s">
        <v>13</v>
      </c>
      <c r="C81" s="12" t="s">
        <v>11</v>
      </c>
      <c r="D81" s="12" t="s">
        <v>15</v>
      </c>
      <c r="E81" s="9">
        <v>234</v>
      </c>
      <c r="F81" s="12">
        <f>RANK(Table9[[#This Row],[Total Score]],Table9[[Gender]:[Total Score]],0)</f>
        <v>60</v>
      </c>
      <c r="G81" s="12" t="str">
        <f>_xlfn.XLOOKUP(Table9[[#This Row],[Total Score]],H:H,I:I,,-1)</f>
        <v>C-</v>
      </c>
    </row>
    <row r="82" spans="1:7" x14ac:dyDescent="0.35">
      <c r="A82" s="9" t="s">
        <v>17</v>
      </c>
      <c r="B82" s="12" t="s">
        <v>13</v>
      </c>
      <c r="C82" s="12" t="s">
        <v>11</v>
      </c>
      <c r="D82" s="12" t="s">
        <v>12</v>
      </c>
      <c r="E82" s="9">
        <v>119</v>
      </c>
      <c r="F82" s="12">
        <f>RANK(Table9[[#This Row],[Total Score]],Table9[[Gender]:[Total Score]],0)</f>
        <v>221</v>
      </c>
      <c r="G82" s="12" t="str">
        <f>_xlfn.XLOOKUP(Table9[[#This Row],[Total Score]],H:H,I:I,,-1)</f>
        <v>F</v>
      </c>
    </row>
    <row r="83" spans="1:7" x14ac:dyDescent="0.35">
      <c r="A83" s="9" t="s">
        <v>17</v>
      </c>
      <c r="B83" s="12" t="s">
        <v>24</v>
      </c>
      <c r="C83" s="12" t="s">
        <v>11</v>
      </c>
      <c r="D83" s="12" t="s">
        <v>15</v>
      </c>
      <c r="E83" s="9">
        <v>171</v>
      </c>
      <c r="F83" s="12">
        <f>RANK(Table9[[#This Row],[Total Score]],Table9[[Gender]:[Total Score]],0)</f>
        <v>174</v>
      </c>
      <c r="G83" s="12" t="str">
        <f>_xlfn.XLOOKUP(Table9[[#This Row],[Total Score]],H:H,I:I,,-1)</f>
        <v>F</v>
      </c>
    </row>
    <row r="84" spans="1:7" x14ac:dyDescent="0.35">
      <c r="A84" s="9" t="s">
        <v>17</v>
      </c>
      <c r="B84" s="12" t="s">
        <v>9</v>
      </c>
      <c r="C84" s="12" t="s">
        <v>11</v>
      </c>
      <c r="D84" s="12" t="s">
        <v>12</v>
      </c>
      <c r="E84" s="9">
        <v>249</v>
      </c>
      <c r="F84" s="12">
        <f>RANK(Table9[[#This Row],[Total Score]],Table9[[Gender]:[Total Score]],0)</f>
        <v>40</v>
      </c>
      <c r="G84" s="12" t="str">
        <f>_xlfn.XLOOKUP(Table9[[#This Row],[Total Score]],H:H,I:I,,-1)</f>
        <v>B+</v>
      </c>
    </row>
    <row r="85" spans="1:7" x14ac:dyDescent="0.35">
      <c r="A85" s="9" t="s">
        <v>17</v>
      </c>
      <c r="B85" s="12" t="s">
        <v>13</v>
      </c>
      <c r="C85" s="12" t="s">
        <v>11</v>
      </c>
      <c r="D85" s="12" t="s">
        <v>12</v>
      </c>
      <c r="E85" s="9">
        <v>143</v>
      </c>
      <c r="F85" s="12">
        <f>RANK(Table9[[#This Row],[Total Score]],Table9[[Gender]:[Total Score]],0)</f>
        <v>210</v>
      </c>
      <c r="G85" s="12" t="str">
        <f>_xlfn.XLOOKUP(Table9[[#This Row],[Total Score]],H:H,I:I,,-1)</f>
        <v>F</v>
      </c>
    </row>
    <row r="86" spans="1:7" x14ac:dyDescent="0.35">
      <c r="A86" s="9" t="s">
        <v>17</v>
      </c>
      <c r="B86" s="12" t="s">
        <v>21</v>
      </c>
      <c r="C86" s="12" t="s">
        <v>11</v>
      </c>
      <c r="D86" s="12" t="s">
        <v>15</v>
      </c>
      <c r="E86" s="9">
        <v>206</v>
      </c>
      <c r="F86" s="12">
        <f>RANK(Table9[[#This Row],[Total Score]],Table9[[Gender]:[Total Score]],0)</f>
        <v>119</v>
      </c>
      <c r="G86" s="12" t="str">
        <f>_xlfn.XLOOKUP(Table9[[#This Row],[Total Score]],H:H,I:I,,-1)</f>
        <v>D-</v>
      </c>
    </row>
    <row r="87" spans="1:7" x14ac:dyDescent="0.35">
      <c r="A87" s="9" t="s">
        <v>17</v>
      </c>
      <c r="B87" s="12" t="s">
        <v>24</v>
      </c>
      <c r="C87" s="12" t="s">
        <v>11</v>
      </c>
      <c r="D87" s="12" t="s">
        <v>12</v>
      </c>
      <c r="E87" s="9">
        <v>237</v>
      </c>
      <c r="F87" s="12">
        <f>RANK(Table9[[#This Row],[Total Score]],Table9[[Gender]:[Total Score]],0)</f>
        <v>56</v>
      </c>
      <c r="G87" s="12" t="str">
        <f>_xlfn.XLOOKUP(Table9[[#This Row],[Total Score]],H:H,I:I,,-1)</f>
        <v>C-</v>
      </c>
    </row>
    <row r="88" spans="1:7" x14ac:dyDescent="0.35">
      <c r="A88" s="9" t="s">
        <v>8</v>
      </c>
      <c r="B88" s="12" t="s">
        <v>13</v>
      </c>
      <c r="C88" s="12" t="s">
        <v>11</v>
      </c>
      <c r="D88" s="12" t="s">
        <v>12</v>
      </c>
      <c r="E88" s="9">
        <v>161</v>
      </c>
      <c r="F88" s="12">
        <f>RANK(Table9[[#This Row],[Total Score]],Table9[[Gender]:[Total Score]],0)</f>
        <v>188</v>
      </c>
      <c r="G88" s="12" t="str">
        <f>_xlfn.XLOOKUP(Table9[[#This Row],[Total Score]],H:H,I:I,,-1)</f>
        <v>F</v>
      </c>
    </row>
    <row r="89" spans="1:7" x14ac:dyDescent="0.35">
      <c r="A89" s="9" t="s">
        <v>17</v>
      </c>
      <c r="B89" s="12" t="s">
        <v>18</v>
      </c>
      <c r="C89" s="12" t="s">
        <v>11</v>
      </c>
      <c r="D89" s="12" t="s">
        <v>12</v>
      </c>
      <c r="E89" s="9">
        <v>185</v>
      </c>
      <c r="F89" s="12">
        <f>RANK(Table9[[#This Row],[Total Score]],Table9[[Gender]:[Total Score]],0)</f>
        <v>157</v>
      </c>
      <c r="G89" s="12" t="str">
        <f>_xlfn.XLOOKUP(Table9[[#This Row],[Total Score]],H:H,I:I,,-1)</f>
        <v>D-</v>
      </c>
    </row>
    <row r="90" spans="1:7" x14ac:dyDescent="0.35">
      <c r="A90" s="9" t="s">
        <v>17</v>
      </c>
      <c r="B90" s="12" t="s">
        <v>24</v>
      </c>
      <c r="C90" s="12" t="s">
        <v>20</v>
      </c>
      <c r="D90" s="12" t="s">
        <v>12</v>
      </c>
      <c r="E90" s="9">
        <v>130</v>
      </c>
      <c r="F90" s="12">
        <f>RANK(Table9[[#This Row],[Total Score]],Table9[[Gender]:[Total Score]],0)</f>
        <v>219</v>
      </c>
      <c r="G90" s="12" t="str">
        <f>_xlfn.XLOOKUP(Table9[[#This Row],[Total Score]],H:H,I:I,,-1)</f>
        <v>F</v>
      </c>
    </row>
    <row r="91" spans="1:7" x14ac:dyDescent="0.35">
      <c r="A91" s="9" t="s">
        <v>8</v>
      </c>
      <c r="B91" s="12" t="s">
        <v>9</v>
      </c>
      <c r="C91" s="12" t="s">
        <v>11</v>
      </c>
      <c r="D91" s="12" t="s">
        <v>12</v>
      </c>
      <c r="E91" s="9">
        <v>249</v>
      </c>
      <c r="F91" s="12">
        <f>RANK(Table9[[#This Row],[Total Score]],Table9[[Gender]:[Total Score]],0)</f>
        <v>40</v>
      </c>
      <c r="G91" s="12" t="str">
        <f>_xlfn.XLOOKUP(Table9[[#This Row],[Total Score]],H:H,I:I,,-1)</f>
        <v>B+</v>
      </c>
    </row>
    <row r="92" spans="1:7" x14ac:dyDescent="0.35">
      <c r="A92" s="9" t="s">
        <v>17</v>
      </c>
      <c r="B92" s="12" t="s">
        <v>13</v>
      </c>
      <c r="C92" s="12" t="s">
        <v>11</v>
      </c>
      <c r="D92" s="12" t="s">
        <v>15</v>
      </c>
      <c r="E92" s="9">
        <v>282</v>
      </c>
      <c r="F92" s="12">
        <f>RANK(Table9[[#This Row],[Total Score]],Table9[[Gender]:[Total Score]],0)</f>
        <v>5</v>
      </c>
      <c r="G92" s="12" t="str">
        <f>_xlfn.XLOOKUP(Table9[[#This Row],[Total Score]],H:H,I:I,,-1)</f>
        <v>A+</v>
      </c>
    </row>
    <row r="93" spans="1:7" x14ac:dyDescent="0.35">
      <c r="A93" s="9" t="s">
        <v>8</v>
      </c>
      <c r="B93" s="12" t="s">
        <v>13</v>
      </c>
      <c r="C93" s="12" t="s">
        <v>20</v>
      </c>
      <c r="D93" s="12" t="s">
        <v>12</v>
      </c>
      <c r="E93" s="9">
        <v>202</v>
      </c>
      <c r="F93" s="12">
        <f>RANK(Table9[[#This Row],[Total Score]],Table9[[Gender]:[Total Score]],0)</f>
        <v>129</v>
      </c>
      <c r="G93" s="12" t="str">
        <f>_xlfn.XLOOKUP(Table9[[#This Row],[Total Score]],H:H,I:I,,-1)</f>
        <v>D-</v>
      </c>
    </row>
    <row r="94" spans="1:7" x14ac:dyDescent="0.35">
      <c r="A94" s="9" t="s">
        <v>17</v>
      </c>
      <c r="B94" s="12" t="s">
        <v>13</v>
      </c>
      <c r="C94" s="12" t="s">
        <v>11</v>
      </c>
      <c r="D94" s="12" t="s">
        <v>15</v>
      </c>
      <c r="E94" s="9">
        <v>167</v>
      </c>
      <c r="F94" s="12">
        <f>RANK(Table9[[#This Row],[Total Score]],Table9[[Gender]:[Total Score]],0)</f>
        <v>181</v>
      </c>
      <c r="G94" s="12" t="str">
        <f>_xlfn.XLOOKUP(Table9[[#This Row],[Total Score]],H:H,I:I,,-1)</f>
        <v>F</v>
      </c>
    </row>
    <row r="95" spans="1:7" x14ac:dyDescent="0.35">
      <c r="A95" s="9" t="s">
        <v>8</v>
      </c>
      <c r="B95" s="12" t="s">
        <v>13</v>
      </c>
      <c r="C95" s="12" t="s">
        <v>11</v>
      </c>
      <c r="D95" s="12" t="s">
        <v>12</v>
      </c>
      <c r="E95" s="9">
        <v>269</v>
      </c>
      <c r="F95" s="12">
        <f>RANK(Table9[[#This Row],[Total Score]],Table9[[Gender]:[Total Score]],0)</f>
        <v>17</v>
      </c>
      <c r="G95" s="12" t="str">
        <f>_xlfn.XLOOKUP(Table9[[#This Row],[Total Score]],H:H,I:I,,-1)</f>
        <v>B+</v>
      </c>
    </row>
    <row r="96" spans="1:7" x14ac:dyDescent="0.35">
      <c r="A96" s="9" t="s">
        <v>17</v>
      </c>
      <c r="B96" s="12" t="s">
        <v>9</v>
      </c>
      <c r="C96" s="12" t="s">
        <v>11</v>
      </c>
      <c r="D96" s="12" t="s">
        <v>15</v>
      </c>
      <c r="E96" s="9">
        <v>193</v>
      </c>
      <c r="F96" s="12">
        <f>RANK(Table9[[#This Row],[Total Score]],Table9[[Gender]:[Total Score]],0)</f>
        <v>145</v>
      </c>
      <c r="G96" s="12" t="str">
        <f>_xlfn.XLOOKUP(Table9[[#This Row],[Total Score]],H:H,I:I,,-1)</f>
        <v>D-</v>
      </c>
    </row>
    <row r="97" spans="1:7" x14ac:dyDescent="0.35">
      <c r="A97" s="9" t="s">
        <v>8</v>
      </c>
      <c r="B97" s="12" t="s">
        <v>9</v>
      </c>
      <c r="C97" s="12" t="s">
        <v>11</v>
      </c>
      <c r="D97" s="12" t="s">
        <v>12</v>
      </c>
      <c r="E97" s="9">
        <v>239</v>
      </c>
      <c r="F97" s="12">
        <f>RANK(Table9[[#This Row],[Total Score]],Table9[[Gender]:[Total Score]],0)</f>
        <v>52</v>
      </c>
      <c r="G97" s="12" t="str">
        <f>_xlfn.XLOOKUP(Table9[[#This Row],[Total Score]],H:H,I:I,,-1)</f>
        <v>C-</v>
      </c>
    </row>
    <row r="98" spans="1:7" x14ac:dyDescent="0.35">
      <c r="A98" s="9" t="s">
        <v>17</v>
      </c>
      <c r="B98" s="12" t="s">
        <v>21</v>
      </c>
      <c r="C98" s="12" t="s">
        <v>11</v>
      </c>
      <c r="D98" s="12" t="s">
        <v>15</v>
      </c>
      <c r="E98" s="9">
        <v>256</v>
      </c>
      <c r="F98" s="12">
        <f>RANK(Table9[[#This Row],[Total Score]],Table9[[Gender]:[Total Score]],0)</f>
        <v>33</v>
      </c>
      <c r="G98" s="12" t="str">
        <f>_xlfn.XLOOKUP(Table9[[#This Row],[Total Score]],H:H,I:I,,-1)</f>
        <v>B+</v>
      </c>
    </row>
    <row r="99" spans="1:7" x14ac:dyDescent="0.35">
      <c r="A99" s="9" t="s">
        <v>17</v>
      </c>
      <c r="B99" s="12" t="s">
        <v>21</v>
      </c>
      <c r="C99" s="12" t="s">
        <v>11</v>
      </c>
      <c r="D99" s="12" t="s">
        <v>12</v>
      </c>
      <c r="E99" s="9">
        <v>197</v>
      </c>
      <c r="F99" s="12">
        <f>RANK(Table9[[#This Row],[Total Score]],Table9[[Gender]:[Total Score]],0)</f>
        <v>138</v>
      </c>
      <c r="G99" s="12" t="str">
        <f>_xlfn.XLOOKUP(Table9[[#This Row],[Total Score]],H:H,I:I,,-1)</f>
        <v>D-</v>
      </c>
    </row>
    <row r="100" spans="1:7" x14ac:dyDescent="0.35">
      <c r="A100" s="9" t="s">
        <v>17</v>
      </c>
      <c r="B100" s="12" t="s">
        <v>13</v>
      </c>
      <c r="C100" s="12" t="s">
        <v>11</v>
      </c>
      <c r="D100" s="12" t="s">
        <v>12</v>
      </c>
      <c r="E100" s="9">
        <v>214</v>
      </c>
      <c r="F100" s="12">
        <f>RANK(Table9[[#This Row],[Total Score]],Table9[[Gender]:[Total Score]],0)</f>
        <v>101</v>
      </c>
      <c r="G100" s="12" t="str">
        <f>_xlfn.XLOOKUP(Table9[[#This Row],[Total Score]],H:H,I:I,,-1)</f>
        <v>C-</v>
      </c>
    </row>
    <row r="101" spans="1:7" x14ac:dyDescent="0.35">
      <c r="A101" s="9" t="s">
        <v>8</v>
      </c>
      <c r="B101" s="12" t="s">
        <v>13</v>
      </c>
      <c r="C101" s="12" t="s">
        <v>20</v>
      </c>
      <c r="D101" s="12" t="s">
        <v>15</v>
      </c>
      <c r="E101" s="9">
        <v>268</v>
      </c>
      <c r="F101" s="12">
        <f>RANK(Table9[[#This Row],[Total Score]],Table9[[Gender]:[Total Score]],0)</f>
        <v>18</v>
      </c>
      <c r="G101" s="12" t="str">
        <f>_xlfn.XLOOKUP(Table9[[#This Row],[Total Score]],H:H,I:I,,-1)</f>
        <v>B+</v>
      </c>
    </row>
    <row r="102" spans="1:7" x14ac:dyDescent="0.35">
      <c r="A102" s="9" t="s">
        <v>17</v>
      </c>
      <c r="B102" s="12" t="s">
        <v>13</v>
      </c>
      <c r="C102" s="12" t="s">
        <v>20</v>
      </c>
      <c r="D102" s="12" t="s">
        <v>12</v>
      </c>
      <c r="E102" s="9">
        <v>189</v>
      </c>
      <c r="F102" s="12">
        <f>RANK(Table9[[#This Row],[Total Score]],Table9[[Gender]:[Total Score]],0)</f>
        <v>154</v>
      </c>
      <c r="G102" s="12" t="str">
        <f>_xlfn.XLOOKUP(Table9[[#This Row],[Total Score]],H:H,I:I,,-1)</f>
        <v>D-</v>
      </c>
    </row>
    <row r="103" spans="1:7" x14ac:dyDescent="0.35">
      <c r="A103" s="9" t="s">
        <v>17</v>
      </c>
      <c r="B103" s="12" t="s">
        <v>21</v>
      </c>
      <c r="C103" s="12" t="s">
        <v>11</v>
      </c>
      <c r="D103" s="12" t="s">
        <v>12</v>
      </c>
      <c r="E103" s="9">
        <v>207</v>
      </c>
      <c r="F103" s="12">
        <f>RANK(Table9[[#This Row],[Total Score]],Table9[[Gender]:[Total Score]],0)</f>
        <v>115</v>
      </c>
      <c r="G103" s="12" t="str">
        <f>_xlfn.XLOOKUP(Table9[[#This Row],[Total Score]],H:H,I:I,,-1)</f>
        <v>D-</v>
      </c>
    </row>
    <row r="104" spans="1:7" x14ac:dyDescent="0.35">
      <c r="A104" s="9" t="s">
        <v>17</v>
      </c>
      <c r="B104" s="12" t="s">
        <v>21</v>
      </c>
      <c r="C104" s="12" t="s">
        <v>20</v>
      </c>
      <c r="D104" s="12" t="s">
        <v>12</v>
      </c>
      <c r="E104" s="9">
        <v>214</v>
      </c>
      <c r="F104" s="12">
        <f>RANK(Table9[[#This Row],[Total Score]],Table9[[Gender]:[Total Score]],0)</f>
        <v>101</v>
      </c>
      <c r="G104" s="12" t="str">
        <f>_xlfn.XLOOKUP(Table9[[#This Row],[Total Score]],H:H,I:I,,-1)</f>
        <v>C-</v>
      </c>
    </row>
    <row r="105" spans="1:7" x14ac:dyDescent="0.35">
      <c r="A105" s="9" t="s">
        <v>8</v>
      </c>
      <c r="B105" s="12" t="s">
        <v>9</v>
      </c>
      <c r="C105" s="12" t="s">
        <v>11</v>
      </c>
      <c r="D105" s="12" t="s">
        <v>12</v>
      </c>
      <c r="E105" s="9">
        <v>232</v>
      </c>
      <c r="F105" s="12">
        <f>RANK(Table9[[#This Row],[Total Score]],Table9[[Gender]:[Total Score]],0)</f>
        <v>66</v>
      </c>
      <c r="G105" s="12" t="str">
        <f>_xlfn.XLOOKUP(Table9[[#This Row],[Total Score]],H:H,I:I,,-1)</f>
        <v>C-</v>
      </c>
    </row>
    <row r="106" spans="1:7" x14ac:dyDescent="0.35">
      <c r="A106" s="9" t="s">
        <v>17</v>
      </c>
      <c r="B106" s="12" t="s">
        <v>9</v>
      </c>
      <c r="C106" s="12" t="s">
        <v>11</v>
      </c>
      <c r="D106" s="12" t="s">
        <v>12</v>
      </c>
      <c r="E106" s="9">
        <v>226</v>
      </c>
      <c r="F106" s="12">
        <f>RANK(Table9[[#This Row],[Total Score]],Table9[[Gender]:[Total Score]],0)</f>
        <v>80</v>
      </c>
      <c r="G106" s="12" t="str">
        <f>_xlfn.XLOOKUP(Table9[[#This Row],[Total Score]],H:H,I:I,,-1)</f>
        <v>C-</v>
      </c>
    </row>
    <row r="107" spans="1:7" x14ac:dyDescent="0.35">
      <c r="A107" s="9" t="s">
        <v>8</v>
      </c>
      <c r="B107" s="12" t="s">
        <v>13</v>
      </c>
      <c r="C107" s="12" t="s">
        <v>20</v>
      </c>
      <c r="D107" s="12" t="s">
        <v>12</v>
      </c>
      <c r="E107" s="9">
        <v>216</v>
      </c>
      <c r="F107" s="12">
        <f>RANK(Table9[[#This Row],[Total Score]],Table9[[Gender]:[Total Score]],0)</f>
        <v>96</v>
      </c>
      <c r="G107" s="12" t="str">
        <f>_xlfn.XLOOKUP(Table9[[#This Row],[Total Score]],H:H,I:I,,-1)</f>
        <v>C-</v>
      </c>
    </row>
    <row r="108" spans="1:7" x14ac:dyDescent="0.35">
      <c r="A108" s="9" t="s">
        <v>8</v>
      </c>
      <c r="B108" s="12" t="s">
        <v>13</v>
      </c>
      <c r="C108" s="12" t="s">
        <v>20</v>
      </c>
      <c r="D108" s="12" t="s">
        <v>12</v>
      </c>
      <c r="E108" s="9">
        <v>176</v>
      </c>
      <c r="F108" s="12">
        <f>RANK(Table9[[#This Row],[Total Score]],Table9[[Gender]:[Total Score]],0)</f>
        <v>166</v>
      </c>
      <c r="G108" s="12" t="str">
        <f>_xlfn.XLOOKUP(Table9[[#This Row],[Total Score]],H:H,I:I,,-1)</f>
        <v>F</v>
      </c>
    </row>
    <row r="109" spans="1:7" x14ac:dyDescent="0.35">
      <c r="A109" s="9" t="s">
        <v>17</v>
      </c>
      <c r="B109" s="12" t="s">
        <v>21</v>
      </c>
      <c r="C109" s="12" t="s">
        <v>20</v>
      </c>
      <c r="D109" s="12" t="s">
        <v>12</v>
      </c>
      <c r="E109" s="9">
        <v>155</v>
      </c>
      <c r="F109" s="12">
        <f>RANK(Table9[[#This Row],[Total Score]],Table9[[Gender]:[Total Score]],0)</f>
        <v>198</v>
      </c>
      <c r="G109" s="12" t="str">
        <f>_xlfn.XLOOKUP(Table9[[#This Row],[Total Score]],H:H,I:I,,-1)</f>
        <v>F</v>
      </c>
    </row>
    <row r="110" spans="1:7" x14ac:dyDescent="0.35">
      <c r="A110" s="9" t="s">
        <v>8</v>
      </c>
      <c r="B110" s="12" t="s">
        <v>21</v>
      </c>
      <c r="C110" s="12" t="s">
        <v>20</v>
      </c>
      <c r="D110" s="12" t="s">
        <v>12</v>
      </c>
      <c r="E110" s="9">
        <v>95</v>
      </c>
      <c r="F110" s="12">
        <f>RANK(Table9[[#This Row],[Total Score]],Table9[[Gender]:[Total Score]],0)</f>
        <v>222</v>
      </c>
      <c r="G110" s="12" t="str">
        <f>_xlfn.XLOOKUP(Table9[[#This Row],[Total Score]],H:H,I:I,,-1)</f>
        <v>F</v>
      </c>
    </row>
    <row r="111" spans="1:7" x14ac:dyDescent="0.35">
      <c r="A111" s="9" t="s">
        <v>8</v>
      </c>
      <c r="B111" s="12" t="s">
        <v>13</v>
      </c>
      <c r="C111" s="12" t="s">
        <v>11</v>
      </c>
      <c r="D111" s="12" t="s">
        <v>15</v>
      </c>
      <c r="E111" s="9">
        <v>258</v>
      </c>
      <c r="F111" s="12">
        <f>RANK(Table9[[#This Row],[Total Score]],Table9[[Gender]:[Total Score]],0)</f>
        <v>30</v>
      </c>
      <c r="G111" s="12" t="str">
        <f>_xlfn.XLOOKUP(Table9[[#This Row],[Total Score]],H:H,I:I,,-1)</f>
        <v>B+</v>
      </c>
    </row>
    <row r="112" spans="1:7" x14ac:dyDescent="0.35">
      <c r="A112" s="9" t="s">
        <v>8</v>
      </c>
      <c r="B112" s="12" t="s">
        <v>13</v>
      </c>
      <c r="C112" s="12" t="s">
        <v>11</v>
      </c>
      <c r="D112" s="12" t="s">
        <v>15</v>
      </c>
      <c r="E112" s="9">
        <v>238</v>
      </c>
      <c r="F112" s="12">
        <f>RANK(Table9[[#This Row],[Total Score]],Table9[[Gender]:[Total Score]],0)</f>
        <v>54</v>
      </c>
      <c r="G112" s="12" t="str">
        <f>_xlfn.XLOOKUP(Table9[[#This Row],[Total Score]],H:H,I:I,,-1)</f>
        <v>C-</v>
      </c>
    </row>
    <row r="113" spans="1:7" x14ac:dyDescent="0.35">
      <c r="A113" s="9" t="s">
        <v>8</v>
      </c>
      <c r="B113" s="12" t="s">
        <v>9</v>
      </c>
      <c r="C113" s="12" t="s">
        <v>11</v>
      </c>
      <c r="D113" s="12" t="s">
        <v>15</v>
      </c>
      <c r="E113" s="9">
        <v>271</v>
      </c>
      <c r="F113" s="12">
        <f>RANK(Table9[[#This Row],[Total Score]],Table9[[Gender]:[Total Score]],0)</f>
        <v>15</v>
      </c>
      <c r="G113" s="12" t="str">
        <f>_xlfn.XLOOKUP(Table9[[#This Row],[Total Score]],H:H,I:I,,-1)</f>
        <v>A+</v>
      </c>
    </row>
    <row r="114" spans="1:7" x14ac:dyDescent="0.35">
      <c r="A114" s="9" t="s">
        <v>17</v>
      </c>
      <c r="B114" s="12" t="s">
        <v>21</v>
      </c>
      <c r="C114" s="12" t="s">
        <v>11</v>
      </c>
      <c r="D114" s="12" t="s">
        <v>12</v>
      </c>
      <c r="E114" s="9">
        <v>220</v>
      </c>
      <c r="F114" s="12">
        <f>RANK(Table9[[#This Row],[Total Score]],Table9[[Gender]:[Total Score]],0)</f>
        <v>90</v>
      </c>
      <c r="G114" s="12" t="str">
        <f>_xlfn.XLOOKUP(Table9[[#This Row],[Total Score]],H:H,I:I,,-1)</f>
        <v>C-</v>
      </c>
    </row>
    <row r="115" spans="1:7" x14ac:dyDescent="0.35">
      <c r="A115" s="9" t="s">
        <v>17</v>
      </c>
      <c r="B115" s="12" t="s">
        <v>24</v>
      </c>
      <c r="C115" s="12" t="s">
        <v>11</v>
      </c>
      <c r="D115" s="12" t="s">
        <v>12</v>
      </c>
      <c r="E115" s="9">
        <v>214</v>
      </c>
      <c r="F115" s="12">
        <f>RANK(Table9[[#This Row],[Total Score]],Table9[[Gender]:[Total Score]],0)</f>
        <v>101</v>
      </c>
      <c r="G115" s="12" t="str">
        <f>_xlfn.XLOOKUP(Table9[[#This Row],[Total Score]],H:H,I:I,,-1)</f>
        <v>C-</v>
      </c>
    </row>
    <row r="116" spans="1:7" x14ac:dyDescent="0.35">
      <c r="A116" s="9" t="s">
        <v>8</v>
      </c>
      <c r="B116" s="12" t="s">
        <v>21</v>
      </c>
      <c r="C116" s="12" t="s">
        <v>20</v>
      </c>
      <c r="D116" s="12" t="s">
        <v>12</v>
      </c>
      <c r="E116" s="9">
        <v>167</v>
      </c>
      <c r="F116" s="12">
        <f>RANK(Table9[[#This Row],[Total Score]],Table9[[Gender]:[Total Score]],0)</f>
        <v>181</v>
      </c>
      <c r="G116" s="12" t="str">
        <f>_xlfn.XLOOKUP(Table9[[#This Row],[Total Score]],H:H,I:I,,-1)</f>
        <v>F</v>
      </c>
    </row>
    <row r="117" spans="1:7" x14ac:dyDescent="0.35">
      <c r="A117" s="9" t="s">
        <v>8</v>
      </c>
      <c r="B117" s="12" t="s">
        <v>9</v>
      </c>
      <c r="C117" s="12" t="s">
        <v>11</v>
      </c>
      <c r="D117" s="12" t="s">
        <v>12</v>
      </c>
      <c r="E117" s="9">
        <v>155</v>
      </c>
      <c r="F117" s="12">
        <f>RANK(Table9[[#This Row],[Total Score]],Table9[[Gender]:[Total Score]],0)</f>
        <v>198</v>
      </c>
      <c r="G117" s="12" t="str">
        <f>_xlfn.XLOOKUP(Table9[[#This Row],[Total Score]],H:H,I:I,,-1)</f>
        <v>F</v>
      </c>
    </row>
    <row r="118" spans="1:7" x14ac:dyDescent="0.35">
      <c r="A118" s="9" t="s">
        <v>8</v>
      </c>
      <c r="B118" s="12" t="s">
        <v>13</v>
      </c>
      <c r="C118" s="12" t="s">
        <v>20</v>
      </c>
      <c r="D118" s="12" t="s">
        <v>12</v>
      </c>
      <c r="E118" s="9">
        <v>209</v>
      </c>
      <c r="F118" s="12">
        <f>RANK(Table9[[#This Row],[Total Score]],Table9[[Gender]:[Total Score]],0)</f>
        <v>111</v>
      </c>
      <c r="G118" s="12" t="str">
        <f>_xlfn.XLOOKUP(Table9[[#This Row],[Total Score]],H:H,I:I,,-1)</f>
        <v>D-</v>
      </c>
    </row>
    <row r="119" spans="1:7" x14ac:dyDescent="0.35">
      <c r="A119" s="9" t="s">
        <v>17</v>
      </c>
      <c r="B119" s="12" t="s">
        <v>18</v>
      </c>
      <c r="C119" s="12" t="s">
        <v>20</v>
      </c>
      <c r="D119" s="12" t="s">
        <v>15</v>
      </c>
      <c r="E119" s="9">
        <v>243</v>
      </c>
      <c r="F119" s="12">
        <f>RANK(Table9[[#This Row],[Total Score]],Table9[[Gender]:[Total Score]],0)</f>
        <v>48</v>
      </c>
      <c r="G119" s="12" t="str">
        <f>_xlfn.XLOOKUP(Table9[[#This Row],[Total Score]],H:H,I:I,,-1)</f>
        <v>B+</v>
      </c>
    </row>
    <row r="120" spans="1:7" x14ac:dyDescent="0.35">
      <c r="A120" s="9" t="s">
        <v>8</v>
      </c>
      <c r="B120" s="12" t="s">
        <v>18</v>
      </c>
      <c r="C120" s="12" t="s">
        <v>20</v>
      </c>
      <c r="D120" s="12" t="s">
        <v>12</v>
      </c>
      <c r="E120" s="9">
        <v>226</v>
      </c>
      <c r="F120" s="12">
        <f>RANK(Table9[[#This Row],[Total Score]],Table9[[Gender]:[Total Score]],0)</f>
        <v>80</v>
      </c>
      <c r="G120" s="12" t="str">
        <f>_xlfn.XLOOKUP(Table9[[#This Row],[Total Score]],H:H,I:I,,-1)</f>
        <v>C-</v>
      </c>
    </row>
    <row r="121" spans="1:7" x14ac:dyDescent="0.35">
      <c r="A121" s="9" t="s">
        <v>8</v>
      </c>
      <c r="B121" s="12" t="s">
        <v>13</v>
      </c>
      <c r="C121" s="12" t="s">
        <v>11</v>
      </c>
      <c r="D121" s="12" t="s">
        <v>12</v>
      </c>
      <c r="E121" s="9">
        <v>198</v>
      </c>
      <c r="F121" s="12">
        <f>RANK(Table9[[#This Row],[Total Score]],Table9[[Gender]:[Total Score]],0)</f>
        <v>135</v>
      </c>
      <c r="G121" s="12" t="str">
        <f>_xlfn.XLOOKUP(Table9[[#This Row],[Total Score]],H:H,I:I,,-1)</f>
        <v>D-</v>
      </c>
    </row>
    <row r="122" spans="1:7" x14ac:dyDescent="0.35">
      <c r="A122" s="9" t="s">
        <v>8</v>
      </c>
      <c r="B122" s="12" t="s">
        <v>9</v>
      </c>
      <c r="C122" s="12" t="s">
        <v>11</v>
      </c>
      <c r="D122" s="12" t="s">
        <v>15</v>
      </c>
      <c r="E122" s="9">
        <v>273</v>
      </c>
      <c r="F122" s="12">
        <f>RANK(Table9[[#This Row],[Total Score]],Table9[[Gender]:[Total Score]],0)</f>
        <v>13</v>
      </c>
      <c r="G122" s="12" t="str">
        <f>_xlfn.XLOOKUP(Table9[[#This Row],[Total Score]],H:H,I:I,,-1)</f>
        <v>A+</v>
      </c>
    </row>
    <row r="123" spans="1:7" x14ac:dyDescent="0.35">
      <c r="A123" s="9" t="s">
        <v>8</v>
      </c>
      <c r="B123" s="12" t="s">
        <v>24</v>
      </c>
      <c r="C123" s="12" t="s">
        <v>11</v>
      </c>
      <c r="D123" s="12" t="s">
        <v>15</v>
      </c>
      <c r="E123" s="9">
        <v>276</v>
      </c>
      <c r="F123" s="12">
        <f>RANK(Table9[[#This Row],[Total Score]],Table9[[Gender]:[Total Score]],0)</f>
        <v>8</v>
      </c>
      <c r="G123" s="12" t="str">
        <f>_xlfn.XLOOKUP(Table9[[#This Row],[Total Score]],H:H,I:I,,-1)</f>
        <v>A+</v>
      </c>
    </row>
    <row r="124" spans="1:7" x14ac:dyDescent="0.35">
      <c r="A124" s="9" t="s">
        <v>8</v>
      </c>
      <c r="B124" s="12" t="s">
        <v>13</v>
      </c>
      <c r="C124" s="12" t="s">
        <v>11</v>
      </c>
      <c r="D124" s="12" t="s">
        <v>12</v>
      </c>
      <c r="E124" s="9">
        <v>261</v>
      </c>
      <c r="F124" s="12">
        <f>RANK(Table9[[#This Row],[Total Score]],Table9[[Gender]:[Total Score]],0)</f>
        <v>27</v>
      </c>
      <c r="G124" s="12" t="str">
        <f>_xlfn.XLOOKUP(Table9[[#This Row],[Total Score]],H:H,I:I,,-1)</f>
        <v>B+</v>
      </c>
    </row>
    <row r="125" spans="1:7" x14ac:dyDescent="0.35">
      <c r="A125" s="9" t="s">
        <v>8</v>
      </c>
      <c r="B125" s="12" t="s">
        <v>13</v>
      </c>
      <c r="C125" s="12" t="s">
        <v>11</v>
      </c>
      <c r="D125" s="12" t="s">
        <v>12</v>
      </c>
      <c r="E125" s="9">
        <v>206</v>
      </c>
      <c r="F125" s="12">
        <f>RANK(Table9[[#This Row],[Total Score]],Table9[[Gender]:[Total Score]],0)</f>
        <v>119</v>
      </c>
      <c r="G125" s="12" t="str">
        <f>_xlfn.XLOOKUP(Table9[[#This Row],[Total Score]],H:H,I:I,,-1)</f>
        <v>D-</v>
      </c>
    </row>
    <row r="126" spans="1:7" x14ac:dyDescent="0.35">
      <c r="A126" s="9" t="s">
        <v>8</v>
      </c>
      <c r="B126" s="12" t="s">
        <v>13</v>
      </c>
      <c r="C126" s="12" t="s">
        <v>11</v>
      </c>
      <c r="D126" s="12" t="s">
        <v>15</v>
      </c>
      <c r="E126" s="9">
        <v>208</v>
      </c>
      <c r="F126" s="12">
        <f>RANK(Table9[[#This Row],[Total Score]],Table9[[Gender]:[Total Score]],0)</f>
        <v>113</v>
      </c>
      <c r="G126" s="12" t="str">
        <f>_xlfn.XLOOKUP(Table9[[#This Row],[Total Score]],H:H,I:I,,-1)</f>
        <v>D-</v>
      </c>
    </row>
    <row r="127" spans="1:7" x14ac:dyDescent="0.35">
      <c r="A127" s="9" t="s">
        <v>17</v>
      </c>
      <c r="B127" s="12" t="s">
        <v>24</v>
      </c>
      <c r="C127" s="12" t="s">
        <v>11</v>
      </c>
      <c r="D127" s="12" t="s">
        <v>15</v>
      </c>
      <c r="E127" s="9">
        <v>181</v>
      </c>
      <c r="F127" s="12">
        <f>RANK(Table9[[#This Row],[Total Score]],Table9[[Gender]:[Total Score]],0)</f>
        <v>163</v>
      </c>
      <c r="G127" s="12" t="str">
        <f>_xlfn.XLOOKUP(Table9[[#This Row],[Total Score]],H:H,I:I,,-1)</f>
        <v>D-</v>
      </c>
    </row>
    <row r="128" spans="1:7" x14ac:dyDescent="0.35">
      <c r="A128" s="9" t="s">
        <v>8</v>
      </c>
      <c r="B128" s="12" t="s">
        <v>24</v>
      </c>
      <c r="C128" s="12" t="s">
        <v>11</v>
      </c>
      <c r="D128" s="12" t="s">
        <v>15</v>
      </c>
      <c r="E128" s="9">
        <v>261</v>
      </c>
      <c r="F128" s="12">
        <f>RANK(Table9[[#This Row],[Total Score]],Table9[[Gender]:[Total Score]],0)</f>
        <v>27</v>
      </c>
      <c r="G128" s="12" t="str">
        <f>_xlfn.XLOOKUP(Table9[[#This Row],[Total Score]],H:H,I:I,,-1)</f>
        <v>B+</v>
      </c>
    </row>
    <row r="129" spans="1:7" x14ac:dyDescent="0.35">
      <c r="A129" s="9" t="s">
        <v>17</v>
      </c>
      <c r="B129" s="12" t="s">
        <v>13</v>
      </c>
      <c r="C129" s="12" t="s">
        <v>11</v>
      </c>
      <c r="D129" s="12" t="s">
        <v>15</v>
      </c>
      <c r="E129" s="9">
        <v>169</v>
      </c>
      <c r="F129" s="12">
        <f>RANK(Table9[[#This Row],[Total Score]],Table9[[Gender]:[Total Score]],0)</f>
        <v>177</v>
      </c>
      <c r="G129" s="12" t="str">
        <f>_xlfn.XLOOKUP(Table9[[#This Row],[Total Score]],H:H,I:I,,-1)</f>
        <v>F</v>
      </c>
    </row>
    <row r="130" spans="1:7" x14ac:dyDescent="0.35">
      <c r="A130" s="9" t="s">
        <v>17</v>
      </c>
      <c r="B130" s="12" t="s">
        <v>18</v>
      </c>
      <c r="C130" s="12" t="s">
        <v>11</v>
      </c>
      <c r="D130" s="12" t="s">
        <v>15</v>
      </c>
      <c r="E130" s="9">
        <v>275</v>
      </c>
      <c r="F130" s="12">
        <f>RANK(Table9[[#This Row],[Total Score]],Table9[[Gender]:[Total Score]],0)</f>
        <v>10</v>
      </c>
      <c r="G130" s="12" t="str">
        <f>_xlfn.XLOOKUP(Table9[[#This Row],[Total Score]],H:H,I:I,,-1)</f>
        <v>A+</v>
      </c>
    </row>
    <row r="131" spans="1:7" x14ac:dyDescent="0.35">
      <c r="A131" s="9" t="s">
        <v>17</v>
      </c>
      <c r="B131" s="12" t="s">
        <v>21</v>
      </c>
      <c r="C131" s="12" t="s">
        <v>20</v>
      </c>
      <c r="D131" s="12" t="s">
        <v>15</v>
      </c>
      <c r="E131" s="9">
        <v>241</v>
      </c>
      <c r="F131" s="12">
        <f>RANK(Table9[[#This Row],[Total Score]],Table9[[Gender]:[Total Score]],0)</f>
        <v>49</v>
      </c>
      <c r="G131" s="12" t="str">
        <f>_xlfn.XLOOKUP(Table9[[#This Row],[Total Score]],H:H,I:I,,-1)</f>
        <v>B+</v>
      </c>
    </row>
    <row r="132" spans="1:7" x14ac:dyDescent="0.35">
      <c r="A132" s="9" t="s">
        <v>8</v>
      </c>
      <c r="B132" s="12" t="s">
        <v>13</v>
      </c>
      <c r="C132" s="12" t="s">
        <v>11</v>
      </c>
      <c r="D132" s="12" t="s">
        <v>12</v>
      </c>
      <c r="E132" s="9">
        <v>237</v>
      </c>
      <c r="F132" s="12">
        <f>RANK(Table9[[#This Row],[Total Score]],Table9[[Gender]:[Total Score]],0)</f>
        <v>56</v>
      </c>
      <c r="G132" s="12" t="str">
        <f>_xlfn.XLOOKUP(Table9[[#This Row],[Total Score]],H:H,I:I,,-1)</f>
        <v>C-</v>
      </c>
    </row>
    <row r="133" spans="1:7" x14ac:dyDescent="0.35">
      <c r="A133" s="9" t="s">
        <v>8</v>
      </c>
      <c r="B133" s="12" t="s">
        <v>21</v>
      </c>
      <c r="C133" s="12" t="s">
        <v>11</v>
      </c>
      <c r="D133" s="12" t="s">
        <v>12</v>
      </c>
      <c r="E133" s="9">
        <v>266</v>
      </c>
      <c r="F133" s="12">
        <f>RANK(Table9[[#This Row],[Total Score]],Table9[[Gender]:[Total Score]],0)</f>
        <v>21</v>
      </c>
      <c r="G133" s="12" t="str">
        <f>_xlfn.XLOOKUP(Table9[[#This Row],[Total Score]],H:H,I:I,,-1)</f>
        <v>B+</v>
      </c>
    </row>
    <row r="134" spans="1:7" x14ac:dyDescent="0.35">
      <c r="A134" s="9" t="s">
        <v>8</v>
      </c>
      <c r="B134" s="12" t="s">
        <v>9</v>
      </c>
      <c r="C134" s="12" t="s">
        <v>11</v>
      </c>
      <c r="D134" s="12" t="s">
        <v>12</v>
      </c>
      <c r="E134" s="9">
        <v>138</v>
      </c>
      <c r="F134" s="12">
        <f>RANK(Table9[[#This Row],[Total Score]],Table9[[Gender]:[Total Score]],0)</f>
        <v>212</v>
      </c>
      <c r="G134" s="12" t="str">
        <f>_xlfn.XLOOKUP(Table9[[#This Row],[Total Score]],H:H,I:I,,-1)</f>
        <v>F</v>
      </c>
    </row>
    <row r="135" spans="1:7" x14ac:dyDescent="0.35">
      <c r="A135" s="9" t="s">
        <v>17</v>
      </c>
      <c r="B135" s="12" t="s">
        <v>24</v>
      </c>
      <c r="C135" s="12" t="s">
        <v>11</v>
      </c>
      <c r="D135" s="12" t="s">
        <v>12</v>
      </c>
      <c r="E135" s="9">
        <v>138</v>
      </c>
      <c r="F135" s="12">
        <f>RANK(Table9[[#This Row],[Total Score]],Table9[[Gender]:[Total Score]],0)</f>
        <v>212</v>
      </c>
      <c r="G135" s="12" t="str">
        <f>_xlfn.XLOOKUP(Table9[[#This Row],[Total Score]],H:H,I:I,,-1)</f>
        <v>F</v>
      </c>
    </row>
    <row r="136" spans="1:7" x14ac:dyDescent="0.35">
      <c r="A136" s="9" t="s">
        <v>8</v>
      </c>
      <c r="B136" s="12" t="s">
        <v>13</v>
      </c>
      <c r="C136" s="12" t="s">
        <v>11</v>
      </c>
      <c r="D136" s="12" t="s">
        <v>15</v>
      </c>
      <c r="E136" s="9">
        <v>206</v>
      </c>
      <c r="F136" s="12">
        <f>RANK(Table9[[#This Row],[Total Score]],Table9[[Gender]:[Total Score]],0)</f>
        <v>119</v>
      </c>
      <c r="G136" s="12" t="str">
        <f>_xlfn.XLOOKUP(Table9[[#This Row],[Total Score]],H:H,I:I,,-1)</f>
        <v>D-</v>
      </c>
    </row>
    <row r="137" spans="1:7" x14ac:dyDescent="0.35">
      <c r="A137" s="9" t="s">
        <v>8</v>
      </c>
      <c r="B137" s="12" t="s">
        <v>9</v>
      </c>
      <c r="C137" s="12" t="s">
        <v>20</v>
      </c>
      <c r="D137" s="12" t="s">
        <v>12</v>
      </c>
      <c r="E137" s="9">
        <v>193</v>
      </c>
      <c r="F137" s="12">
        <f>RANK(Table9[[#This Row],[Total Score]],Table9[[Gender]:[Total Score]],0)</f>
        <v>145</v>
      </c>
      <c r="G137" s="12" t="str">
        <f>_xlfn.XLOOKUP(Table9[[#This Row],[Total Score]],H:H,I:I,,-1)</f>
        <v>D-</v>
      </c>
    </row>
    <row r="138" spans="1:7" x14ac:dyDescent="0.35">
      <c r="A138" s="9" t="s">
        <v>17</v>
      </c>
      <c r="B138" s="12" t="s">
        <v>9</v>
      </c>
      <c r="C138" s="12" t="s">
        <v>11</v>
      </c>
      <c r="D138" s="12" t="s">
        <v>12</v>
      </c>
      <c r="E138" s="9">
        <v>136</v>
      </c>
      <c r="F138" s="12">
        <f>RANK(Table9[[#This Row],[Total Score]],Table9[[Gender]:[Total Score]],0)</f>
        <v>215</v>
      </c>
      <c r="G138" s="12" t="str">
        <f>_xlfn.XLOOKUP(Table9[[#This Row],[Total Score]],H:H,I:I,,-1)</f>
        <v>F</v>
      </c>
    </row>
    <row r="139" spans="1:7" x14ac:dyDescent="0.35">
      <c r="A139" s="9" t="s">
        <v>17</v>
      </c>
      <c r="B139" s="12" t="s">
        <v>18</v>
      </c>
      <c r="C139" s="12" t="s">
        <v>20</v>
      </c>
      <c r="D139" s="12" t="s">
        <v>15</v>
      </c>
      <c r="E139" s="9">
        <v>148</v>
      </c>
      <c r="F139" s="12">
        <f>RANK(Table9[[#This Row],[Total Score]],Table9[[Gender]:[Total Score]],0)</f>
        <v>206</v>
      </c>
      <c r="G139" s="12" t="str">
        <f>_xlfn.XLOOKUP(Table9[[#This Row],[Total Score]],H:H,I:I,,-1)</f>
        <v>F</v>
      </c>
    </row>
    <row r="140" spans="1:7" x14ac:dyDescent="0.35">
      <c r="A140" s="9" t="s">
        <v>8</v>
      </c>
      <c r="B140" s="12" t="s">
        <v>21</v>
      </c>
      <c r="C140" s="12" t="s">
        <v>11</v>
      </c>
      <c r="D140" s="12" t="s">
        <v>15</v>
      </c>
      <c r="E140" s="9">
        <v>228</v>
      </c>
      <c r="F140" s="12">
        <f>RANK(Table9[[#This Row],[Total Score]],Table9[[Gender]:[Total Score]],0)</f>
        <v>76</v>
      </c>
      <c r="G140" s="12" t="str">
        <f>_xlfn.XLOOKUP(Table9[[#This Row],[Total Score]],H:H,I:I,,-1)</f>
        <v>C-</v>
      </c>
    </row>
    <row r="141" spans="1:7" x14ac:dyDescent="0.35">
      <c r="A141" s="9" t="s">
        <v>8</v>
      </c>
      <c r="B141" s="12" t="s">
        <v>13</v>
      </c>
      <c r="C141" s="12" t="s">
        <v>11</v>
      </c>
      <c r="D141" s="12" t="s">
        <v>12</v>
      </c>
      <c r="E141" s="9">
        <v>217</v>
      </c>
      <c r="F141" s="12">
        <f>RANK(Table9[[#This Row],[Total Score]],Table9[[Gender]:[Total Score]],0)</f>
        <v>94</v>
      </c>
      <c r="G141" s="12" t="str">
        <f>_xlfn.XLOOKUP(Table9[[#This Row],[Total Score]],H:H,I:I,,-1)</f>
        <v>C-</v>
      </c>
    </row>
    <row r="142" spans="1:7" x14ac:dyDescent="0.35">
      <c r="A142" s="9" t="s">
        <v>8</v>
      </c>
      <c r="B142" s="12" t="s">
        <v>13</v>
      </c>
      <c r="C142" s="12" t="s">
        <v>11</v>
      </c>
      <c r="D142" s="12" t="s">
        <v>12</v>
      </c>
      <c r="E142" s="9">
        <v>251</v>
      </c>
      <c r="F142" s="12">
        <f>RANK(Table9[[#This Row],[Total Score]],Table9[[Gender]:[Total Score]],0)</f>
        <v>39</v>
      </c>
      <c r="G142" s="12" t="str">
        <f>_xlfn.XLOOKUP(Table9[[#This Row],[Total Score]],H:H,I:I,,-1)</f>
        <v>B+</v>
      </c>
    </row>
    <row r="143" spans="1:7" x14ac:dyDescent="0.35">
      <c r="A143" s="9" t="s">
        <v>8</v>
      </c>
      <c r="B143" s="12" t="s">
        <v>9</v>
      </c>
      <c r="C143" s="12" t="s">
        <v>11</v>
      </c>
      <c r="D143" s="12" t="s">
        <v>12</v>
      </c>
      <c r="E143" s="9">
        <v>186</v>
      </c>
      <c r="F143" s="12">
        <f>RANK(Table9[[#This Row],[Total Score]],Table9[[Gender]:[Total Score]],0)</f>
        <v>156</v>
      </c>
      <c r="G143" s="12" t="str">
        <f>_xlfn.XLOOKUP(Table9[[#This Row],[Total Score]],H:H,I:I,,-1)</f>
        <v>D-</v>
      </c>
    </row>
    <row r="144" spans="1:7" x14ac:dyDescent="0.35">
      <c r="A144" s="9" t="s">
        <v>8</v>
      </c>
      <c r="B144" s="12" t="s">
        <v>13</v>
      </c>
      <c r="C144" s="12" t="s">
        <v>11</v>
      </c>
      <c r="D144" s="12" t="s">
        <v>12</v>
      </c>
      <c r="E144" s="9">
        <v>216</v>
      </c>
      <c r="F144" s="12">
        <f>RANK(Table9[[#This Row],[Total Score]],Table9[[Gender]:[Total Score]],0)</f>
        <v>96</v>
      </c>
      <c r="G144" s="12" t="str">
        <f>_xlfn.XLOOKUP(Table9[[#This Row],[Total Score]],H:H,I:I,,-1)</f>
        <v>C-</v>
      </c>
    </row>
    <row r="145" spans="1:7" x14ac:dyDescent="0.35">
      <c r="A145" s="9" t="s">
        <v>8</v>
      </c>
      <c r="B145" s="12" t="s">
        <v>18</v>
      </c>
      <c r="C145" s="12" t="s">
        <v>11</v>
      </c>
      <c r="D145" s="12" t="s">
        <v>12</v>
      </c>
      <c r="E145" s="9">
        <v>268</v>
      </c>
      <c r="F145" s="12">
        <f>RANK(Table9[[#This Row],[Total Score]],Table9[[Gender]:[Total Score]],0)</f>
        <v>18</v>
      </c>
      <c r="G145" s="12" t="str">
        <f>_xlfn.XLOOKUP(Table9[[#This Row],[Total Score]],H:H,I:I,,-1)</f>
        <v>B+</v>
      </c>
    </row>
    <row r="146" spans="1:7" x14ac:dyDescent="0.35">
      <c r="A146" s="9" t="s">
        <v>17</v>
      </c>
      <c r="B146" s="12" t="s">
        <v>13</v>
      </c>
      <c r="C146" s="12" t="s">
        <v>20</v>
      </c>
      <c r="D146" s="12" t="s">
        <v>15</v>
      </c>
      <c r="E146" s="9">
        <v>206</v>
      </c>
      <c r="F146" s="12">
        <f>RANK(Table9[[#This Row],[Total Score]],Table9[[Gender]:[Total Score]],0)</f>
        <v>119</v>
      </c>
      <c r="G146" s="12" t="str">
        <f>_xlfn.XLOOKUP(Table9[[#This Row],[Total Score]],H:H,I:I,,-1)</f>
        <v>D-</v>
      </c>
    </row>
    <row r="147" spans="1:7" x14ac:dyDescent="0.35">
      <c r="A147" s="9" t="s">
        <v>17</v>
      </c>
      <c r="B147" s="12" t="s">
        <v>9</v>
      </c>
      <c r="C147" s="12" t="s">
        <v>20</v>
      </c>
      <c r="D147" s="12" t="s">
        <v>15</v>
      </c>
      <c r="E147" s="9">
        <v>202</v>
      </c>
      <c r="F147" s="12">
        <f>RANK(Table9[[#This Row],[Total Score]],Table9[[Gender]:[Total Score]],0)</f>
        <v>129</v>
      </c>
      <c r="G147" s="12" t="str">
        <f>_xlfn.XLOOKUP(Table9[[#This Row],[Total Score]],H:H,I:I,,-1)</f>
        <v>D-</v>
      </c>
    </row>
    <row r="148" spans="1:7" x14ac:dyDescent="0.35">
      <c r="A148" s="9" t="s">
        <v>17</v>
      </c>
      <c r="B148" s="12" t="s">
        <v>21</v>
      </c>
      <c r="C148" s="12" t="s">
        <v>11</v>
      </c>
      <c r="D148" s="12" t="s">
        <v>12</v>
      </c>
      <c r="E148" s="9">
        <v>155</v>
      </c>
      <c r="F148" s="12">
        <f>RANK(Table9[[#This Row],[Total Score]],Table9[[Gender]:[Total Score]],0)</f>
        <v>198</v>
      </c>
      <c r="G148" s="12" t="str">
        <f>_xlfn.XLOOKUP(Table9[[#This Row],[Total Score]],H:H,I:I,,-1)</f>
        <v>F</v>
      </c>
    </row>
    <row r="149" spans="1:7" x14ac:dyDescent="0.35">
      <c r="A149" s="9" t="s">
        <v>8</v>
      </c>
      <c r="B149" s="12" t="s">
        <v>21</v>
      </c>
      <c r="C149" s="12" t="s">
        <v>11</v>
      </c>
      <c r="D149" s="12" t="s">
        <v>12</v>
      </c>
      <c r="E149" s="9">
        <v>223</v>
      </c>
      <c r="F149" s="12">
        <f>RANK(Table9[[#This Row],[Total Score]],Table9[[Gender]:[Total Score]],0)</f>
        <v>88</v>
      </c>
      <c r="G149" s="12" t="str">
        <f>_xlfn.XLOOKUP(Table9[[#This Row],[Total Score]],H:H,I:I,,-1)</f>
        <v>C-</v>
      </c>
    </row>
    <row r="150" spans="1:7" x14ac:dyDescent="0.35">
      <c r="A150" s="9" t="s">
        <v>8</v>
      </c>
      <c r="B150" s="12" t="s">
        <v>21</v>
      </c>
      <c r="C150" s="12" t="s">
        <v>20</v>
      </c>
      <c r="D150" s="12" t="s">
        <v>15</v>
      </c>
      <c r="E150" s="9">
        <v>252</v>
      </c>
      <c r="F150" s="12">
        <f>RANK(Table9[[#This Row],[Total Score]],Table9[[Gender]:[Total Score]],0)</f>
        <v>37</v>
      </c>
      <c r="G150" s="12" t="str">
        <f>_xlfn.XLOOKUP(Table9[[#This Row],[Total Score]],H:H,I:I,,-1)</f>
        <v>B+</v>
      </c>
    </row>
    <row r="151" spans="1:7" x14ac:dyDescent="0.35">
      <c r="A151" s="9" t="s">
        <v>8</v>
      </c>
      <c r="B151" s="12" t="s">
        <v>21</v>
      </c>
      <c r="C151" s="12" t="s">
        <v>11</v>
      </c>
      <c r="D151" s="12" t="s">
        <v>12</v>
      </c>
      <c r="E151" s="9">
        <v>194</v>
      </c>
      <c r="F151" s="12">
        <f>RANK(Table9[[#This Row],[Total Score]],Table9[[Gender]:[Total Score]],0)</f>
        <v>141</v>
      </c>
      <c r="G151" s="12" t="str">
        <f>_xlfn.XLOOKUP(Table9[[#This Row],[Total Score]],H:H,I:I,,-1)</f>
        <v>D-</v>
      </c>
    </row>
    <row r="152" spans="1:7" x14ac:dyDescent="0.35">
      <c r="A152" s="9" t="s">
        <v>8</v>
      </c>
      <c r="B152" s="12" t="s">
        <v>18</v>
      </c>
      <c r="C152" s="12" t="s">
        <v>11</v>
      </c>
      <c r="D152" s="12" t="s">
        <v>15</v>
      </c>
      <c r="E152" s="9">
        <v>209</v>
      </c>
      <c r="F152" s="12">
        <f>RANK(Table9[[#This Row],[Total Score]],Table9[[Gender]:[Total Score]],0)</f>
        <v>111</v>
      </c>
      <c r="G152" s="12" t="str">
        <f>_xlfn.XLOOKUP(Table9[[#This Row],[Total Score]],H:H,I:I,,-1)</f>
        <v>D-</v>
      </c>
    </row>
    <row r="153" spans="1:7" x14ac:dyDescent="0.35">
      <c r="A153" s="9" t="s">
        <v>17</v>
      </c>
      <c r="B153" s="12" t="s">
        <v>13</v>
      </c>
      <c r="C153" s="12" t="s">
        <v>20</v>
      </c>
      <c r="D153" s="12" t="s">
        <v>12</v>
      </c>
      <c r="E153" s="9">
        <v>208</v>
      </c>
      <c r="F153" s="12">
        <f>RANK(Table9[[#This Row],[Total Score]],Table9[[Gender]:[Total Score]],0)</f>
        <v>113</v>
      </c>
      <c r="G153" s="12" t="str">
        <f>_xlfn.XLOOKUP(Table9[[#This Row],[Total Score]],H:H,I:I,,-1)</f>
        <v>D-</v>
      </c>
    </row>
    <row r="154" spans="1:7" x14ac:dyDescent="0.35">
      <c r="A154" s="9" t="s">
        <v>8</v>
      </c>
      <c r="B154" s="12" t="s">
        <v>21</v>
      </c>
      <c r="C154" s="12" t="s">
        <v>20</v>
      </c>
      <c r="D154" s="12" t="s">
        <v>12</v>
      </c>
      <c r="E154" s="9">
        <v>161</v>
      </c>
      <c r="F154" s="12">
        <f>RANK(Table9[[#This Row],[Total Score]],Table9[[Gender]:[Total Score]],0)</f>
        <v>188</v>
      </c>
      <c r="G154" s="12" t="str">
        <f>_xlfn.XLOOKUP(Table9[[#This Row],[Total Score]],H:H,I:I,,-1)</f>
        <v>F</v>
      </c>
    </row>
    <row r="155" spans="1:7" x14ac:dyDescent="0.35">
      <c r="A155" s="9" t="s">
        <v>17</v>
      </c>
      <c r="B155" s="12" t="s">
        <v>21</v>
      </c>
      <c r="C155" s="12" t="s">
        <v>11</v>
      </c>
      <c r="D155" s="12" t="s">
        <v>12</v>
      </c>
      <c r="E155" s="9">
        <v>262</v>
      </c>
      <c r="F155" s="12">
        <f>RANK(Table9[[#This Row],[Total Score]],Table9[[Gender]:[Total Score]],0)</f>
        <v>24</v>
      </c>
      <c r="G155" s="12" t="str">
        <f>_xlfn.XLOOKUP(Table9[[#This Row],[Total Score]],H:H,I:I,,-1)</f>
        <v>B+</v>
      </c>
    </row>
    <row r="156" spans="1:7" x14ac:dyDescent="0.35">
      <c r="A156" s="9" t="s">
        <v>17</v>
      </c>
      <c r="B156" s="12" t="s">
        <v>21</v>
      </c>
      <c r="C156" s="12" t="s">
        <v>11</v>
      </c>
      <c r="D156" s="12" t="s">
        <v>12</v>
      </c>
      <c r="E156" s="9">
        <v>206</v>
      </c>
      <c r="F156" s="12">
        <f>RANK(Table9[[#This Row],[Total Score]],Table9[[Gender]:[Total Score]],0)</f>
        <v>119</v>
      </c>
      <c r="G156" s="12" t="str">
        <f>_xlfn.XLOOKUP(Table9[[#This Row],[Total Score]],H:H,I:I,,-1)</f>
        <v>D-</v>
      </c>
    </row>
    <row r="157" spans="1:7" x14ac:dyDescent="0.35">
      <c r="A157" s="9" t="s">
        <v>17</v>
      </c>
      <c r="B157" s="12" t="s">
        <v>21</v>
      </c>
      <c r="C157" s="12" t="s">
        <v>11</v>
      </c>
      <c r="D157" s="12" t="s">
        <v>15</v>
      </c>
      <c r="E157" s="9">
        <v>230</v>
      </c>
      <c r="F157" s="12">
        <f>RANK(Table9[[#This Row],[Total Score]],Table9[[Gender]:[Total Score]],0)</f>
        <v>74</v>
      </c>
      <c r="G157" s="12" t="str">
        <f>_xlfn.XLOOKUP(Table9[[#This Row],[Total Score]],H:H,I:I,,-1)</f>
        <v>C-</v>
      </c>
    </row>
    <row r="158" spans="1:7" x14ac:dyDescent="0.35">
      <c r="A158" s="9" t="s">
        <v>17</v>
      </c>
      <c r="B158" s="12" t="s">
        <v>21</v>
      </c>
      <c r="C158" s="12" t="s">
        <v>20</v>
      </c>
      <c r="D158" s="12" t="s">
        <v>12</v>
      </c>
      <c r="E158" s="9">
        <v>159</v>
      </c>
      <c r="F158" s="12">
        <f>RANK(Table9[[#This Row],[Total Score]],Table9[[Gender]:[Total Score]],0)</f>
        <v>193</v>
      </c>
      <c r="G158" s="12" t="str">
        <f>_xlfn.XLOOKUP(Table9[[#This Row],[Total Score]],H:H,I:I,,-1)</f>
        <v>F</v>
      </c>
    </row>
    <row r="159" spans="1:7" x14ac:dyDescent="0.35">
      <c r="A159" s="9" t="s">
        <v>8</v>
      </c>
      <c r="B159" s="12" t="s">
        <v>13</v>
      </c>
      <c r="C159" s="12" t="s">
        <v>11</v>
      </c>
      <c r="D159" s="12" t="s">
        <v>15</v>
      </c>
      <c r="E159" s="9">
        <v>233</v>
      </c>
      <c r="F159" s="12">
        <f>RANK(Table9[[#This Row],[Total Score]],Table9[[Gender]:[Total Score]],0)</f>
        <v>64</v>
      </c>
      <c r="G159" s="12" t="str">
        <f>_xlfn.XLOOKUP(Table9[[#This Row],[Total Score]],H:H,I:I,,-1)</f>
        <v>C-</v>
      </c>
    </row>
    <row r="160" spans="1:7" x14ac:dyDescent="0.35">
      <c r="A160" s="9" t="s">
        <v>17</v>
      </c>
      <c r="B160" s="12" t="s">
        <v>21</v>
      </c>
      <c r="C160" s="12" t="s">
        <v>20</v>
      </c>
      <c r="D160" s="12" t="s">
        <v>12</v>
      </c>
      <c r="E160" s="9">
        <v>234</v>
      </c>
      <c r="F160" s="12">
        <f>RANK(Table9[[#This Row],[Total Score]],Table9[[Gender]:[Total Score]],0)</f>
        <v>60</v>
      </c>
      <c r="G160" s="12" t="str">
        <f>_xlfn.XLOOKUP(Table9[[#This Row],[Total Score]],H:H,I:I,,-1)</f>
        <v>C-</v>
      </c>
    </row>
    <row r="161" spans="1:7" x14ac:dyDescent="0.35">
      <c r="A161" s="9" t="s">
        <v>17</v>
      </c>
      <c r="B161" s="12" t="s">
        <v>21</v>
      </c>
      <c r="C161" s="12" t="s">
        <v>20</v>
      </c>
      <c r="D161" s="12" t="s">
        <v>12</v>
      </c>
      <c r="E161" s="9">
        <v>228</v>
      </c>
      <c r="F161" s="12">
        <f>RANK(Table9[[#This Row],[Total Score]],Table9[[Gender]:[Total Score]],0)</f>
        <v>76</v>
      </c>
      <c r="G161" s="12" t="str">
        <f>_xlfn.XLOOKUP(Table9[[#This Row],[Total Score]],H:H,I:I,,-1)</f>
        <v>C-</v>
      </c>
    </row>
    <row r="162" spans="1:7" x14ac:dyDescent="0.35">
      <c r="A162" s="9" t="s">
        <v>8</v>
      </c>
      <c r="B162" s="12" t="s">
        <v>13</v>
      </c>
      <c r="C162" s="12" t="s">
        <v>11</v>
      </c>
      <c r="D162" s="12" t="s">
        <v>12</v>
      </c>
      <c r="E162" s="9">
        <v>155</v>
      </c>
      <c r="F162" s="12">
        <f>RANK(Table9[[#This Row],[Total Score]],Table9[[Gender]:[Total Score]],0)</f>
        <v>198</v>
      </c>
      <c r="G162" s="12" t="str">
        <f>_xlfn.XLOOKUP(Table9[[#This Row],[Total Score]],H:H,I:I,,-1)</f>
        <v>F</v>
      </c>
    </row>
    <row r="163" spans="1:7" x14ac:dyDescent="0.35">
      <c r="A163" s="9" t="s">
        <v>8</v>
      </c>
      <c r="B163" s="12" t="s">
        <v>24</v>
      </c>
      <c r="C163" s="12" t="s">
        <v>20</v>
      </c>
      <c r="D163" s="12" t="s">
        <v>12</v>
      </c>
      <c r="E163" s="9">
        <v>227</v>
      </c>
      <c r="F163" s="12">
        <f>RANK(Table9[[#This Row],[Total Score]],Table9[[Gender]:[Total Score]],0)</f>
        <v>78</v>
      </c>
      <c r="G163" s="12" t="str">
        <f>_xlfn.XLOOKUP(Table9[[#This Row],[Total Score]],H:H,I:I,,-1)</f>
        <v>C-</v>
      </c>
    </row>
    <row r="164" spans="1:7" x14ac:dyDescent="0.35">
      <c r="A164" s="9" t="s">
        <v>8</v>
      </c>
      <c r="B164" s="12" t="s">
        <v>21</v>
      </c>
      <c r="C164" s="12" t="s">
        <v>11</v>
      </c>
      <c r="D164" s="12" t="s">
        <v>12</v>
      </c>
      <c r="E164" s="9">
        <v>227</v>
      </c>
      <c r="F164" s="12">
        <f>RANK(Table9[[#This Row],[Total Score]],Table9[[Gender]:[Total Score]],0)</f>
        <v>78</v>
      </c>
      <c r="G164" s="12" t="str">
        <f>_xlfn.XLOOKUP(Table9[[#This Row],[Total Score]],H:H,I:I,,-1)</f>
        <v>C-</v>
      </c>
    </row>
    <row r="165" spans="1:7" x14ac:dyDescent="0.35">
      <c r="A165" s="9" t="s">
        <v>8</v>
      </c>
      <c r="B165" s="12" t="s">
        <v>13</v>
      </c>
      <c r="C165" s="12" t="s">
        <v>11</v>
      </c>
      <c r="D165" s="12" t="s">
        <v>15</v>
      </c>
      <c r="E165" s="9">
        <v>247</v>
      </c>
      <c r="F165" s="12">
        <f>RANK(Table9[[#This Row],[Total Score]],Table9[[Gender]:[Total Score]],0)</f>
        <v>42</v>
      </c>
      <c r="G165" s="12" t="str">
        <f>_xlfn.XLOOKUP(Table9[[#This Row],[Total Score]],H:H,I:I,,-1)</f>
        <v>B+</v>
      </c>
    </row>
    <row r="166" spans="1:7" x14ac:dyDescent="0.35">
      <c r="A166" s="9" t="s">
        <v>8</v>
      </c>
      <c r="B166" s="12" t="s">
        <v>21</v>
      </c>
      <c r="C166" s="12" t="s">
        <v>11</v>
      </c>
      <c r="D166" s="12" t="s">
        <v>15</v>
      </c>
      <c r="E166" s="9">
        <v>214</v>
      </c>
      <c r="F166" s="12">
        <f>RANK(Table9[[#This Row],[Total Score]],Table9[[Gender]:[Total Score]],0)</f>
        <v>101</v>
      </c>
      <c r="G166" s="12" t="str">
        <f>_xlfn.XLOOKUP(Table9[[#This Row],[Total Score]],H:H,I:I,,-1)</f>
        <v>C-</v>
      </c>
    </row>
    <row r="167" spans="1:7" x14ac:dyDescent="0.35">
      <c r="A167" s="9" t="s">
        <v>8</v>
      </c>
      <c r="B167" s="12" t="s">
        <v>21</v>
      </c>
      <c r="C167" s="12" t="s">
        <v>20</v>
      </c>
      <c r="D167" s="12" t="s">
        <v>15</v>
      </c>
      <c r="E167" s="9">
        <v>161</v>
      </c>
      <c r="F167" s="12">
        <f>RANK(Table9[[#This Row],[Total Score]],Table9[[Gender]:[Total Score]],0)</f>
        <v>188</v>
      </c>
      <c r="G167" s="12" t="str">
        <f>_xlfn.XLOOKUP(Table9[[#This Row],[Total Score]],H:H,I:I,,-1)</f>
        <v>F</v>
      </c>
    </row>
    <row r="168" spans="1:7" x14ac:dyDescent="0.35">
      <c r="A168" s="9" t="s">
        <v>8</v>
      </c>
      <c r="B168" s="12" t="s">
        <v>9</v>
      </c>
      <c r="C168" s="12" t="s">
        <v>20</v>
      </c>
      <c r="D168" s="12" t="s">
        <v>15</v>
      </c>
      <c r="E168" s="9">
        <v>257</v>
      </c>
      <c r="F168" s="12">
        <f>RANK(Table9[[#This Row],[Total Score]],Table9[[Gender]:[Total Score]],0)</f>
        <v>31</v>
      </c>
      <c r="G168" s="12" t="str">
        <f>_xlfn.XLOOKUP(Table9[[#This Row],[Total Score]],H:H,I:I,,-1)</f>
        <v>B+</v>
      </c>
    </row>
    <row r="169" spans="1:7" x14ac:dyDescent="0.35">
      <c r="A169" s="9" t="s">
        <v>17</v>
      </c>
      <c r="B169" s="12" t="s">
        <v>13</v>
      </c>
      <c r="C169" s="12" t="s">
        <v>11</v>
      </c>
      <c r="D169" s="12" t="s">
        <v>15</v>
      </c>
      <c r="E169" s="9">
        <v>223</v>
      </c>
      <c r="F169" s="12">
        <f>RANK(Table9[[#This Row],[Total Score]],Table9[[Gender]:[Total Score]],0)</f>
        <v>88</v>
      </c>
      <c r="G169" s="12" t="str">
        <f>_xlfn.XLOOKUP(Table9[[#This Row],[Total Score]],H:H,I:I,,-1)</f>
        <v>C-</v>
      </c>
    </row>
    <row r="170" spans="1:7" x14ac:dyDescent="0.35">
      <c r="A170" s="9" t="s">
        <v>8</v>
      </c>
      <c r="B170" s="12" t="s">
        <v>13</v>
      </c>
      <c r="C170" s="12" t="s">
        <v>11</v>
      </c>
      <c r="D170" s="12" t="s">
        <v>15</v>
      </c>
      <c r="E170" s="9">
        <v>291</v>
      </c>
      <c r="F170" s="12">
        <f>RANK(Table9[[#This Row],[Total Score]],Table9[[Gender]:[Total Score]],0)</f>
        <v>3</v>
      </c>
      <c r="G170" s="12" t="str">
        <f>_xlfn.XLOOKUP(Table9[[#This Row],[Total Score]],H:H,I:I,,-1)</f>
        <v>A+</v>
      </c>
    </row>
    <row r="171" spans="1:7" x14ac:dyDescent="0.35">
      <c r="A171" s="9" t="s">
        <v>17</v>
      </c>
      <c r="B171" s="12" t="s">
        <v>24</v>
      </c>
      <c r="C171" s="12" t="s">
        <v>20</v>
      </c>
      <c r="D171" s="12" t="s">
        <v>15</v>
      </c>
      <c r="E171" s="9">
        <v>244</v>
      </c>
      <c r="F171" s="12">
        <f>RANK(Table9[[#This Row],[Total Score]],Table9[[Gender]:[Total Score]],0)</f>
        <v>45</v>
      </c>
      <c r="G171" s="12" t="str">
        <f>_xlfn.XLOOKUP(Table9[[#This Row],[Total Score]],H:H,I:I,,-1)</f>
        <v>B+</v>
      </c>
    </row>
    <row r="172" spans="1:7" x14ac:dyDescent="0.35">
      <c r="A172" s="9" t="s">
        <v>8</v>
      </c>
      <c r="B172" s="12" t="s">
        <v>24</v>
      </c>
      <c r="C172" s="12" t="s">
        <v>11</v>
      </c>
      <c r="D172" s="12" t="s">
        <v>15</v>
      </c>
      <c r="E172" s="9">
        <v>217</v>
      </c>
      <c r="F172" s="12">
        <f>RANK(Table9[[#This Row],[Total Score]],Table9[[Gender]:[Total Score]],0)</f>
        <v>94</v>
      </c>
      <c r="G172" s="12" t="str">
        <f>_xlfn.XLOOKUP(Table9[[#This Row],[Total Score]],H:H,I:I,,-1)</f>
        <v>C-</v>
      </c>
    </row>
    <row r="173" spans="1:7" x14ac:dyDescent="0.35">
      <c r="A173" s="9" t="s">
        <v>8</v>
      </c>
      <c r="B173" s="12" t="s">
        <v>9</v>
      </c>
      <c r="C173" s="12" t="s">
        <v>20</v>
      </c>
      <c r="D173" s="12" t="s">
        <v>15</v>
      </c>
      <c r="E173" s="9">
        <v>225</v>
      </c>
      <c r="F173" s="12">
        <f>RANK(Table9[[#This Row],[Total Score]],Table9[[Gender]:[Total Score]],0)</f>
        <v>82</v>
      </c>
      <c r="G173" s="12" t="str">
        <f>_xlfn.XLOOKUP(Table9[[#This Row],[Total Score]],H:H,I:I,,-1)</f>
        <v>C-</v>
      </c>
    </row>
    <row r="174" spans="1:7" x14ac:dyDescent="0.35">
      <c r="A174" s="9" t="s">
        <v>17</v>
      </c>
      <c r="B174" s="12" t="s">
        <v>13</v>
      </c>
      <c r="C174" s="12" t="s">
        <v>11</v>
      </c>
      <c r="D174" s="12" t="s">
        <v>12</v>
      </c>
      <c r="E174" s="9">
        <v>255</v>
      </c>
      <c r="F174" s="12">
        <f>RANK(Table9[[#This Row],[Total Score]],Table9[[Gender]:[Total Score]],0)</f>
        <v>34</v>
      </c>
      <c r="G174" s="12" t="str">
        <f>_xlfn.XLOOKUP(Table9[[#This Row],[Total Score]],H:H,I:I,,-1)</f>
        <v>B+</v>
      </c>
    </row>
    <row r="175" spans="1:7" x14ac:dyDescent="0.35">
      <c r="A175" s="9" t="s">
        <v>17</v>
      </c>
      <c r="B175" s="12" t="s">
        <v>21</v>
      </c>
      <c r="C175" s="12" t="s">
        <v>11</v>
      </c>
      <c r="D175" s="12" t="s">
        <v>12</v>
      </c>
      <c r="E175" s="9">
        <v>225</v>
      </c>
      <c r="F175" s="12">
        <f>RANK(Table9[[#This Row],[Total Score]],Table9[[Gender]:[Total Score]],0)</f>
        <v>82</v>
      </c>
      <c r="G175" s="12" t="str">
        <f>_xlfn.XLOOKUP(Table9[[#This Row],[Total Score]],H:H,I:I,,-1)</f>
        <v>C-</v>
      </c>
    </row>
    <row r="176" spans="1:7" x14ac:dyDescent="0.35">
      <c r="A176" s="9" t="s">
        <v>8</v>
      </c>
      <c r="B176" s="12" t="s">
        <v>18</v>
      </c>
      <c r="C176" s="12" t="s">
        <v>20</v>
      </c>
      <c r="D176" s="12" t="s">
        <v>12</v>
      </c>
      <c r="E176" s="9">
        <v>150</v>
      </c>
      <c r="F176" s="12">
        <f>RANK(Table9[[#This Row],[Total Score]],Table9[[Gender]:[Total Score]],0)</f>
        <v>204</v>
      </c>
      <c r="G176" s="12" t="str">
        <f>_xlfn.XLOOKUP(Table9[[#This Row],[Total Score]],H:H,I:I,,-1)</f>
        <v>F</v>
      </c>
    </row>
    <row r="177" spans="1:7" x14ac:dyDescent="0.35">
      <c r="A177" s="9" t="s">
        <v>8</v>
      </c>
      <c r="B177" s="12" t="s">
        <v>13</v>
      </c>
      <c r="C177" s="12" t="s">
        <v>11</v>
      </c>
      <c r="D177" s="12" t="s">
        <v>15</v>
      </c>
      <c r="E177" s="9">
        <v>204</v>
      </c>
      <c r="F177" s="12">
        <f>RANK(Table9[[#This Row],[Total Score]],Table9[[Gender]:[Total Score]],0)</f>
        <v>126</v>
      </c>
      <c r="G177" s="12" t="str">
        <f>_xlfn.XLOOKUP(Table9[[#This Row],[Total Score]],H:H,I:I,,-1)</f>
        <v>D-</v>
      </c>
    </row>
    <row r="178" spans="1:7" x14ac:dyDescent="0.35">
      <c r="A178" s="9" t="s">
        <v>17</v>
      </c>
      <c r="B178" s="12" t="s">
        <v>21</v>
      </c>
      <c r="C178" s="12" t="s">
        <v>11</v>
      </c>
      <c r="D178" s="12" t="s">
        <v>12</v>
      </c>
      <c r="E178" s="9">
        <v>225</v>
      </c>
      <c r="F178" s="12">
        <f>RANK(Table9[[#This Row],[Total Score]],Table9[[Gender]:[Total Score]],0)</f>
        <v>82</v>
      </c>
      <c r="G178" s="12" t="str">
        <f>_xlfn.XLOOKUP(Table9[[#This Row],[Total Score]],H:H,I:I,,-1)</f>
        <v>C-</v>
      </c>
    </row>
    <row r="179" spans="1:7" x14ac:dyDescent="0.35">
      <c r="A179" s="9" t="s">
        <v>17</v>
      </c>
      <c r="B179" s="12" t="s">
        <v>13</v>
      </c>
      <c r="C179" s="12" t="s">
        <v>20</v>
      </c>
      <c r="D179" s="12" t="s">
        <v>12</v>
      </c>
      <c r="E179" s="9">
        <v>166</v>
      </c>
      <c r="F179" s="12">
        <f>RANK(Table9[[#This Row],[Total Score]],Table9[[Gender]:[Total Score]],0)</f>
        <v>184</v>
      </c>
      <c r="G179" s="12" t="str">
        <f>_xlfn.XLOOKUP(Table9[[#This Row],[Total Score]],H:H,I:I,,-1)</f>
        <v>F</v>
      </c>
    </row>
    <row r="180" spans="1:7" x14ac:dyDescent="0.35">
      <c r="A180" s="9" t="s">
        <v>8</v>
      </c>
      <c r="B180" s="12" t="s">
        <v>24</v>
      </c>
      <c r="C180" s="12" t="s">
        <v>11</v>
      </c>
      <c r="D180" s="12" t="s">
        <v>12</v>
      </c>
      <c r="E180" s="9">
        <v>271</v>
      </c>
      <c r="F180" s="12">
        <f>RANK(Table9[[#This Row],[Total Score]],Table9[[Gender]:[Total Score]],0)</f>
        <v>15</v>
      </c>
      <c r="G180" s="12" t="str">
        <f>_xlfn.XLOOKUP(Table9[[#This Row],[Total Score]],H:H,I:I,,-1)</f>
        <v>A+</v>
      </c>
    </row>
    <row r="181" spans="1:7" x14ac:dyDescent="0.35">
      <c r="A181" s="9" t="s">
        <v>17</v>
      </c>
      <c r="B181" s="12" t="s">
        <v>24</v>
      </c>
      <c r="C181" s="12" t="s">
        <v>11</v>
      </c>
      <c r="D181" s="12" t="s">
        <v>15</v>
      </c>
      <c r="E181" s="9">
        <v>261</v>
      </c>
      <c r="F181" s="12">
        <f>RANK(Table9[[#This Row],[Total Score]],Table9[[Gender]:[Total Score]],0)</f>
        <v>27</v>
      </c>
      <c r="G181" s="12" t="str">
        <f>_xlfn.XLOOKUP(Table9[[#This Row],[Total Score]],H:H,I:I,,-1)</f>
        <v>B+</v>
      </c>
    </row>
    <row r="182" spans="1:7" x14ac:dyDescent="0.35">
      <c r="A182" s="9" t="s">
        <v>8</v>
      </c>
      <c r="B182" s="12" t="s">
        <v>21</v>
      </c>
      <c r="C182" s="12" t="s">
        <v>20</v>
      </c>
      <c r="D182" s="12" t="s">
        <v>12</v>
      </c>
      <c r="E182" s="9">
        <v>159</v>
      </c>
      <c r="F182" s="12">
        <f>RANK(Table9[[#This Row],[Total Score]],Table9[[Gender]:[Total Score]],0)</f>
        <v>193</v>
      </c>
      <c r="G182" s="12" t="str">
        <f>_xlfn.XLOOKUP(Table9[[#This Row],[Total Score]],H:H,I:I,,-1)</f>
        <v>F</v>
      </c>
    </row>
    <row r="183" spans="1:7" x14ac:dyDescent="0.35">
      <c r="A183" s="9" t="s">
        <v>8</v>
      </c>
      <c r="B183" s="12" t="s">
        <v>13</v>
      </c>
      <c r="C183" s="12" t="s">
        <v>11</v>
      </c>
      <c r="D183" s="12" t="s">
        <v>15</v>
      </c>
      <c r="E183" s="9">
        <v>173</v>
      </c>
      <c r="F183" s="12">
        <f>RANK(Table9[[#This Row],[Total Score]],Table9[[Gender]:[Total Score]],0)</f>
        <v>170</v>
      </c>
      <c r="G183" s="12" t="str">
        <f>_xlfn.XLOOKUP(Table9[[#This Row],[Total Score]],H:H,I:I,,-1)</f>
        <v>F</v>
      </c>
    </row>
    <row r="184" spans="1:7" x14ac:dyDescent="0.35">
      <c r="A184" s="9" t="s">
        <v>17</v>
      </c>
      <c r="B184" s="12" t="s">
        <v>13</v>
      </c>
      <c r="C184" s="12" t="s">
        <v>20</v>
      </c>
      <c r="D184" s="12" t="s">
        <v>12</v>
      </c>
      <c r="E184" s="9">
        <v>194</v>
      </c>
      <c r="F184" s="12">
        <f>RANK(Table9[[#This Row],[Total Score]],Table9[[Gender]:[Total Score]],0)</f>
        <v>141</v>
      </c>
      <c r="G184" s="12" t="str">
        <f>_xlfn.XLOOKUP(Table9[[#This Row],[Total Score]],H:H,I:I,,-1)</f>
        <v>D-</v>
      </c>
    </row>
    <row r="185" spans="1:7" x14ac:dyDescent="0.35">
      <c r="A185" s="9" t="s">
        <v>8</v>
      </c>
      <c r="B185" s="12" t="s">
        <v>24</v>
      </c>
      <c r="C185" s="12" t="s">
        <v>20</v>
      </c>
      <c r="D185" s="12" t="s">
        <v>15</v>
      </c>
      <c r="E185" s="9">
        <v>198</v>
      </c>
      <c r="F185" s="12">
        <f>RANK(Table9[[#This Row],[Total Score]],Table9[[Gender]:[Total Score]],0)</f>
        <v>135</v>
      </c>
      <c r="G185" s="12" t="str">
        <f>_xlfn.XLOOKUP(Table9[[#This Row],[Total Score]],H:H,I:I,,-1)</f>
        <v>D-</v>
      </c>
    </row>
    <row r="186" spans="1:7" x14ac:dyDescent="0.35">
      <c r="A186" s="9" t="s">
        <v>8</v>
      </c>
      <c r="B186" s="12" t="s">
        <v>24</v>
      </c>
      <c r="C186" s="12" t="s">
        <v>20</v>
      </c>
      <c r="D186" s="12" t="s">
        <v>12</v>
      </c>
      <c r="E186" s="9">
        <v>235</v>
      </c>
      <c r="F186" s="12">
        <f>RANK(Table9[[#This Row],[Total Score]],Table9[[Gender]:[Total Score]],0)</f>
        <v>59</v>
      </c>
      <c r="G186" s="12" t="str">
        <f>_xlfn.XLOOKUP(Table9[[#This Row],[Total Score]],H:H,I:I,,-1)</f>
        <v>C-</v>
      </c>
    </row>
    <row r="187" spans="1:7" x14ac:dyDescent="0.35">
      <c r="A187" s="9" t="s">
        <v>8</v>
      </c>
      <c r="B187" s="12" t="s">
        <v>13</v>
      </c>
      <c r="C187" s="12" t="s">
        <v>11</v>
      </c>
      <c r="D187" s="12" t="s">
        <v>12</v>
      </c>
      <c r="E187" s="9">
        <v>164</v>
      </c>
      <c r="F187" s="12">
        <f>RANK(Table9[[#This Row],[Total Score]],Table9[[Gender]:[Total Score]],0)</f>
        <v>185</v>
      </c>
      <c r="G187" s="12" t="str">
        <f>_xlfn.XLOOKUP(Table9[[#This Row],[Total Score]],H:H,I:I,,-1)</f>
        <v>F</v>
      </c>
    </row>
    <row r="188" spans="1:7" x14ac:dyDescent="0.35">
      <c r="A188" s="9" t="s">
        <v>8</v>
      </c>
      <c r="B188" s="12" t="s">
        <v>24</v>
      </c>
      <c r="C188" s="12" t="s">
        <v>11</v>
      </c>
      <c r="D188" s="12" t="s">
        <v>12</v>
      </c>
      <c r="E188" s="9">
        <v>276</v>
      </c>
      <c r="F188" s="12">
        <f>RANK(Table9[[#This Row],[Total Score]],Table9[[Gender]:[Total Score]],0)</f>
        <v>8</v>
      </c>
      <c r="G188" s="12" t="str">
        <f>_xlfn.XLOOKUP(Table9[[#This Row],[Total Score]],H:H,I:I,,-1)</f>
        <v>A+</v>
      </c>
    </row>
    <row r="189" spans="1:7" x14ac:dyDescent="0.35">
      <c r="A189" s="9" t="s">
        <v>8</v>
      </c>
      <c r="B189" s="12" t="s">
        <v>13</v>
      </c>
      <c r="C189" s="12" t="s">
        <v>20</v>
      </c>
      <c r="D189" s="12" t="s">
        <v>15</v>
      </c>
      <c r="E189" s="9">
        <v>194</v>
      </c>
      <c r="F189" s="12">
        <f>RANK(Table9[[#This Row],[Total Score]],Table9[[Gender]:[Total Score]],0)</f>
        <v>141</v>
      </c>
      <c r="G189" s="12" t="str">
        <f>_xlfn.XLOOKUP(Table9[[#This Row],[Total Score]],H:H,I:I,,-1)</f>
        <v>D-</v>
      </c>
    </row>
    <row r="190" spans="1:7" x14ac:dyDescent="0.35">
      <c r="A190" s="9" t="s">
        <v>17</v>
      </c>
      <c r="B190" s="12" t="s">
        <v>9</v>
      </c>
      <c r="C190" s="12" t="s">
        <v>20</v>
      </c>
      <c r="D190" s="12" t="s">
        <v>15</v>
      </c>
      <c r="E190" s="9">
        <v>168</v>
      </c>
      <c r="F190" s="12">
        <f>RANK(Table9[[#This Row],[Total Score]],Table9[[Gender]:[Total Score]],0)</f>
        <v>178</v>
      </c>
      <c r="G190" s="12" t="str">
        <f>_xlfn.XLOOKUP(Table9[[#This Row],[Total Score]],H:H,I:I,,-1)</f>
        <v>F</v>
      </c>
    </row>
    <row r="191" spans="1:7" x14ac:dyDescent="0.35">
      <c r="A191" s="9" t="s">
        <v>8</v>
      </c>
      <c r="B191" s="12" t="s">
        <v>13</v>
      </c>
      <c r="C191" s="12" t="s">
        <v>11</v>
      </c>
      <c r="D191" s="12" t="s">
        <v>12</v>
      </c>
      <c r="E191" s="9">
        <v>216</v>
      </c>
      <c r="F191" s="12">
        <f>RANK(Table9[[#This Row],[Total Score]],Table9[[Gender]:[Total Score]],0)</f>
        <v>96</v>
      </c>
      <c r="G191" s="12" t="str">
        <f>_xlfn.XLOOKUP(Table9[[#This Row],[Total Score]],H:H,I:I,,-1)</f>
        <v>C-</v>
      </c>
    </row>
    <row r="192" spans="1:7" x14ac:dyDescent="0.35">
      <c r="A192" s="9" t="s">
        <v>17</v>
      </c>
      <c r="B192" s="12" t="s">
        <v>21</v>
      </c>
      <c r="C192" s="12" t="s">
        <v>11</v>
      </c>
      <c r="D192" s="12" t="s">
        <v>12</v>
      </c>
      <c r="E192" s="9">
        <v>224</v>
      </c>
      <c r="F192" s="12">
        <f>RANK(Table9[[#This Row],[Total Score]],Table9[[Gender]:[Total Score]],0)</f>
        <v>86</v>
      </c>
      <c r="G192" s="12" t="str">
        <f>_xlfn.XLOOKUP(Table9[[#This Row],[Total Score]],H:H,I:I,,-1)</f>
        <v>C-</v>
      </c>
    </row>
    <row r="193" spans="1:7" x14ac:dyDescent="0.35">
      <c r="A193" s="9" t="s">
        <v>17</v>
      </c>
      <c r="B193" s="12" t="s">
        <v>13</v>
      </c>
      <c r="C193" s="12" t="s">
        <v>20</v>
      </c>
      <c r="D193" s="12" t="s">
        <v>12</v>
      </c>
      <c r="E193" s="9">
        <v>232</v>
      </c>
      <c r="F193" s="12">
        <f>RANK(Table9[[#This Row],[Total Score]],Table9[[Gender]:[Total Score]],0)</f>
        <v>66</v>
      </c>
      <c r="G193" s="12" t="str">
        <f>_xlfn.XLOOKUP(Table9[[#This Row],[Total Score]],H:H,I:I,,-1)</f>
        <v>C-</v>
      </c>
    </row>
    <row r="194" spans="1:7" x14ac:dyDescent="0.35">
      <c r="A194" s="9" t="s">
        <v>8</v>
      </c>
      <c r="B194" s="12" t="s">
        <v>13</v>
      </c>
      <c r="C194" s="12" t="s">
        <v>11</v>
      </c>
      <c r="D194" s="12" t="s">
        <v>12</v>
      </c>
      <c r="E194" s="9">
        <v>168</v>
      </c>
      <c r="F194" s="12">
        <f>RANK(Table9[[#This Row],[Total Score]],Table9[[Gender]:[Total Score]],0)</f>
        <v>178</v>
      </c>
      <c r="G194" s="12" t="str">
        <f>_xlfn.XLOOKUP(Table9[[#This Row],[Total Score]],H:H,I:I,,-1)</f>
        <v>F</v>
      </c>
    </row>
    <row r="195" spans="1:7" x14ac:dyDescent="0.35">
      <c r="A195" s="9" t="s">
        <v>17</v>
      </c>
      <c r="B195" s="12" t="s">
        <v>13</v>
      </c>
      <c r="C195" s="12" t="s">
        <v>11</v>
      </c>
      <c r="D195" s="12" t="s">
        <v>12</v>
      </c>
      <c r="E195" s="9">
        <v>281</v>
      </c>
      <c r="F195" s="12">
        <f>RANK(Table9[[#This Row],[Total Score]],Table9[[Gender]:[Total Score]],0)</f>
        <v>6</v>
      </c>
      <c r="G195" s="12" t="str">
        <f>_xlfn.XLOOKUP(Table9[[#This Row],[Total Score]],H:H,I:I,,-1)</f>
        <v>A+</v>
      </c>
    </row>
    <row r="196" spans="1:7" x14ac:dyDescent="0.35">
      <c r="A196" s="9" t="s">
        <v>17</v>
      </c>
      <c r="B196" s="12" t="s">
        <v>9</v>
      </c>
      <c r="C196" s="12" t="s">
        <v>11</v>
      </c>
      <c r="D196" s="12" t="s">
        <v>12</v>
      </c>
      <c r="E196" s="9">
        <v>144</v>
      </c>
      <c r="F196" s="12">
        <f>RANK(Table9[[#This Row],[Total Score]],Table9[[Gender]:[Total Score]],0)</f>
        <v>209</v>
      </c>
      <c r="G196" s="12" t="str">
        <f>_xlfn.XLOOKUP(Table9[[#This Row],[Total Score]],H:H,I:I,,-1)</f>
        <v>F</v>
      </c>
    </row>
    <row r="197" spans="1:7" x14ac:dyDescent="0.35">
      <c r="A197" s="9" t="s">
        <v>17</v>
      </c>
      <c r="B197" s="12" t="s">
        <v>24</v>
      </c>
      <c r="C197" s="12" t="s">
        <v>20</v>
      </c>
      <c r="D197" s="12" t="s">
        <v>15</v>
      </c>
      <c r="E197" s="9">
        <v>224</v>
      </c>
      <c r="F197" s="12">
        <f>RANK(Table9[[#This Row],[Total Score]],Table9[[Gender]:[Total Score]],0)</f>
        <v>86</v>
      </c>
      <c r="G197" s="12" t="str">
        <f>_xlfn.XLOOKUP(Table9[[#This Row],[Total Score]],H:H,I:I,,-1)</f>
        <v>C-</v>
      </c>
    </row>
    <row r="198" spans="1:7" x14ac:dyDescent="0.35">
      <c r="A198" s="9" t="s">
        <v>17</v>
      </c>
      <c r="B198" s="12" t="s">
        <v>13</v>
      </c>
      <c r="C198" s="12" t="s">
        <v>20</v>
      </c>
      <c r="D198" s="12" t="s">
        <v>12</v>
      </c>
      <c r="E198" s="9">
        <v>151</v>
      </c>
      <c r="F198" s="12">
        <f>RANK(Table9[[#This Row],[Total Score]],Table9[[Gender]:[Total Score]],0)</f>
        <v>203</v>
      </c>
      <c r="G198" s="12" t="str">
        <f>_xlfn.XLOOKUP(Table9[[#This Row],[Total Score]],H:H,I:I,,-1)</f>
        <v>F</v>
      </c>
    </row>
    <row r="199" spans="1:7" x14ac:dyDescent="0.35">
      <c r="A199" s="9" t="s">
        <v>17</v>
      </c>
      <c r="B199" s="12" t="s">
        <v>9</v>
      </c>
      <c r="C199" s="12" t="s">
        <v>11</v>
      </c>
      <c r="D199" s="12" t="s">
        <v>15</v>
      </c>
      <c r="E199" s="9">
        <v>244</v>
      </c>
      <c r="F199" s="12">
        <f>RANK(Table9[[#This Row],[Total Score]],Table9[[Gender]:[Total Score]],0)</f>
        <v>45</v>
      </c>
      <c r="G199" s="12" t="str">
        <f>_xlfn.XLOOKUP(Table9[[#This Row],[Total Score]],H:H,I:I,,-1)</f>
        <v>B+</v>
      </c>
    </row>
    <row r="200" spans="1:7" x14ac:dyDescent="0.35">
      <c r="A200" s="9" t="s">
        <v>17</v>
      </c>
      <c r="B200" s="12" t="s">
        <v>24</v>
      </c>
      <c r="C200" s="12" t="s">
        <v>20</v>
      </c>
      <c r="D200" s="12" t="s">
        <v>12</v>
      </c>
      <c r="E200" s="9">
        <v>262</v>
      </c>
      <c r="F200" s="12">
        <f>RANK(Table9[[#This Row],[Total Score]],Table9[[Gender]:[Total Score]],0)</f>
        <v>24</v>
      </c>
      <c r="G200" s="12" t="str">
        <f>_xlfn.XLOOKUP(Table9[[#This Row],[Total Score]],H:H,I:I,,-1)</f>
        <v>B+</v>
      </c>
    </row>
    <row r="201" spans="1:7" x14ac:dyDescent="0.35">
      <c r="A201" s="9" t="s">
        <v>8</v>
      </c>
      <c r="B201" s="12" t="s">
        <v>21</v>
      </c>
      <c r="C201" s="12" t="s">
        <v>11</v>
      </c>
      <c r="D201" s="12" t="s">
        <v>12</v>
      </c>
      <c r="E201" s="9">
        <v>214</v>
      </c>
      <c r="F201" s="12">
        <f>RANK(Table9[[#This Row],[Total Score]],Table9[[Gender]:[Total Score]],0)</f>
        <v>101</v>
      </c>
      <c r="G201" s="12" t="str">
        <f>_xlfn.XLOOKUP(Table9[[#This Row],[Total Score]],H:H,I:I,,-1)</f>
        <v>C-</v>
      </c>
    </row>
    <row r="202" spans="1:7" x14ac:dyDescent="0.35">
      <c r="A202" s="9" t="s">
        <v>8</v>
      </c>
      <c r="B202" s="12" t="s">
        <v>24</v>
      </c>
      <c r="C202" s="12" t="s">
        <v>11</v>
      </c>
      <c r="D202" s="12" t="s">
        <v>12</v>
      </c>
      <c r="E202" s="9">
        <v>156</v>
      </c>
      <c r="F202" s="12">
        <f>RANK(Table9[[#This Row],[Total Score]],Table9[[Gender]:[Total Score]],0)</f>
        <v>196</v>
      </c>
      <c r="G202" s="12" t="str">
        <f>_xlfn.XLOOKUP(Table9[[#This Row],[Total Score]],H:H,I:I,,-1)</f>
        <v>F</v>
      </c>
    </row>
    <row r="203" spans="1:7" x14ac:dyDescent="0.35">
      <c r="A203" s="9" t="s">
        <v>8</v>
      </c>
      <c r="B203" s="12" t="s">
        <v>13</v>
      </c>
      <c r="C203" s="12" t="s">
        <v>11</v>
      </c>
      <c r="D203" s="12" t="s">
        <v>15</v>
      </c>
      <c r="E203" s="9">
        <v>218</v>
      </c>
      <c r="F203" s="12">
        <f>RANK(Table9[[#This Row],[Total Score]],Table9[[Gender]:[Total Score]],0)</f>
        <v>93</v>
      </c>
      <c r="G203" s="12" t="str">
        <f>_xlfn.XLOOKUP(Table9[[#This Row],[Total Score]],H:H,I:I,,-1)</f>
        <v>C-</v>
      </c>
    </row>
    <row r="204" spans="1:7" x14ac:dyDescent="0.35">
      <c r="A204" s="9" t="s">
        <v>8</v>
      </c>
      <c r="B204" s="12" t="s">
        <v>24</v>
      </c>
      <c r="C204" s="12" t="s">
        <v>11</v>
      </c>
      <c r="D204" s="12" t="s">
        <v>15</v>
      </c>
      <c r="E204" s="9">
        <v>288</v>
      </c>
      <c r="F204" s="12">
        <f>RANK(Table9[[#This Row],[Total Score]],Table9[[Gender]:[Total Score]],0)</f>
        <v>4</v>
      </c>
      <c r="G204" s="12" t="str">
        <f>_xlfn.XLOOKUP(Table9[[#This Row],[Total Score]],H:H,I:I,,-1)</f>
        <v>A+</v>
      </c>
    </row>
    <row r="205" spans="1:7" x14ac:dyDescent="0.35">
      <c r="A205" s="9" t="s">
        <v>8</v>
      </c>
      <c r="B205" s="12" t="s">
        <v>24</v>
      </c>
      <c r="C205" s="12" t="s">
        <v>11</v>
      </c>
      <c r="D205" s="12" t="s">
        <v>12</v>
      </c>
      <c r="E205" s="9">
        <v>262</v>
      </c>
      <c r="F205" s="12">
        <f>RANK(Table9[[#This Row],[Total Score]],Table9[[Gender]:[Total Score]],0)</f>
        <v>24</v>
      </c>
      <c r="G205" s="12" t="str">
        <f>_xlfn.XLOOKUP(Table9[[#This Row],[Total Score]],H:H,I:I,,-1)</f>
        <v>B+</v>
      </c>
    </row>
    <row r="206" spans="1:7" x14ac:dyDescent="0.35">
      <c r="A206" s="9" t="s">
        <v>8</v>
      </c>
      <c r="B206" s="12" t="s">
        <v>24</v>
      </c>
      <c r="C206" s="12" t="s">
        <v>11</v>
      </c>
      <c r="D206" s="12" t="s">
        <v>12</v>
      </c>
      <c r="E206" s="9">
        <v>190</v>
      </c>
      <c r="F206" s="12">
        <f>RANK(Table9[[#This Row],[Total Score]],Table9[[Gender]:[Total Score]],0)</f>
        <v>153</v>
      </c>
      <c r="G206" s="12" t="str">
        <f>_xlfn.XLOOKUP(Table9[[#This Row],[Total Score]],H:H,I:I,,-1)</f>
        <v>D-</v>
      </c>
    </row>
    <row r="207" spans="1:7" x14ac:dyDescent="0.35">
      <c r="A207" s="9" t="s">
        <v>17</v>
      </c>
      <c r="B207" s="12" t="s">
        <v>21</v>
      </c>
      <c r="C207" s="12" t="s">
        <v>11</v>
      </c>
      <c r="D207" s="12" t="s">
        <v>15</v>
      </c>
      <c r="E207" s="9">
        <v>184</v>
      </c>
      <c r="F207" s="12">
        <f>RANK(Table9[[#This Row],[Total Score]],Table9[[Gender]:[Total Score]],0)</f>
        <v>159</v>
      </c>
      <c r="G207" s="12" t="str">
        <f>_xlfn.XLOOKUP(Table9[[#This Row],[Total Score]],H:H,I:I,,-1)</f>
        <v>D-</v>
      </c>
    </row>
    <row r="208" spans="1:7" x14ac:dyDescent="0.35">
      <c r="A208" s="9" t="s">
        <v>8</v>
      </c>
      <c r="B208" s="12" t="s">
        <v>9</v>
      </c>
      <c r="C208" s="12" t="s">
        <v>20</v>
      </c>
      <c r="D208" s="12" t="s">
        <v>12</v>
      </c>
      <c r="E208" s="9">
        <v>162</v>
      </c>
      <c r="F208" s="12">
        <f>RANK(Table9[[#This Row],[Total Score]],Table9[[Gender]:[Total Score]],0)</f>
        <v>187</v>
      </c>
      <c r="G208" s="12" t="str">
        <f>_xlfn.XLOOKUP(Table9[[#This Row],[Total Score]],H:H,I:I,,-1)</f>
        <v>F</v>
      </c>
    </row>
    <row r="209" spans="1:7" x14ac:dyDescent="0.35">
      <c r="A209" s="9" t="s">
        <v>8</v>
      </c>
      <c r="B209" s="12" t="s">
        <v>13</v>
      </c>
      <c r="C209" s="12" t="s">
        <v>11</v>
      </c>
      <c r="D209" s="12" t="s">
        <v>15</v>
      </c>
      <c r="E209" s="9">
        <v>214</v>
      </c>
      <c r="F209" s="12">
        <f>RANK(Table9[[#This Row],[Total Score]],Table9[[Gender]:[Total Score]],0)</f>
        <v>101</v>
      </c>
      <c r="G209" s="12" t="str">
        <f>_xlfn.XLOOKUP(Table9[[#This Row],[Total Score]],H:H,I:I,,-1)</f>
        <v>C-</v>
      </c>
    </row>
    <row r="210" spans="1:7" x14ac:dyDescent="0.35">
      <c r="A210" s="9" t="s">
        <v>8</v>
      </c>
      <c r="B210" s="12" t="s">
        <v>9</v>
      </c>
      <c r="C210" s="12" t="s">
        <v>20</v>
      </c>
      <c r="D210" s="12" t="s">
        <v>12</v>
      </c>
      <c r="E210" s="9">
        <v>184</v>
      </c>
      <c r="F210" s="12">
        <f>RANK(Table9[[#This Row],[Total Score]],Table9[[Gender]:[Total Score]],0)</f>
        <v>159</v>
      </c>
      <c r="G210" s="12" t="str">
        <f>_xlfn.XLOOKUP(Table9[[#This Row],[Total Score]],H:H,I:I,,-1)</f>
        <v>D-</v>
      </c>
    </row>
    <row r="211" spans="1:7" x14ac:dyDescent="0.35">
      <c r="A211" s="9" t="s">
        <v>17</v>
      </c>
      <c r="B211" s="12" t="s">
        <v>24</v>
      </c>
      <c r="C211" s="12" t="s">
        <v>20</v>
      </c>
      <c r="D211" s="12" t="s">
        <v>12</v>
      </c>
      <c r="E211" s="9">
        <v>172</v>
      </c>
      <c r="F211" s="12">
        <f>RANK(Table9[[#This Row],[Total Score]],Table9[[Gender]:[Total Score]],0)</f>
        <v>173</v>
      </c>
      <c r="G211" s="12" t="str">
        <f>_xlfn.XLOOKUP(Table9[[#This Row],[Total Score]],H:H,I:I,,-1)</f>
        <v>F</v>
      </c>
    </row>
    <row r="212" spans="1:7" x14ac:dyDescent="0.35">
      <c r="A212" s="9" t="s">
        <v>17</v>
      </c>
      <c r="B212" s="12" t="s">
        <v>24</v>
      </c>
      <c r="C212" s="12" t="s">
        <v>20</v>
      </c>
      <c r="D212" s="12" t="s">
        <v>15</v>
      </c>
      <c r="E212" s="9">
        <v>133</v>
      </c>
      <c r="F212" s="12">
        <f>RANK(Table9[[#This Row],[Total Score]],Table9[[Gender]:[Total Score]],0)</f>
        <v>217</v>
      </c>
      <c r="G212" s="12" t="str">
        <f>_xlfn.XLOOKUP(Table9[[#This Row],[Total Score]],H:H,I:I,,-1)</f>
        <v>F</v>
      </c>
    </row>
    <row r="213" spans="1:7" x14ac:dyDescent="0.35">
      <c r="A213" s="9" t="s">
        <v>17</v>
      </c>
      <c r="B213" s="12" t="s">
        <v>21</v>
      </c>
      <c r="C213" s="12" t="s">
        <v>20</v>
      </c>
      <c r="D213" s="12" t="s">
        <v>15</v>
      </c>
      <c r="E213" s="9">
        <v>205</v>
      </c>
      <c r="F213" s="12">
        <f>RANK(Table9[[#This Row],[Total Score]],Table9[[Gender]:[Total Score]],0)</f>
        <v>124</v>
      </c>
      <c r="G213" s="12" t="str">
        <f>_xlfn.XLOOKUP(Table9[[#This Row],[Total Score]],H:H,I:I,,-1)</f>
        <v>D-</v>
      </c>
    </row>
    <row r="214" spans="1:7" x14ac:dyDescent="0.35">
      <c r="A214" s="9" t="s">
        <v>17</v>
      </c>
      <c r="B214" s="12" t="s">
        <v>13</v>
      </c>
      <c r="C214" s="12" t="s">
        <v>11</v>
      </c>
      <c r="D214" s="12" t="s">
        <v>15</v>
      </c>
      <c r="E214" s="9">
        <v>275</v>
      </c>
      <c r="F214" s="12">
        <f>RANK(Table9[[#This Row],[Total Score]],Table9[[Gender]:[Total Score]],0)</f>
        <v>10</v>
      </c>
      <c r="G214" s="12" t="str">
        <f>_xlfn.XLOOKUP(Table9[[#This Row],[Total Score]],H:H,I:I,,-1)</f>
        <v>A+</v>
      </c>
    </row>
    <row r="215" spans="1:7" x14ac:dyDescent="0.35">
      <c r="A215" s="9" t="s">
        <v>17</v>
      </c>
      <c r="B215" s="12" t="s">
        <v>18</v>
      </c>
      <c r="C215" s="12" t="s">
        <v>11</v>
      </c>
      <c r="D215" s="12" t="s">
        <v>12</v>
      </c>
      <c r="E215" s="9">
        <v>177</v>
      </c>
      <c r="F215" s="12">
        <f>RANK(Table9[[#This Row],[Total Score]],Table9[[Gender]:[Total Score]],0)</f>
        <v>165</v>
      </c>
      <c r="G215" s="12" t="str">
        <f>_xlfn.XLOOKUP(Table9[[#This Row],[Total Score]],H:H,I:I,,-1)</f>
        <v>F</v>
      </c>
    </row>
    <row r="216" spans="1:7" x14ac:dyDescent="0.35">
      <c r="A216" s="9" t="s">
        <v>8</v>
      </c>
      <c r="B216" s="12" t="s">
        <v>13</v>
      </c>
      <c r="C216" s="12" t="s">
        <v>11</v>
      </c>
      <c r="D216" s="12" t="s">
        <v>12</v>
      </c>
      <c r="E216" s="9">
        <v>173</v>
      </c>
      <c r="F216" s="12">
        <f>RANK(Table9[[#This Row],[Total Score]],Table9[[Gender]:[Total Score]],0)</f>
        <v>170</v>
      </c>
      <c r="G216" s="12" t="str">
        <f>_xlfn.XLOOKUP(Table9[[#This Row],[Total Score]],H:H,I:I,,-1)</f>
        <v>F</v>
      </c>
    </row>
    <row r="217" spans="1:7" x14ac:dyDescent="0.35">
      <c r="A217" s="9" t="s">
        <v>17</v>
      </c>
      <c r="B217" s="12" t="s">
        <v>24</v>
      </c>
      <c r="C217" s="12" t="s">
        <v>11</v>
      </c>
      <c r="D217" s="12" t="s">
        <v>12</v>
      </c>
      <c r="E217" s="9">
        <v>191</v>
      </c>
      <c r="F217" s="12">
        <f>RANK(Table9[[#This Row],[Total Score]],Table9[[Gender]:[Total Score]],0)</f>
        <v>150</v>
      </c>
      <c r="G217" s="12" t="str">
        <f>_xlfn.XLOOKUP(Table9[[#This Row],[Total Score]],H:H,I:I,,-1)</f>
        <v>D-</v>
      </c>
    </row>
    <row r="218" spans="1:7" x14ac:dyDescent="0.35">
      <c r="A218" s="9" t="s">
        <v>8</v>
      </c>
      <c r="B218" s="12" t="s">
        <v>24</v>
      </c>
      <c r="C218" s="12" t="s">
        <v>11</v>
      </c>
      <c r="D218" s="12" t="s">
        <v>12</v>
      </c>
      <c r="E218" s="9">
        <v>300</v>
      </c>
      <c r="F218" s="12">
        <f>RANK(Table9[[#This Row],[Total Score]],Table9[[Gender]:[Total Score]],0)</f>
        <v>1</v>
      </c>
      <c r="G218" s="12" t="str">
        <f>_xlfn.XLOOKUP(Table9[[#This Row],[Total Score]],H:H,I:I,,-1)</f>
        <v>A+</v>
      </c>
    </row>
    <row r="219" spans="1:7" x14ac:dyDescent="0.35">
      <c r="A219" s="9" t="s">
        <v>8</v>
      </c>
      <c r="B219" s="12" t="s">
        <v>24</v>
      </c>
      <c r="C219" s="12" t="s">
        <v>11</v>
      </c>
      <c r="D219" s="12" t="s">
        <v>12</v>
      </c>
      <c r="E219" s="9">
        <v>211</v>
      </c>
      <c r="F219" s="12">
        <f>RANK(Table9[[#This Row],[Total Score]],Table9[[Gender]:[Total Score]],0)</f>
        <v>110</v>
      </c>
      <c r="G219" s="12" t="str">
        <f>_xlfn.XLOOKUP(Table9[[#This Row],[Total Score]],H:H,I:I,,-1)</f>
        <v>C-</v>
      </c>
    </row>
    <row r="220" spans="1:7" x14ac:dyDescent="0.35">
      <c r="A220" s="9" t="s">
        <v>17</v>
      </c>
      <c r="B220" s="12" t="s">
        <v>13</v>
      </c>
      <c r="C220" s="12" t="s">
        <v>11</v>
      </c>
      <c r="D220" s="12" t="s">
        <v>12</v>
      </c>
      <c r="E220" s="9">
        <v>185</v>
      </c>
      <c r="F220" s="12">
        <f>RANK(Table9[[#This Row],[Total Score]],Table9[[Gender]:[Total Score]],0)</f>
        <v>157</v>
      </c>
      <c r="G220" s="12" t="str">
        <f>_xlfn.XLOOKUP(Table9[[#This Row],[Total Score]],H:H,I:I,,-1)</f>
        <v>D-</v>
      </c>
    </row>
    <row r="221" spans="1:7" x14ac:dyDescent="0.35">
      <c r="A221" s="9" t="s">
        <v>8</v>
      </c>
      <c r="B221" s="12" t="s">
        <v>13</v>
      </c>
      <c r="C221" s="12" t="s">
        <v>11</v>
      </c>
      <c r="D221" s="12" t="s">
        <v>12</v>
      </c>
      <c r="E221" s="9">
        <v>280</v>
      </c>
      <c r="F221" s="12">
        <f>RANK(Table9[[#This Row],[Total Score]],Table9[[Gender]:[Total Score]],0)</f>
        <v>7</v>
      </c>
      <c r="G221" s="12" t="str">
        <f>_xlfn.XLOOKUP(Table9[[#This Row],[Total Score]],H:H,I:I,,-1)</f>
        <v>A+</v>
      </c>
    </row>
    <row r="222" spans="1:7" x14ac:dyDescent="0.35">
      <c r="A222" s="9" t="s">
        <v>8</v>
      </c>
      <c r="B222" s="12" t="s">
        <v>13</v>
      </c>
      <c r="C222" s="12" t="s">
        <v>11</v>
      </c>
      <c r="D222" s="12" t="s">
        <v>12</v>
      </c>
      <c r="E222" s="9">
        <v>150</v>
      </c>
      <c r="F222" s="12">
        <f>RANK(Table9[[#This Row],[Total Score]],Table9[[Gender]:[Total Score]],0)</f>
        <v>204</v>
      </c>
      <c r="G222" s="12" t="str">
        <f>_xlfn.XLOOKUP(Table9[[#This Row],[Total Score]],H:H,I:I,,-1)</f>
        <v>F</v>
      </c>
    </row>
    <row r="223" spans="1:7" x14ac:dyDescent="0.35">
      <c r="A223" s="9" t="s">
        <v>8</v>
      </c>
      <c r="B223" s="12" t="s">
        <v>21</v>
      </c>
      <c r="C223" s="12" t="s">
        <v>20</v>
      </c>
      <c r="D223" s="12" t="s">
        <v>12</v>
      </c>
      <c r="E223" s="9">
        <v>207</v>
      </c>
      <c r="F223" s="12">
        <f>RANK(Table9[[#This Row],[Total Score]],Table9[[Gender]:[Total Score]],0)</f>
        <v>115</v>
      </c>
      <c r="G223" s="12" t="str">
        <f>_xlfn.XLOOKUP(Table9[[#This Row],[Total Score]],H:H,I:I,,-1)</f>
        <v>D-</v>
      </c>
    </row>
    <row r="224" spans="1:7" x14ac:dyDescent="0.35">
      <c r="A224" s="9" t="s">
        <v>58</v>
      </c>
      <c r="B224" s="12"/>
      <c r="C224" s="12"/>
      <c r="D224" s="12"/>
      <c r="E224" s="9">
        <f>SUBTOTAL(101,Table9[Total Score])</f>
        <v>208.7072072072072</v>
      </c>
      <c r="F224" s="12">
        <f>SUBTOTAL(109,Table9[POSITION])</f>
        <v>24563</v>
      </c>
      <c r="G224" s="12">
        <f>SUBTOTAL(103,Table9[Grading])</f>
        <v>222</v>
      </c>
    </row>
  </sheetData>
  <conditionalFormatting sqref="E2:E223">
    <cfRule type="dataBar" priority="2">
      <dataBar>
        <cfvo type="min"/>
        <cfvo type="max"/>
        <color rgb="FFFFB628"/>
      </dataBar>
      <extLst>
        <ext xmlns:x14="http://schemas.microsoft.com/office/spreadsheetml/2009/9/main" uri="{B025F937-C7B1-47D3-B67F-A62EFF666E3E}">
          <x14:id>{0690E6A8-5C15-4234-B9C0-E5D175908912}</x14:id>
        </ext>
      </extLst>
    </cfRule>
  </conditionalFormatting>
  <conditionalFormatting sqref="J4:J33">
    <cfRule type="colorScale" priority="1">
      <colorScale>
        <cfvo type="min"/>
        <cfvo type="percentile" val="50"/>
        <cfvo type="max"/>
        <color rgb="FF63BE7B"/>
        <color rgb="FFFCFCFF"/>
        <color rgb="FFF8696B"/>
      </colorScale>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0690E6A8-5C15-4234-B9C0-E5D175908912}">
            <x14:dataBar minLength="0" maxLength="100" border="1" negativeBarBorderColorSameAsPositive="0">
              <x14:cfvo type="autoMin"/>
              <x14:cfvo type="autoMax"/>
              <x14:borderColor rgb="FFFFB628"/>
              <x14:negativeFillColor rgb="FFFF0000"/>
              <x14:negativeBorderColor rgb="FFFF0000"/>
              <x14:axisColor rgb="FF000000"/>
            </x14:dataBar>
          </x14:cfRule>
          <xm:sqref>E2:E223</xm:sqref>
        </x14:conditionalFormatting>
      </x14:conditionalFormatting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476D9-474B-494C-ADCD-847BE83AF6F9}">
  <sheetPr>
    <tabColor rgb="FF92D050"/>
  </sheetPr>
  <dimension ref="B1:M120"/>
  <sheetViews>
    <sheetView showGridLines="0" topLeftCell="A16" zoomScale="89" zoomScaleNormal="89" workbookViewId="0">
      <selection activeCell="U7" sqref="U7"/>
    </sheetView>
  </sheetViews>
  <sheetFormatPr defaultRowHeight="14.5" x14ac:dyDescent="0.35"/>
  <cols>
    <col min="2" max="2" width="8.90625" customWidth="1"/>
    <col min="3" max="3" width="17.81640625" style="1" bestFit="1" customWidth="1"/>
    <col min="4" max="4" width="11.7265625" style="1" bestFit="1" customWidth="1"/>
    <col min="5" max="5" width="13" style="1" bestFit="1" customWidth="1"/>
    <col min="6" max="6" width="12" style="1" customWidth="1"/>
    <col min="7" max="7" width="9.36328125" style="1" customWidth="1"/>
    <col min="8" max="8" width="5.6328125" hidden="1" customWidth="1"/>
    <col min="9" max="9" width="7.08984375" hidden="1" customWidth="1"/>
    <col min="10" max="10" width="18.453125" style="1" bestFit="1" customWidth="1"/>
    <col min="11" max="11" width="13.90625" style="1" bestFit="1" customWidth="1"/>
    <col min="12" max="12" width="6" style="1" bestFit="1" customWidth="1"/>
    <col min="13" max="13" width="10.7265625" style="1" bestFit="1" customWidth="1"/>
    <col min="14" max="14" width="10" bestFit="1" customWidth="1"/>
    <col min="15" max="15" width="5" bestFit="1" customWidth="1"/>
    <col min="16" max="16" width="12.7265625" bestFit="1" customWidth="1"/>
    <col min="17" max="17" width="14.36328125" bestFit="1" customWidth="1"/>
    <col min="18" max="18" width="13.453125" bestFit="1" customWidth="1"/>
    <col min="19" max="19" width="5" bestFit="1" customWidth="1"/>
    <col min="20" max="20" width="16.26953125" bestFit="1" customWidth="1"/>
    <col min="21" max="21" width="10" bestFit="1" customWidth="1"/>
    <col min="22" max="22" width="5" bestFit="1" customWidth="1"/>
    <col min="23" max="23" width="12.7265625" bestFit="1" customWidth="1"/>
    <col min="24" max="24" width="9.453125" bestFit="1" customWidth="1"/>
    <col min="25" max="25" width="10.36328125" bestFit="1" customWidth="1"/>
  </cols>
  <sheetData>
    <row r="1" spans="2:13" ht="21" thickBot="1" x14ac:dyDescent="0.85">
      <c r="B1" s="10" t="s">
        <v>25</v>
      </c>
      <c r="C1" s="11" t="s">
        <v>26</v>
      </c>
      <c r="D1" s="11" t="s">
        <v>59</v>
      </c>
      <c r="E1" s="11" t="s">
        <v>60</v>
      </c>
      <c r="F1" s="54" t="s">
        <v>27</v>
      </c>
      <c r="G1" s="11" t="s">
        <v>65</v>
      </c>
      <c r="H1" s="25" t="s">
        <v>28</v>
      </c>
      <c r="I1" s="25" t="s">
        <v>30</v>
      </c>
    </row>
    <row r="2" spans="2:13" ht="21" thickBot="1" x14ac:dyDescent="0.85">
      <c r="B2" s="87" t="s">
        <v>8</v>
      </c>
      <c r="C2" s="27" t="s">
        <v>9</v>
      </c>
      <c r="D2" s="27" t="s">
        <v>11</v>
      </c>
      <c r="E2" s="27" t="s">
        <v>12</v>
      </c>
      <c r="F2" s="27">
        <v>218</v>
      </c>
      <c r="G2" s="88" t="str">
        <f t="shared" ref="G2:G33" si="0">_xlfn.XLOOKUP(F2,H:H,I:I,,-1)</f>
        <v>C-</v>
      </c>
      <c r="H2" s="24">
        <v>270</v>
      </c>
      <c r="I2" s="23" t="s">
        <v>31</v>
      </c>
    </row>
    <row r="3" spans="2:13" ht="21" thickBot="1" x14ac:dyDescent="0.85">
      <c r="B3" s="87" t="s">
        <v>17</v>
      </c>
      <c r="C3" s="27" t="s">
        <v>21</v>
      </c>
      <c r="D3" s="27" t="s">
        <v>20</v>
      </c>
      <c r="E3" s="27" t="s">
        <v>15</v>
      </c>
      <c r="F3" s="27">
        <v>225</v>
      </c>
      <c r="G3" s="88" t="str">
        <f t="shared" si="0"/>
        <v>C-</v>
      </c>
      <c r="H3" s="24">
        <v>240</v>
      </c>
      <c r="I3" s="23" t="s">
        <v>33</v>
      </c>
    </row>
    <row r="4" spans="2:13" ht="21" thickBot="1" x14ac:dyDescent="0.85">
      <c r="B4" s="87" t="s">
        <v>8</v>
      </c>
      <c r="C4" s="27" t="s">
        <v>13</v>
      </c>
      <c r="D4" s="27" t="s">
        <v>11</v>
      </c>
      <c r="E4" s="27" t="s">
        <v>12</v>
      </c>
      <c r="F4" s="27">
        <v>211</v>
      </c>
      <c r="G4" s="88" t="str">
        <f t="shared" si="0"/>
        <v>C-</v>
      </c>
      <c r="H4" s="24">
        <v>210</v>
      </c>
      <c r="I4" s="23" t="s">
        <v>46</v>
      </c>
      <c r="J4" s="79" t="s">
        <v>63</v>
      </c>
      <c r="K4" s="82" t="s">
        <v>112</v>
      </c>
      <c r="L4" s="82"/>
      <c r="M4" s="84"/>
    </row>
    <row r="5" spans="2:13" ht="21" thickBot="1" x14ac:dyDescent="0.85">
      <c r="B5" s="87" t="s">
        <v>17</v>
      </c>
      <c r="C5" s="27" t="s">
        <v>24</v>
      </c>
      <c r="D5" s="27" t="s">
        <v>20</v>
      </c>
      <c r="E5" s="27" t="s">
        <v>15</v>
      </c>
      <c r="F5" s="27">
        <v>225</v>
      </c>
      <c r="G5" s="88" t="str">
        <f t="shared" si="0"/>
        <v>C-</v>
      </c>
      <c r="H5" s="24">
        <v>180</v>
      </c>
      <c r="I5" s="23" t="s">
        <v>52</v>
      </c>
      <c r="J5" s="101" t="s">
        <v>94</v>
      </c>
      <c r="K5" s="86" t="s">
        <v>15</v>
      </c>
      <c r="L5" s="107" t="s">
        <v>12</v>
      </c>
      <c r="M5" s="78" t="s">
        <v>88</v>
      </c>
    </row>
    <row r="6" spans="2:13" ht="21" thickBot="1" x14ac:dyDescent="0.85">
      <c r="B6" s="87" t="s">
        <v>17</v>
      </c>
      <c r="C6" s="27" t="s">
        <v>18</v>
      </c>
      <c r="D6" s="27" t="s">
        <v>11</v>
      </c>
      <c r="E6" s="27" t="s">
        <v>15</v>
      </c>
      <c r="F6" s="27">
        <v>239</v>
      </c>
      <c r="G6" s="88" t="str">
        <f t="shared" si="0"/>
        <v>C-</v>
      </c>
      <c r="H6" s="24">
        <v>27</v>
      </c>
      <c r="I6" s="23" t="s">
        <v>53</v>
      </c>
      <c r="J6" s="103" t="s">
        <v>18</v>
      </c>
      <c r="K6" s="103">
        <v>859</v>
      </c>
      <c r="L6" s="103">
        <v>1584</v>
      </c>
      <c r="M6" s="103">
        <v>2443</v>
      </c>
    </row>
    <row r="7" spans="2:13" ht="20.5" x14ac:dyDescent="0.8">
      <c r="B7" s="87" t="s">
        <v>8</v>
      </c>
      <c r="C7" s="27" t="s">
        <v>13</v>
      </c>
      <c r="D7" s="27" t="s">
        <v>11</v>
      </c>
      <c r="E7" s="27" t="s">
        <v>12</v>
      </c>
      <c r="F7" s="27">
        <v>211</v>
      </c>
      <c r="G7" s="88" t="str">
        <f t="shared" si="0"/>
        <v>C-</v>
      </c>
      <c r="J7" s="42" t="s">
        <v>20</v>
      </c>
      <c r="K7" s="42">
        <v>167</v>
      </c>
      <c r="L7" s="42">
        <v>199</v>
      </c>
      <c r="M7" s="42">
        <v>366</v>
      </c>
    </row>
    <row r="8" spans="2:13" ht="20.5" x14ac:dyDescent="0.8">
      <c r="B8" s="87" t="s">
        <v>8</v>
      </c>
      <c r="C8" s="27" t="s">
        <v>21</v>
      </c>
      <c r="D8" s="27" t="s">
        <v>11</v>
      </c>
      <c r="E8" s="27" t="s">
        <v>12</v>
      </c>
      <c r="F8" s="27">
        <v>194</v>
      </c>
      <c r="G8" s="88" t="str">
        <f t="shared" si="0"/>
        <v>D-</v>
      </c>
      <c r="J8" s="102" t="s">
        <v>11</v>
      </c>
      <c r="K8" s="102">
        <v>692</v>
      </c>
      <c r="L8" s="102">
        <v>1385</v>
      </c>
      <c r="M8" s="102">
        <v>2077</v>
      </c>
    </row>
    <row r="9" spans="2:13" ht="20.5" x14ac:dyDescent="0.8">
      <c r="B9" s="87" t="s">
        <v>17</v>
      </c>
      <c r="C9" s="27" t="s">
        <v>21</v>
      </c>
      <c r="D9" s="27" t="s">
        <v>11</v>
      </c>
      <c r="E9" s="27" t="s">
        <v>15</v>
      </c>
      <c r="F9" s="27">
        <v>216</v>
      </c>
      <c r="G9" s="88" t="str">
        <f t="shared" si="0"/>
        <v>C-</v>
      </c>
      <c r="J9" s="104" t="s">
        <v>9</v>
      </c>
      <c r="K9" s="105">
        <v>713</v>
      </c>
      <c r="L9" s="105">
        <v>3565</v>
      </c>
      <c r="M9" s="106">
        <v>4278</v>
      </c>
    </row>
    <row r="10" spans="2:13" ht="20.5" x14ac:dyDescent="0.8">
      <c r="B10" s="87" t="s">
        <v>8</v>
      </c>
      <c r="C10" s="27" t="s">
        <v>24</v>
      </c>
      <c r="D10" s="27" t="s">
        <v>11</v>
      </c>
      <c r="E10" s="27" t="s">
        <v>15</v>
      </c>
      <c r="F10" s="27">
        <v>299</v>
      </c>
      <c r="G10" s="88" t="str">
        <f t="shared" si="0"/>
        <v>A+</v>
      </c>
      <c r="J10" s="42" t="s">
        <v>20</v>
      </c>
      <c r="K10" s="42">
        <v>265</v>
      </c>
      <c r="L10" s="42">
        <v>1643</v>
      </c>
      <c r="M10" s="42">
        <v>1908</v>
      </c>
    </row>
    <row r="11" spans="2:13" ht="20.5" x14ac:dyDescent="0.8">
      <c r="B11" s="87" t="s">
        <v>8</v>
      </c>
      <c r="C11" s="27" t="s">
        <v>9</v>
      </c>
      <c r="D11" s="27" t="s">
        <v>20</v>
      </c>
      <c r="E11" s="27" t="s">
        <v>12</v>
      </c>
      <c r="F11" s="27">
        <v>242</v>
      </c>
      <c r="G11" s="88" t="str">
        <f t="shared" si="0"/>
        <v>B+</v>
      </c>
      <c r="J11" s="102" t="s">
        <v>11</v>
      </c>
      <c r="K11" s="102">
        <v>448</v>
      </c>
      <c r="L11" s="102">
        <v>1922</v>
      </c>
      <c r="M11" s="102">
        <v>2370</v>
      </c>
    </row>
    <row r="12" spans="2:13" ht="20.5" x14ac:dyDescent="0.8">
      <c r="B12" s="87" t="s">
        <v>8</v>
      </c>
      <c r="C12" s="27" t="s">
        <v>21</v>
      </c>
      <c r="D12" s="27" t="s">
        <v>11</v>
      </c>
      <c r="E12" s="27" t="s">
        <v>12</v>
      </c>
      <c r="F12" s="27">
        <v>239</v>
      </c>
      <c r="G12" s="88" t="str">
        <f t="shared" si="0"/>
        <v>C-</v>
      </c>
      <c r="J12" s="104" t="s">
        <v>13</v>
      </c>
      <c r="K12" s="105">
        <v>4602</v>
      </c>
      <c r="L12" s="105">
        <v>4187</v>
      </c>
      <c r="M12" s="106">
        <v>8789</v>
      </c>
    </row>
    <row r="13" spans="2:13" ht="20.5" x14ac:dyDescent="0.8">
      <c r="B13" s="87" t="s">
        <v>8</v>
      </c>
      <c r="C13" s="27" t="s">
        <v>13</v>
      </c>
      <c r="D13" s="27" t="s">
        <v>11</v>
      </c>
      <c r="E13" s="27" t="s">
        <v>15</v>
      </c>
      <c r="F13" s="27">
        <v>260</v>
      </c>
      <c r="G13" s="88" t="str">
        <f t="shared" si="0"/>
        <v>B+</v>
      </c>
      <c r="J13" s="42" t="s">
        <v>20</v>
      </c>
      <c r="K13" s="42">
        <v>1446</v>
      </c>
      <c r="L13" s="42">
        <v>1431</v>
      </c>
      <c r="M13" s="42">
        <v>2877</v>
      </c>
    </row>
    <row r="14" spans="2:13" ht="20.5" x14ac:dyDescent="0.8">
      <c r="B14" s="87" t="s">
        <v>8</v>
      </c>
      <c r="C14" s="27" t="s">
        <v>18</v>
      </c>
      <c r="D14" s="27" t="s">
        <v>11</v>
      </c>
      <c r="E14" s="27" t="s">
        <v>12</v>
      </c>
      <c r="F14" s="27">
        <v>151</v>
      </c>
      <c r="G14" s="88" t="str">
        <f t="shared" si="0"/>
        <v>F</v>
      </c>
      <c r="J14" s="102" t="s">
        <v>11</v>
      </c>
      <c r="K14" s="102">
        <v>3156</v>
      </c>
      <c r="L14" s="102">
        <v>2756</v>
      </c>
      <c r="M14" s="102">
        <v>5912</v>
      </c>
    </row>
    <row r="15" spans="2:13" ht="20.5" x14ac:dyDescent="0.8">
      <c r="B15" s="87" t="s">
        <v>17</v>
      </c>
      <c r="C15" s="27" t="s">
        <v>21</v>
      </c>
      <c r="D15" s="27" t="s">
        <v>20</v>
      </c>
      <c r="E15" s="27" t="s">
        <v>15</v>
      </c>
      <c r="F15" s="27">
        <v>228</v>
      </c>
      <c r="G15" s="88" t="str">
        <f t="shared" si="0"/>
        <v>C-</v>
      </c>
      <c r="J15" s="104" t="s">
        <v>21</v>
      </c>
      <c r="K15" s="105">
        <v>1938</v>
      </c>
      <c r="L15" s="105">
        <v>3931</v>
      </c>
      <c r="M15" s="106">
        <v>5869</v>
      </c>
    </row>
    <row r="16" spans="2:13" ht="20.5" x14ac:dyDescent="0.8">
      <c r="B16" s="87" t="s">
        <v>17</v>
      </c>
      <c r="C16" s="27" t="s">
        <v>13</v>
      </c>
      <c r="D16" s="27" t="s">
        <v>11</v>
      </c>
      <c r="E16" s="27" t="s">
        <v>12</v>
      </c>
      <c r="F16" s="27">
        <v>161</v>
      </c>
      <c r="G16" s="88" t="str">
        <f t="shared" si="0"/>
        <v>F</v>
      </c>
      <c r="J16" s="42" t="s">
        <v>20</v>
      </c>
      <c r="K16" s="42">
        <v>1072</v>
      </c>
      <c r="L16" s="42">
        <v>1720</v>
      </c>
      <c r="M16" s="42">
        <v>2792</v>
      </c>
    </row>
    <row r="17" spans="2:13" ht="20.5" x14ac:dyDescent="0.8">
      <c r="B17" s="87" t="s">
        <v>8</v>
      </c>
      <c r="C17" s="27" t="s">
        <v>21</v>
      </c>
      <c r="D17" s="27" t="s">
        <v>11</v>
      </c>
      <c r="E17" s="27" t="s">
        <v>15</v>
      </c>
      <c r="F17" s="27">
        <v>224</v>
      </c>
      <c r="G17" s="88" t="str">
        <f t="shared" si="0"/>
        <v>C-</v>
      </c>
      <c r="J17" s="102" t="s">
        <v>11</v>
      </c>
      <c r="K17" s="102">
        <v>866</v>
      </c>
      <c r="L17" s="102">
        <v>2211</v>
      </c>
      <c r="M17" s="102">
        <v>3077</v>
      </c>
    </row>
    <row r="18" spans="2:13" ht="20.5" x14ac:dyDescent="0.8">
      <c r="B18" s="87" t="s">
        <v>17</v>
      </c>
      <c r="C18" s="27" t="s">
        <v>18</v>
      </c>
      <c r="D18" s="27" t="s">
        <v>11</v>
      </c>
      <c r="E18" s="27" t="s">
        <v>12</v>
      </c>
      <c r="F18" s="27">
        <v>212</v>
      </c>
      <c r="G18" s="88" t="str">
        <f t="shared" si="0"/>
        <v>C-</v>
      </c>
      <c r="J18" s="104" t="s">
        <v>24</v>
      </c>
      <c r="K18" s="105">
        <v>2409</v>
      </c>
      <c r="L18" s="105">
        <v>1673</v>
      </c>
      <c r="M18" s="106">
        <v>4082</v>
      </c>
    </row>
    <row r="19" spans="2:13" ht="20.5" x14ac:dyDescent="0.8">
      <c r="B19" s="87" t="s">
        <v>17</v>
      </c>
      <c r="C19" s="27" t="s">
        <v>21</v>
      </c>
      <c r="D19" s="27" t="s">
        <v>11</v>
      </c>
      <c r="E19" s="27" t="s">
        <v>12</v>
      </c>
      <c r="F19" s="27">
        <v>150</v>
      </c>
      <c r="G19" s="88" t="str">
        <f t="shared" si="0"/>
        <v>F</v>
      </c>
      <c r="J19" s="42" t="s">
        <v>20</v>
      </c>
      <c r="K19" s="42">
        <v>727</v>
      </c>
      <c r="L19" s="42">
        <v>181</v>
      </c>
      <c r="M19" s="42">
        <v>908</v>
      </c>
    </row>
    <row r="20" spans="2:13" ht="20.5" x14ac:dyDescent="0.8">
      <c r="B20" s="87" t="s">
        <v>8</v>
      </c>
      <c r="C20" s="27" t="s">
        <v>13</v>
      </c>
      <c r="D20" s="27" t="s">
        <v>11</v>
      </c>
      <c r="E20" s="27" t="s">
        <v>15</v>
      </c>
      <c r="F20" s="27">
        <v>296</v>
      </c>
      <c r="G20" s="88" t="str">
        <f t="shared" si="0"/>
        <v>A+</v>
      </c>
      <c r="J20" s="102" t="s">
        <v>11</v>
      </c>
      <c r="K20" s="102">
        <v>1682</v>
      </c>
      <c r="L20" s="102">
        <v>1492</v>
      </c>
      <c r="M20" s="102">
        <v>3174</v>
      </c>
    </row>
    <row r="21" spans="2:13" ht="21" thickBot="1" x14ac:dyDescent="0.85">
      <c r="B21" s="87" t="s">
        <v>8</v>
      </c>
      <c r="C21" s="27" t="s">
        <v>13</v>
      </c>
      <c r="D21" s="27" t="s">
        <v>20</v>
      </c>
      <c r="E21" s="27" t="s">
        <v>15</v>
      </c>
      <c r="F21" s="27">
        <v>148</v>
      </c>
      <c r="G21" s="88" t="str">
        <f t="shared" si="0"/>
        <v>F</v>
      </c>
      <c r="J21" s="53" t="s">
        <v>88</v>
      </c>
      <c r="K21" s="80">
        <v>10521</v>
      </c>
      <c r="L21" s="80">
        <v>14940</v>
      </c>
      <c r="M21" s="91">
        <v>25461</v>
      </c>
    </row>
    <row r="22" spans="2:13" ht="20.5" x14ac:dyDescent="0.8">
      <c r="B22" s="87" t="s">
        <v>8</v>
      </c>
      <c r="C22" s="27" t="s">
        <v>13</v>
      </c>
      <c r="D22" s="27" t="s">
        <v>11</v>
      </c>
      <c r="E22" s="27" t="s">
        <v>12</v>
      </c>
      <c r="F22" s="27">
        <v>252</v>
      </c>
      <c r="G22" s="88" t="str">
        <f t="shared" si="0"/>
        <v>B+</v>
      </c>
    </row>
    <row r="23" spans="2:13" ht="20.5" x14ac:dyDescent="0.8">
      <c r="B23" s="87" t="s">
        <v>8</v>
      </c>
      <c r="C23" s="27" t="s">
        <v>9</v>
      </c>
      <c r="D23" s="27" t="s">
        <v>20</v>
      </c>
      <c r="E23" s="27" t="s">
        <v>12</v>
      </c>
      <c r="F23" s="27">
        <v>233</v>
      </c>
      <c r="G23" s="88" t="str">
        <f t="shared" si="0"/>
        <v>C-</v>
      </c>
    </row>
    <row r="24" spans="2:13" ht="20.5" x14ac:dyDescent="0.8">
      <c r="B24" s="87" t="s">
        <v>17</v>
      </c>
      <c r="C24" s="27" t="s">
        <v>24</v>
      </c>
      <c r="D24" s="27" t="s">
        <v>11</v>
      </c>
      <c r="E24" s="27" t="s">
        <v>12</v>
      </c>
      <c r="F24" s="27">
        <v>206</v>
      </c>
      <c r="G24" s="88" t="str">
        <f t="shared" si="0"/>
        <v>D-</v>
      </c>
    </row>
    <row r="25" spans="2:13" ht="20.5" x14ac:dyDescent="0.8">
      <c r="B25" s="87" t="s">
        <v>8</v>
      </c>
      <c r="C25" s="27" t="s">
        <v>9</v>
      </c>
      <c r="D25" s="27" t="s">
        <v>11</v>
      </c>
      <c r="E25" s="27" t="s">
        <v>12</v>
      </c>
      <c r="F25" s="27">
        <v>236</v>
      </c>
      <c r="G25" s="88" t="str">
        <f t="shared" si="0"/>
        <v>C-</v>
      </c>
    </row>
    <row r="26" spans="2:13" ht="20.5" x14ac:dyDescent="0.8">
      <c r="B26" s="87" t="s">
        <v>17</v>
      </c>
      <c r="C26" s="27" t="s">
        <v>13</v>
      </c>
      <c r="D26" s="27" t="s">
        <v>11</v>
      </c>
      <c r="E26" s="27" t="s">
        <v>15</v>
      </c>
      <c r="F26" s="27">
        <v>249</v>
      </c>
      <c r="G26" s="88" t="str">
        <f t="shared" si="0"/>
        <v>B+</v>
      </c>
    </row>
    <row r="27" spans="2:13" ht="20.5" x14ac:dyDescent="0.8">
      <c r="B27" s="87" t="s">
        <v>17</v>
      </c>
      <c r="C27" s="27" t="s">
        <v>21</v>
      </c>
      <c r="D27" s="27" t="s">
        <v>20</v>
      </c>
      <c r="E27" s="27" t="s">
        <v>12</v>
      </c>
      <c r="F27" s="27">
        <v>196</v>
      </c>
      <c r="G27" s="88" t="str">
        <f t="shared" si="0"/>
        <v>D-</v>
      </c>
    </row>
    <row r="28" spans="2:13" ht="20.5" x14ac:dyDescent="0.8">
      <c r="B28" s="87" t="s">
        <v>8</v>
      </c>
      <c r="C28" s="27" t="s">
        <v>24</v>
      </c>
      <c r="D28" s="27" t="s">
        <v>11</v>
      </c>
      <c r="E28" s="27" t="s">
        <v>12</v>
      </c>
      <c r="F28" s="27">
        <v>246</v>
      </c>
      <c r="G28" s="88" t="str">
        <f t="shared" si="0"/>
        <v>B+</v>
      </c>
    </row>
    <row r="29" spans="2:13" ht="20.5" x14ac:dyDescent="0.8">
      <c r="B29" s="87" t="s">
        <v>8</v>
      </c>
      <c r="C29" s="27" t="s">
        <v>13</v>
      </c>
      <c r="D29" s="27" t="s">
        <v>11</v>
      </c>
      <c r="E29" s="27" t="s">
        <v>12</v>
      </c>
      <c r="F29" s="27">
        <v>219</v>
      </c>
      <c r="G29" s="88" t="str">
        <f t="shared" si="0"/>
        <v>C-</v>
      </c>
    </row>
    <row r="30" spans="2:13" ht="20.5" x14ac:dyDescent="0.8">
      <c r="B30" s="87" t="s">
        <v>17</v>
      </c>
      <c r="C30" s="27" t="s">
        <v>13</v>
      </c>
      <c r="D30" s="27" t="s">
        <v>11</v>
      </c>
      <c r="E30" s="27" t="s">
        <v>12</v>
      </c>
      <c r="F30" s="27">
        <v>193</v>
      </c>
      <c r="G30" s="88" t="str">
        <f t="shared" si="0"/>
        <v>D-</v>
      </c>
    </row>
    <row r="31" spans="2:13" ht="20.5" x14ac:dyDescent="0.8">
      <c r="B31" s="87" t="s">
        <v>17</v>
      </c>
      <c r="C31" s="27" t="s">
        <v>13</v>
      </c>
      <c r="D31" s="27" t="s">
        <v>11</v>
      </c>
      <c r="E31" s="27" t="s">
        <v>12</v>
      </c>
      <c r="F31" s="27">
        <v>234</v>
      </c>
      <c r="G31" s="88" t="str">
        <f t="shared" si="0"/>
        <v>C-</v>
      </c>
    </row>
    <row r="32" spans="2:13" ht="20.5" x14ac:dyDescent="0.8">
      <c r="B32" s="87" t="s">
        <v>17</v>
      </c>
      <c r="C32" s="27" t="s">
        <v>9</v>
      </c>
      <c r="D32" s="27" t="s">
        <v>20</v>
      </c>
      <c r="E32" s="27" t="s">
        <v>12</v>
      </c>
      <c r="F32" s="27">
        <v>186</v>
      </c>
      <c r="G32" s="88" t="str">
        <f t="shared" si="0"/>
        <v>D-</v>
      </c>
    </row>
    <row r="33" spans="2:7" ht="20.5" x14ac:dyDescent="0.8">
      <c r="B33" s="87" t="s">
        <v>8</v>
      </c>
      <c r="C33" s="27" t="s">
        <v>21</v>
      </c>
      <c r="D33" s="27" t="s">
        <v>20</v>
      </c>
      <c r="E33" s="27" t="s">
        <v>12</v>
      </c>
      <c r="F33" s="27">
        <v>236</v>
      </c>
      <c r="G33" s="88" t="str">
        <f t="shared" si="0"/>
        <v>C-</v>
      </c>
    </row>
    <row r="34" spans="2:7" ht="20.5" x14ac:dyDescent="0.8">
      <c r="B34" s="87" t="s">
        <v>17</v>
      </c>
      <c r="C34" s="27" t="s">
        <v>9</v>
      </c>
      <c r="D34" s="27" t="s">
        <v>20</v>
      </c>
      <c r="E34" s="27" t="s">
        <v>12</v>
      </c>
      <c r="F34" s="27">
        <v>239</v>
      </c>
      <c r="G34" s="88" t="str">
        <f t="shared" ref="G34:G65" si="1">_xlfn.XLOOKUP(F34,H:H,I:I,,-1)</f>
        <v>C-</v>
      </c>
    </row>
    <row r="35" spans="2:7" ht="20.5" x14ac:dyDescent="0.8">
      <c r="B35" s="87" t="s">
        <v>8</v>
      </c>
      <c r="C35" s="27" t="s">
        <v>24</v>
      </c>
      <c r="D35" s="27" t="s">
        <v>11</v>
      </c>
      <c r="E35" s="27" t="s">
        <v>12</v>
      </c>
      <c r="F35" s="27">
        <v>213</v>
      </c>
      <c r="G35" s="88" t="str">
        <f t="shared" si="1"/>
        <v>C-</v>
      </c>
    </row>
    <row r="36" spans="2:7" ht="20.5" x14ac:dyDescent="0.8">
      <c r="B36" s="87" t="s">
        <v>17</v>
      </c>
      <c r="C36" s="27" t="s">
        <v>9</v>
      </c>
      <c r="D36" s="27" t="s">
        <v>11</v>
      </c>
      <c r="E36" s="27" t="s">
        <v>12</v>
      </c>
      <c r="F36" s="27">
        <v>183</v>
      </c>
      <c r="G36" s="88" t="str">
        <f t="shared" si="1"/>
        <v>D-</v>
      </c>
    </row>
    <row r="37" spans="2:7" ht="20.5" x14ac:dyDescent="0.8">
      <c r="B37" s="87" t="s">
        <v>17</v>
      </c>
      <c r="C37" s="27" t="s">
        <v>21</v>
      </c>
      <c r="D37" s="27" t="s">
        <v>11</v>
      </c>
      <c r="E37" s="27" t="s">
        <v>15</v>
      </c>
      <c r="F37" s="27">
        <v>196</v>
      </c>
      <c r="G37" s="88" t="str">
        <f t="shared" si="1"/>
        <v>D-</v>
      </c>
    </row>
    <row r="38" spans="2:7" ht="20.5" x14ac:dyDescent="0.8">
      <c r="B38" s="87" t="s">
        <v>8</v>
      </c>
      <c r="C38" s="27" t="s">
        <v>13</v>
      </c>
      <c r="D38" s="27" t="s">
        <v>11</v>
      </c>
      <c r="E38" s="27" t="s">
        <v>15</v>
      </c>
      <c r="F38" s="27">
        <v>198</v>
      </c>
      <c r="G38" s="88" t="str">
        <f t="shared" si="1"/>
        <v>D-</v>
      </c>
    </row>
    <row r="39" spans="2:7" ht="20.5" x14ac:dyDescent="0.8">
      <c r="B39" s="87" t="s">
        <v>17</v>
      </c>
      <c r="C39" s="27" t="s">
        <v>9</v>
      </c>
      <c r="D39" s="27" t="s">
        <v>11</v>
      </c>
      <c r="E39" s="27" t="s">
        <v>12</v>
      </c>
      <c r="F39" s="27">
        <v>203</v>
      </c>
      <c r="G39" s="88" t="str">
        <f t="shared" si="1"/>
        <v>D-</v>
      </c>
    </row>
    <row r="40" spans="2:7" ht="20.5" x14ac:dyDescent="0.8">
      <c r="B40" s="87" t="s">
        <v>8</v>
      </c>
      <c r="C40" s="27" t="s">
        <v>13</v>
      </c>
      <c r="D40" s="27" t="s">
        <v>11</v>
      </c>
      <c r="E40" s="27" t="s">
        <v>12</v>
      </c>
      <c r="F40" s="27">
        <v>271</v>
      </c>
      <c r="G40" s="88" t="str">
        <f t="shared" si="1"/>
        <v>A+</v>
      </c>
    </row>
    <row r="41" spans="2:7" ht="20.5" x14ac:dyDescent="0.8">
      <c r="B41" s="87" t="s">
        <v>8</v>
      </c>
      <c r="C41" s="27" t="s">
        <v>13</v>
      </c>
      <c r="D41" s="27" t="s">
        <v>11</v>
      </c>
      <c r="E41" s="27" t="s">
        <v>15</v>
      </c>
      <c r="F41" s="27">
        <v>266</v>
      </c>
      <c r="G41" s="88" t="str">
        <f t="shared" si="1"/>
        <v>B+</v>
      </c>
    </row>
    <row r="42" spans="2:7" ht="20.5" x14ac:dyDescent="0.8">
      <c r="B42" s="87" t="s">
        <v>8</v>
      </c>
      <c r="C42" s="27" t="s">
        <v>9</v>
      </c>
      <c r="D42" s="27" t="s">
        <v>11</v>
      </c>
      <c r="E42" s="27" t="s">
        <v>12</v>
      </c>
      <c r="F42" s="27">
        <v>186</v>
      </c>
      <c r="G42" s="88" t="str">
        <f t="shared" si="1"/>
        <v>D-</v>
      </c>
    </row>
    <row r="43" spans="2:7" ht="20.5" x14ac:dyDescent="0.8">
      <c r="B43" s="87" t="s">
        <v>8</v>
      </c>
      <c r="C43" s="27" t="s">
        <v>9</v>
      </c>
      <c r="D43" s="27" t="s">
        <v>11</v>
      </c>
      <c r="E43" s="27" t="s">
        <v>12</v>
      </c>
      <c r="F43" s="27">
        <v>203</v>
      </c>
      <c r="G43" s="88" t="str">
        <f t="shared" si="1"/>
        <v>D-</v>
      </c>
    </row>
    <row r="44" spans="2:7" ht="20.5" x14ac:dyDescent="0.8">
      <c r="B44" s="87" t="s">
        <v>17</v>
      </c>
      <c r="C44" s="27" t="s">
        <v>18</v>
      </c>
      <c r="D44" s="27" t="s">
        <v>20</v>
      </c>
      <c r="E44" s="27" t="s">
        <v>15</v>
      </c>
      <c r="F44" s="27">
        <v>167</v>
      </c>
      <c r="G44" s="88" t="str">
        <f t="shared" si="1"/>
        <v>F</v>
      </c>
    </row>
    <row r="45" spans="2:7" ht="20.5" x14ac:dyDescent="0.8">
      <c r="B45" s="87" t="s">
        <v>17</v>
      </c>
      <c r="C45" s="27" t="s">
        <v>13</v>
      </c>
      <c r="D45" s="27" t="s">
        <v>20</v>
      </c>
      <c r="E45" s="27" t="s">
        <v>12</v>
      </c>
      <c r="F45" s="27">
        <v>188</v>
      </c>
      <c r="G45" s="88" t="str">
        <f t="shared" si="1"/>
        <v>D-</v>
      </c>
    </row>
    <row r="46" spans="2:7" ht="20.5" x14ac:dyDescent="0.8">
      <c r="B46" s="87" t="s">
        <v>8</v>
      </c>
      <c r="C46" s="27" t="s">
        <v>21</v>
      </c>
      <c r="D46" s="27" t="s">
        <v>11</v>
      </c>
      <c r="E46" s="27" t="s">
        <v>12</v>
      </c>
      <c r="F46" s="27">
        <v>202</v>
      </c>
      <c r="G46" s="88" t="str">
        <f t="shared" si="1"/>
        <v>D-</v>
      </c>
    </row>
    <row r="47" spans="2:7" ht="20.5" x14ac:dyDescent="0.8">
      <c r="B47" s="87" t="s">
        <v>17</v>
      </c>
      <c r="C47" s="27" t="s">
        <v>18</v>
      </c>
      <c r="D47" s="27" t="s">
        <v>11</v>
      </c>
      <c r="E47" s="27" t="s">
        <v>12</v>
      </c>
      <c r="F47" s="27">
        <v>192</v>
      </c>
      <c r="G47" s="88" t="str">
        <f t="shared" si="1"/>
        <v>D-</v>
      </c>
    </row>
    <row r="48" spans="2:7" ht="20.5" x14ac:dyDescent="0.8">
      <c r="B48" s="87" t="s">
        <v>8</v>
      </c>
      <c r="C48" s="27" t="s">
        <v>24</v>
      </c>
      <c r="D48" s="27" t="s">
        <v>11</v>
      </c>
      <c r="E48" s="27" t="s">
        <v>12</v>
      </c>
      <c r="F48" s="27">
        <v>207</v>
      </c>
      <c r="G48" s="88" t="str">
        <f t="shared" si="1"/>
        <v>D-</v>
      </c>
    </row>
    <row r="49" spans="2:7" ht="20.5" x14ac:dyDescent="0.8">
      <c r="B49" s="87" t="s">
        <v>8</v>
      </c>
      <c r="C49" s="27" t="s">
        <v>13</v>
      </c>
      <c r="D49" s="27" t="s">
        <v>20</v>
      </c>
      <c r="E49" s="27" t="s">
        <v>15</v>
      </c>
      <c r="F49" s="27">
        <v>202</v>
      </c>
      <c r="G49" s="88" t="str">
        <f t="shared" si="1"/>
        <v>D-</v>
      </c>
    </row>
    <row r="50" spans="2:7" ht="20.5" x14ac:dyDescent="0.8">
      <c r="B50" s="87" t="s">
        <v>17</v>
      </c>
      <c r="C50" s="27" t="s">
        <v>13</v>
      </c>
      <c r="D50" s="27" t="s">
        <v>11</v>
      </c>
      <c r="E50" s="27" t="s">
        <v>15</v>
      </c>
      <c r="F50" s="27">
        <v>213</v>
      </c>
      <c r="G50" s="88" t="str">
        <f t="shared" si="1"/>
        <v>C-</v>
      </c>
    </row>
    <row r="51" spans="2:7" ht="20.5" x14ac:dyDescent="0.8">
      <c r="B51" s="87" t="s">
        <v>17</v>
      </c>
      <c r="C51" s="27" t="s">
        <v>13</v>
      </c>
      <c r="D51" s="27" t="s">
        <v>11</v>
      </c>
      <c r="E51" s="27" t="s">
        <v>12</v>
      </c>
      <c r="F51" s="27">
        <v>255</v>
      </c>
      <c r="G51" s="88" t="str">
        <f t="shared" si="1"/>
        <v>B+</v>
      </c>
    </row>
    <row r="52" spans="2:7" ht="20.5" x14ac:dyDescent="0.8">
      <c r="B52" s="87" t="s">
        <v>17</v>
      </c>
      <c r="C52" s="27" t="s">
        <v>13</v>
      </c>
      <c r="D52" s="27" t="s">
        <v>20</v>
      </c>
      <c r="E52" s="27" t="s">
        <v>12</v>
      </c>
      <c r="F52" s="27">
        <v>140</v>
      </c>
      <c r="G52" s="88" t="str">
        <f t="shared" si="1"/>
        <v>F</v>
      </c>
    </row>
    <row r="53" spans="2:7" ht="20.5" x14ac:dyDescent="0.8">
      <c r="B53" s="87" t="s">
        <v>8</v>
      </c>
      <c r="C53" s="27" t="s">
        <v>21</v>
      </c>
      <c r="D53" s="27" t="s">
        <v>11</v>
      </c>
      <c r="E53" s="27" t="s">
        <v>12</v>
      </c>
      <c r="F53" s="27">
        <v>257</v>
      </c>
      <c r="G53" s="88" t="str">
        <f t="shared" si="1"/>
        <v>B+</v>
      </c>
    </row>
    <row r="54" spans="2:7" ht="20.5" x14ac:dyDescent="0.8">
      <c r="B54" s="87" t="s">
        <v>8</v>
      </c>
      <c r="C54" s="27" t="s">
        <v>24</v>
      </c>
      <c r="D54" s="27" t="s">
        <v>11</v>
      </c>
      <c r="E54" s="27" t="s">
        <v>12</v>
      </c>
      <c r="F54" s="27">
        <v>300</v>
      </c>
      <c r="G54" s="88" t="str">
        <f t="shared" si="1"/>
        <v>A+</v>
      </c>
    </row>
    <row r="55" spans="2:7" ht="20.5" x14ac:dyDescent="0.8">
      <c r="B55" s="87" t="s">
        <v>17</v>
      </c>
      <c r="C55" s="27" t="s">
        <v>13</v>
      </c>
      <c r="D55" s="27" t="s">
        <v>20</v>
      </c>
      <c r="E55" s="27" t="s">
        <v>12</v>
      </c>
      <c r="F55" s="27">
        <v>166</v>
      </c>
      <c r="G55" s="88" t="str">
        <f t="shared" si="1"/>
        <v>F</v>
      </c>
    </row>
    <row r="56" spans="2:7" ht="20.5" x14ac:dyDescent="0.8">
      <c r="B56" s="87" t="s">
        <v>17</v>
      </c>
      <c r="C56" s="27" t="s">
        <v>18</v>
      </c>
      <c r="D56" s="27" t="s">
        <v>11</v>
      </c>
      <c r="E56" s="27" t="s">
        <v>15</v>
      </c>
      <c r="F56" s="27">
        <v>195</v>
      </c>
      <c r="G56" s="88" t="str">
        <f t="shared" si="1"/>
        <v>D-</v>
      </c>
    </row>
    <row r="57" spans="2:7" ht="20.5" x14ac:dyDescent="0.8">
      <c r="B57" s="87" t="s">
        <v>8</v>
      </c>
      <c r="C57" s="27" t="s">
        <v>21</v>
      </c>
      <c r="D57" s="27" t="s">
        <v>11</v>
      </c>
      <c r="E57" s="27" t="s">
        <v>15</v>
      </c>
      <c r="F57" s="27">
        <v>230</v>
      </c>
      <c r="G57" s="88" t="str">
        <f t="shared" si="1"/>
        <v>C-</v>
      </c>
    </row>
    <row r="58" spans="2:7" ht="20.5" x14ac:dyDescent="0.8">
      <c r="B58" s="87" t="s">
        <v>17</v>
      </c>
      <c r="C58" s="27" t="s">
        <v>24</v>
      </c>
      <c r="D58" s="27" t="s">
        <v>11</v>
      </c>
      <c r="E58" s="27" t="s">
        <v>15</v>
      </c>
      <c r="F58" s="27">
        <v>204</v>
      </c>
      <c r="G58" s="88" t="str">
        <f t="shared" si="1"/>
        <v>D-</v>
      </c>
    </row>
    <row r="59" spans="2:7" ht="20.5" x14ac:dyDescent="0.8">
      <c r="B59" s="87" t="s">
        <v>8</v>
      </c>
      <c r="C59" s="27" t="s">
        <v>13</v>
      </c>
      <c r="D59" s="27" t="s">
        <v>11</v>
      </c>
      <c r="E59" s="27" t="s">
        <v>12</v>
      </c>
      <c r="F59" s="27">
        <v>259</v>
      </c>
      <c r="G59" s="88" t="str">
        <f t="shared" si="1"/>
        <v>B+</v>
      </c>
    </row>
    <row r="60" spans="2:7" ht="20.5" x14ac:dyDescent="0.8">
      <c r="B60" s="87" t="s">
        <v>17</v>
      </c>
      <c r="C60" s="27" t="s">
        <v>9</v>
      </c>
      <c r="D60" s="27" t="s">
        <v>20</v>
      </c>
      <c r="E60" s="27" t="s">
        <v>12</v>
      </c>
      <c r="F60" s="27">
        <v>168</v>
      </c>
      <c r="G60" s="88" t="str">
        <f t="shared" si="1"/>
        <v>F</v>
      </c>
    </row>
    <row r="61" spans="2:7" ht="20.5" x14ac:dyDescent="0.8">
      <c r="B61" s="87" t="s">
        <v>8</v>
      </c>
      <c r="C61" s="27" t="s">
        <v>13</v>
      </c>
      <c r="D61" s="27" t="s">
        <v>11</v>
      </c>
      <c r="E61" s="27" t="s">
        <v>12</v>
      </c>
      <c r="F61" s="27">
        <v>265</v>
      </c>
      <c r="G61" s="88" t="str">
        <f t="shared" si="1"/>
        <v>B+</v>
      </c>
    </row>
    <row r="62" spans="2:7" ht="20.5" x14ac:dyDescent="0.8">
      <c r="B62" s="87" t="s">
        <v>17</v>
      </c>
      <c r="C62" s="27" t="s">
        <v>21</v>
      </c>
      <c r="D62" s="27" t="s">
        <v>11</v>
      </c>
      <c r="E62" s="27" t="s">
        <v>12</v>
      </c>
      <c r="F62" s="27">
        <v>184</v>
      </c>
      <c r="G62" s="88" t="str">
        <f t="shared" si="1"/>
        <v>D-</v>
      </c>
    </row>
    <row r="63" spans="2:7" ht="20.5" x14ac:dyDescent="0.8">
      <c r="B63" s="87" t="s">
        <v>8</v>
      </c>
      <c r="C63" s="27" t="s">
        <v>21</v>
      </c>
      <c r="D63" s="27" t="s">
        <v>20</v>
      </c>
      <c r="E63" s="27" t="s">
        <v>12</v>
      </c>
      <c r="F63" s="27">
        <v>117</v>
      </c>
      <c r="G63" s="88" t="str">
        <f t="shared" si="1"/>
        <v>F</v>
      </c>
    </row>
    <row r="64" spans="2:7" ht="20.5" x14ac:dyDescent="0.8">
      <c r="B64" s="87" t="s">
        <v>8</v>
      </c>
      <c r="C64" s="27" t="s">
        <v>13</v>
      </c>
      <c r="D64" s="27" t="s">
        <v>20</v>
      </c>
      <c r="E64" s="27" t="s">
        <v>15</v>
      </c>
      <c r="F64" s="27">
        <v>232</v>
      </c>
      <c r="G64" s="88" t="str">
        <f t="shared" si="1"/>
        <v>C-</v>
      </c>
    </row>
    <row r="65" spans="2:7" ht="20.5" x14ac:dyDescent="0.8">
      <c r="B65" s="87" t="s">
        <v>17</v>
      </c>
      <c r="C65" s="27" t="s">
        <v>24</v>
      </c>
      <c r="D65" s="27" t="s">
        <v>11</v>
      </c>
      <c r="E65" s="27" t="s">
        <v>15</v>
      </c>
      <c r="F65" s="27">
        <v>222</v>
      </c>
      <c r="G65" s="88" t="str">
        <f t="shared" si="1"/>
        <v>C-</v>
      </c>
    </row>
    <row r="66" spans="2:7" ht="20.5" x14ac:dyDescent="0.8">
      <c r="B66" s="87" t="s">
        <v>17</v>
      </c>
      <c r="C66" s="27" t="s">
        <v>9</v>
      </c>
      <c r="D66" s="27" t="s">
        <v>20</v>
      </c>
      <c r="E66" s="27" t="s">
        <v>15</v>
      </c>
      <c r="F66" s="27">
        <v>265</v>
      </c>
      <c r="G66" s="88" t="str">
        <f t="shared" ref="G66:G97" si="2">_xlfn.XLOOKUP(F66,H:H,I:I,,-1)</f>
        <v>B+</v>
      </c>
    </row>
    <row r="67" spans="2:7" ht="20.5" x14ac:dyDescent="0.8">
      <c r="B67" s="87" t="s">
        <v>17</v>
      </c>
      <c r="C67" s="27" t="s">
        <v>13</v>
      </c>
      <c r="D67" s="27" t="s">
        <v>11</v>
      </c>
      <c r="E67" s="27" t="s">
        <v>15</v>
      </c>
      <c r="F67" s="27">
        <v>278</v>
      </c>
      <c r="G67" s="88" t="str">
        <f t="shared" si="2"/>
        <v>A+</v>
      </c>
    </row>
    <row r="68" spans="2:7" ht="20.5" x14ac:dyDescent="0.8">
      <c r="B68" s="87" t="s">
        <v>17</v>
      </c>
      <c r="C68" s="27" t="s">
        <v>9</v>
      </c>
      <c r="D68" s="27" t="s">
        <v>20</v>
      </c>
      <c r="E68" s="27" t="s">
        <v>12</v>
      </c>
      <c r="F68" s="27">
        <v>145</v>
      </c>
      <c r="G68" s="88" t="str">
        <f t="shared" si="2"/>
        <v>F</v>
      </c>
    </row>
    <row r="69" spans="2:7" ht="20.5" x14ac:dyDescent="0.8">
      <c r="B69" s="87" t="s">
        <v>8</v>
      </c>
      <c r="C69" s="27" t="s">
        <v>24</v>
      </c>
      <c r="D69" s="27" t="s">
        <v>20</v>
      </c>
      <c r="E69" s="27" t="s">
        <v>15</v>
      </c>
      <c r="F69" s="27">
        <v>292</v>
      </c>
      <c r="G69" s="88" t="str">
        <f t="shared" si="2"/>
        <v>A+</v>
      </c>
    </row>
    <row r="70" spans="2:7" ht="20.5" x14ac:dyDescent="0.8">
      <c r="B70" s="87" t="s">
        <v>17</v>
      </c>
      <c r="C70" s="27" t="s">
        <v>21</v>
      </c>
      <c r="D70" s="27" t="s">
        <v>20</v>
      </c>
      <c r="E70" s="27" t="s">
        <v>12</v>
      </c>
      <c r="F70" s="27">
        <v>203</v>
      </c>
      <c r="G70" s="88" t="str">
        <f t="shared" si="2"/>
        <v>D-</v>
      </c>
    </row>
    <row r="71" spans="2:7" ht="20.5" x14ac:dyDescent="0.8">
      <c r="B71" s="87" t="s">
        <v>17</v>
      </c>
      <c r="C71" s="27" t="s">
        <v>18</v>
      </c>
      <c r="D71" s="27" t="s">
        <v>11</v>
      </c>
      <c r="E71" s="27" t="s">
        <v>12</v>
      </c>
      <c r="F71" s="27">
        <v>279</v>
      </c>
      <c r="G71" s="88" t="str">
        <f t="shared" si="2"/>
        <v>A+</v>
      </c>
    </row>
    <row r="72" spans="2:7" ht="20.5" x14ac:dyDescent="0.8">
      <c r="B72" s="87" t="s">
        <v>8</v>
      </c>
      <c r="C72" s="27" t="s">
        <v>21</v>
      </c>
      <c r="D72" s="27" t="s">
        <v>20</v>
      </c>
      <c r="E72" s="27" t="s">
        <v>12</v>
      </c>
      <c r="F72" s="27">
        <v>214</v>
      </c>
      <c r="G72" s="88" t="str">
        <f t="shared" si="2"/>
        <v>C-</v>
      </c>
    </row>
    <row r="73" spans="2:7" ht="20.5" x14ac:dyDescent="0.8">
      <c r="B73" s="87" t="s">
        <v>8</v>
      </c>
      <c r="C73" s="27" t="s">
        <v>13</v>
      </c>
      <c r="D73" s="27" t="s">
        <v>20</v>
      </c>
      <c r="E73" s="27" t="s">
        <v>12</v>
      </c>
      <c r="F73" s="27">
        <v>169</v>
      </c>
      <c r="G73" s="88" t="str">
        <f t="shared" si="2"/>
        <v>F</v>
      </c>
    </row>
    <row r="74" spans="2:7" ht="20.5" x14ac:dyDescent="0.8">
      <c r="B74" s="87" t="s">
        <v>17</v>
      </c>
      <c r="C74" s="27" t="s">
        <v>24</v>
      </c>
      <c r="D74" s="27" t="s">
        <v>11</v>
      </c>
      <c r="E74" s="27" t="s">
        <v>12</v>
      </c>
      <c r="F74" s="27">
        <v>200</v>
      </c>
      <c r="G74" s="88" t="str">
        <f t="shared" si="2"/>
        <v>D-</v>
      </c>
    </row>
    <row r="75" spans="2:7" ht="20.5" x14ac:dyDescent="0.8">
      <c r="B75" s="87" t="s">
        <v>8</v>
      </c>
      <c r="C75" s="27" t="s">
        <v>13</v>
      </c>
      <c r="D75" s="27" t="s">
        <v>11</v>
      </c>
      <c r="E75" s="27" t="s">
        <v>15</v>
      </c>
      <c r="F75" s="27">
        <v>291</v>
      </c>
      <c r="G75" s="88" t="str">
        <f t="shared" si="2"/>
        <v>A+</v>
      </c>
    </row>
    <row r="76" spans="2:7" ht="20.5" x14ac:dyDescent="0.8">
      <c r="B76" s="87" t="s">
        <v>8</v>
      </c>
      <c r="C76" s="27" t="s">
        <v>13</v>
      </c>
      <c r="D76" s="27" t="s">
        <v>11</v>
      </c>
      <c r="E76" s="27" t="s">
        <v>15</v>
      </c>
      <c r="F76" s="27">
        <v>207</v>
      </c>
      <c r="G76" s="88" t="str">
        <f t="shared" si="2"/>
        <v>D-</v>
      </c>
    </row>
    <row r="77" spans="2:7" ht="20.5" x14ac:dyDescent="0.8">
      <c r="B77" s="87" t="s">
        <v>17</v>
      </c>
      <c r="C77" s="27" t="s">
        <v>13</v>
      </c>
      <c r="D77" s="27" t="s">
        <v>11</v>
      </c>
      <c r="E77" s="27" t="s">
        <v>15</v>
      </c>
      <c r="F77" s="27">
        <v>275</v>
      </c>
      <c r="G77" s="88" t="str">
        <f t="shared" si="2"/>
        <v>A+</v>
      </c>
    </row>
    <row r="78" spans="2:7" ht="20.5" x14ac:dyDescent="0.8">
      <c r="B78" s="87" t="s">
        <v>8</v>
      </c>
      <c r="C78" s="27" t="s">
        <v>24</v>
      </c>
      <c r="D78" s="27" t="s">
        <v>11</v>
      </c>
      <c r="E78" s="27" t="s">
        <v>12</v>
      </c>
      <c r="F78" s="27">
        <v>120</v>
      </c>
      <c r="G78" s="88" t="str">
        <f t="shared" si="2"/>
        <v>F</v>
      </c>
    </row>
    <row r="79" spans="2:7" ht="20.5" x14ac:dyDescent="0.8">
      <c r="B79" s="87" t="s">
        <v>17</v>
      </c>
      <c r="C79" s="27" t="s">
        <v>21</v>
      </c>
      <c r="D79" s="27" t="s">
        <v>11</v>
      </c>
      <c r="E79" s="27" t="s">
        <v>12</v>
      </c>
      <c r="F79" s="27">
        <v>249</v>
      </c>
      <c r="G79" s="88" t="str">
        <f t="shared" si="2"/>
        <v>B+</v>
      </c>
    </row>
    <row r="80" spans="2:7" ht="20.5" x14ac:dyDescent="0.8">
      <c r="B80" s="87" t="s">
        <v>17</v>
      </c>
      <c r="C80" s="27" t="s">
        <v>9</v>
      </c>
      <c r="D80" s="27" t="s">
        <v>20</v>
      </c>
      <c r="E80" s="27" t="s">
        <v>12</v>
      </c>
      <c r="F80" s="27">
        <v>181</v>
      </c>
      <c r="G80" s="88" t="str">
        <f t="shared" si="2"/>
        <v>D-</v>
      </c>
    </row>
    <row r="81" spans="2:7" ht="20.5" x14ac:dyDescent="0.8">
      <c r="B81" s="87" t="s">
        <v>8</v>
      </c>
      <c r="C81" s="27" t="s">
        <v>24</v>
      </c>
      <c r="D81" s="27" t="s">
        <v>20</v>
      </c>
      <c r="E81" s="27" t="s">
        <v>12</v>
      </c>
      <c r="F81" s="27">
        <v>181</v>
      </c>
      <c r="G81" s="88" t="str">
        <f t="shared" si="2"/>
        <v>D-</v>
      </c>
    </row>
    <row r="82" spans="2:7" ht="20.5" x14ac:dyDescent="0.8">
      <c r="B82" s="87" t="s">
        <v>8</v>
      </c>
      <c r="C82" s="27" t="s">
        <v>9</v>
      </c>
      <c r="D82" s="27" t="s">
        <v>11</v>
      </c>
      <c r="E82" s="27" t="s">
        <v>15</v>
      </c>
      <c r="F82" s="27">
        <v>221</v>
      </c>
      <c r="G82" s="88" t="str">
        <f t="shared" si="2"/>
        <v>C-</v>
      </c>
    </row>
    <row r="83" spans="2:7" ht="20.5" x14ac:dyDescent="0.8">
      <c r="B83" s="87" t="s">
        <v>8</v>
      </c>
      <c r="C83" s="27" t="s">
        <v>9</v>
      </c>
      <c r="D83" s="27" t="s">
        <v>11</v>
      </c>
      <c r="E83" s="27" t="s">
        <v>15</v>
      </c>
      <c r="F83" s="27">
        <v>227</v>
      </c>
      <c r="G83" s="88" t="str">
        <f t="shared" si="2"/>
        <v>C-</v>
      </c>
    </row>
    <row r="84" spans="2:7" ht="20.5" x14ac:dyDescent="0.8">
      <c r="B84" s="87" t="s">
        <v>8</v>
      </c>
      <c r="C84" s="27" t="s">
        <v>9</v>
      </c>
      <c r="D84" s="27" t="s">
        <v>20</v>
      </c>
      <c r="E84" s="27" t="s">
        <v>12</v>
      </c>
      <c r="F84" s="27">
        <v>249</v>
      </c>
      <c r="G84" s="88" t="str">
        <f t="shared" si="2"/>
        <v>B+</v>
      </c>
    </row>
    <row r="85" spans="2:7" ht="20.5" x14ac:dyDescent="0.8">
      <c r="B85" s="87" t="s">
        <v>8</v>
      </c>
      <c r="C85" s="27" t="s">
        <v>13</v>
      </c>
      <c r="D85" s="27" t="s">
        <v>20</v>
      </c>
      <c r="E85" s="27" t="s">
        <v>15</v>
      </c>
      <c r="F85" s="27">
        <v>221</v>
      </c>
      <c r="G85" s="88" t="str">
        <f t="shared" si="2"/>
        <v>C-</v>
      </c>
    </row>
    <row r="86" spans="2:7" ht="20.5" x14ac:dyDescent="0.8">
      <c r="B86" s="87" t="s">
        <v>8</v>
      </c>
      <c r="C86" s="27" t="s">
        <v>18</v>
      </c>
      <c r="D86" s="27" t="s">
        <v>11</v>
      </c>
      <c r="E86" s="27" t="s">
        <v>12</v>
      </c>
      <c r="F86" s="27">
        <v>201</v>
      </c>
      <c r="G86" s="88" t="str">
        <f t="shared" si="2"/>
        <v>D-</v>
      </c>
    </row>
    <row r="87" spans="2:7" ht="20.5" x14ac:dyDescent="0.8">
      <c r="B87" s="87" t="s">
        <v>8</v>
      </c>
      <c r="C87" s="27" t="s">
        <v>24</v>
      </c>
      <c r="D87" s="27" t="s">
        <v>11</v>
      </c>
      <c r="E87" s="27" t="s">
        <v>15</v>
      </c>
      <c r="F87" s="27">
        <v>242</v>
      </c>
      <c r="G87" s="88" t="str">
        <f t="shared" si="2"/>
        <v>B+</v>
      </c>
    </row>
    <row r="88" spans="2:7" ht="20.5" x14ac:dyDescent="0.8">
      <c r="B88" s="87" t="s">
        <v>17</v>
      </c>
      <c r="C88" s="27" t="s">
        <v>18</v>
      </c>
      <c r="D88" s="27" t="s">
        <v>11</v>
      </c>
      <c r="E88" s="27" t="s">
        <v>15</v>
      </c>
      <c r="F88" s="27">
        <v>258</v>
      </c>
      <c r="G88" s="88" t="str">
        <f t="shared" si="2"/>
        <v>B+</v>
      </c>
    </row>
    <row r="89" spans="2:7" ht="20.5" x14ac:dyDescent="0.8">
      <c r="B89" s="87" t="s">
        <v>17</v>
      </c>
      <c r="C89" s="27" t="s">
        <v>18</v>
      </c>
      <c r="D89" s="27" t="s">
        <v>20</v>
      </c>
      <c r="E89" s="27" t="s">
        <v>12</v>
      </c>
      <c r="F89" s="27">
        <v>199</v>
      </c>
      <c r="G89" s="88" t="str">
        <f t="shared" si="2"/>
        <v>D-</v>
      </c>
    </row>
    <row r="90" spans="2:7" ht="20.5" x14ac:dyDescent="0.8">
      <c r="B90" s="87" t="s">
        <v>17</v>
      </c>
      <c r="C90" s="27" t="s">
        <v>21</v>
      </c>
      <c r="D90" s="27" t="s">
        <v>11</v>
      </c>
      <c r="E90" s="27" t="s">
        <v>12</v>
      </c>
      <c r="F90" s="27">
        <v>225</v>
      </c>
      <c r="G90" s="88" t="str">
        <f t="shared" si="2"/>
        <v>C-</v>
      </c>
    </row>
    <row r="91" spans="2:7" ht="20.5" x14ac:dyDescent="0.8">
      <c r="B91" s="87" t="s">
        <v>8</v>
      </c>
      <c r="C91" s="27" t="s">
        <v>13</v>
      </c>
      <c r="D91" s="27" t="s">
        <v>20</v>
      </c>
      <c r="E91" s="27" t="s">
        <v>12</v>
      </c>
      <c r="F91" s="27">
        <v>169</v>
      </c>
      <c r="G91" s="88" t="str">
        <f t="shared" si="2"/>
        <v>F</v>
      </c>
    </row>
    <row r="92" spans="2:7" ht="20.5" x14ac:dyDescent="0.8">
      <c r="B92" s="87" t="s">
        <v>17</v>
      </c>
      <c r="C92" s="27" t="s">
        <v>24</v>
      </c>
      <c r="D92" s="27" t="s">
        <v>20</v>
      </c>
      <c r="E92" s="27" t="s">
        <v>15</v>
      </c>
      <c r="F92" s="27">
        <v>210</v>
      </c>
      <c r="G92" s="88" t="str">
        <f t="shared" si="2"/>
        <v>C-</v>
      </c>
    </row>
    <row r="93" spans="2:7" ht="20.5" x14ac:dyDescent="0.8">
      <c r="B93" s="87" t="s">
        <v>17</v>
      </c>
      <c r="C93" s="27" t="s">
        <v>21</v>
      </c>
      <c r="D93" s="27" t="s">
        <v>11</v>
      </c>
      <c r="E93" s="27" t="s">
        <v>12</v>
      </c>
      <c r="F93" s="27">
        <v>222</v>
      </c>
      <c r="G93" s="88" t="str">
        <f t="shared" si="2"/>
        <v>C-</v>
      </c>
    </row>
    <row r="94" spans="2:7" ht="20.5" x14ac:dyDescent="0.8">
      <c r="B94" s="87" t="s">
        <v>8</v>
      </c>
      <c r="C94" s="27" t="s">
        <v>13</v>
      </c>
      <c r="D94" s="27" t="s">
        <v>20</v>
      </c>
      <c r="E94" s="27" t="s">
        <v>12</v>
      </c>
      <c r="F94" s="27">
        <v>219</v>
      </c>
      <c r="G94" s="88" t="str">
        <f t="shared" si="2"/>
        <v>C-</v>
      </c>
    </row>
    <row r="95" spans="2:7" ht="20.5" x14ac:dyDescent="0.8">
      <c r="B95" s="87" t="s">
        <v>17</v>
      </c>
      <c r="C95" s="27" t="s">
        <v>13</v>
      </c>
      <c r="D95" s="27" t="s">
        <v>11</v>
      </c>
      <c r="E95" s="27" t="s">
        <v>15</v>
      </c>
      <c r="F95" s="27">
        <v>251</v>
      </c>
      <c r="G95" s="88" t="str">
        <f t="shared" si="2"/>
        <v>B+</v>
      </c>
    </row>
    <row r="96" spans="2:7" ht="20.5" x14ac:dyDescent="0.8">
      <c r="B96" s="87" t="s">
        <v>17</v>
      </c>
      <c r="C96" s="27" t="s">
        <v>9</v>
      </c>
      <c r="D96" s="27" t="s">
        <v>11</v>
      </c>
      <c r="E96" s="27" t="s">
        <v>12</v>
      </c>
      <c r="F96" s="27">
        <v>164</v>
      </c>
      <c r="G96" s="88" t="str">
        <f t="shared" si="2"/>
        <v>F</v>
      </c>
    </row>
    <row r="97" spans="2:7" ht="20.5" x14ac:dyDescent="0.8">
      <c r="B97" s="87" t="s">
        <v>8</v>
      </c>
      <c r="C97" s="27" t="s">
        <v>18</v>
      </c>
      <c r="D97" s="27" t="s">
        <v>11</v>
      </c>
      <c r="E97" s="27" t="s">
        <v>12</v>
      </c>
      <c r="F97" s="27">
        <v>168</v>
      </c>
      <c r="G97" s="88" t="str">
        <f t="shared" si="2"/>
        <v>F</v>
      </c>
    </row>
    <row r="98" spans="2:7" ht="20.5" x14ac:dyDescent="0.8">
      <c r="B98" s="87" t="s">
        <v>17</v>
      </c>
      <c r="C98" s="27" t="s">
        <v>21</v>
      </c>
      <c r="D98" s="27" t="s">
        <v>20</v>
      </c>
      <c r="E98" s="27" t="s">
        <v>15</v>
      </c>
      <c r="F98" s="27">
        <v>207</v>
      </c>
      <c r="G98" s="88" t="str">
        <f t="shared" ref="G98:G119" si="3">_xlfn.XLOOKUP(F98,H:H,I:I,,-1)</f>
        <v>D-</v>
      </c>
    </row>
    <row r="99" spans="2:7" ht="20.5" x14ac:dyDescent="0.8">
      <c r="B99" s="87" t="s">
        <v>8</v>
      </c>
      <c r="C99" s="27" t="s">
        <v>21</v>
      </c>
      <c r="D99" s="27" t="s">
        <v>20</v>
      </c>
      <c r="E99" s="27" t="s">
        <v>12</v>
      </c>
      <c r="F99" s="27">
        <v>261</v>
      </c>
      <c r="G99" s="88" t="str">
        <f t="shared" si="3"/>
        <v>B+</v>
      </c>
    </row>
    <row r="100" spans="2:7" ht="20.5" x14ac:dyDescent="0.8">
      <c r="B100" s="87" t="s">
        <v>8</v>
      </c>
      <c r="C100" s="27" t="s">
        <v>13</v>
      </c>
      <c r="D100" s="27" t="s">
        <v>20</v>
      </c>
      <c r="E100" s="27" t="s">
        <v>15</v>
      </c>
      <c r="F100" s="27">
        <v>249</v>
      </c>
      <c r="G100" s="88" t="str">
        <f t="shared" si="3"/>
        <v>B+</v>
      </c>
    </row>
    <row r="101" spans="2:7" ht="20.5" x14ac:dyDescent="0.8">
      <c r="B101" s="87" t="s">
        <v>17</v>
      </c>
      <c r="C101" s="27" t="s">
        <v>18</v>
      </c>
      <c r="D101" s="27" t="s">
        <v>11</v>
      </c>
      <c r="E101" s="27" t="s">
        <v>12</v>
      </c>
      <c r="F101" s="27">
        <v>182</v>
      </c>
      <c r="G101" s="88" t="str">
        <f t="shared" si="3"/>
        <v>D-</v>
      </c>
    </row>
    <row r="102" spans="2:7" ht="20.5" x14ac:dyDescent="0.8">
      <c r="B102" s="87" t="s">
        <v>8</v>
      </c>
      <c r="C102" s="27" t="s">
        <v>9</v>
      </c>
      <c r="D102" s="27" t="s">
        <v>11</v>
      </c>
      <c r="E102" s="27" t="s">
        <v>12</v>
      </c>
      <c r="F102" s="27">
        <v>290</v>
      </c>
      <c r="G102" s="88" t="str">
        <f t="shared" si="3"/>
        <v>A+</v>
      </c>
    </row>
    <row r="103" spans="2:7" ht="20.5" x14ac:dyDescent="0.8">
      <c r="B103" s="87" t="s">
        <v>8</v>
      </c>
      <c r="C103" s="27" t="s">
        <v>13</v>
      </c>
      <c r="D103" s="27" t="s">
        <v>11</v>
      </c>
      <c r="E103" s="27" t="s">
        <v>12</v>
      </c>
      <c r="F103" s="27">
        <v>225</v>
      </c>
      <c r="G103" s="88" t="str">
        <f t="shared" si="3"/>
        <v>C-</v>
      </c>
    </row>
    <row r="104" spans="2:7" ht="20.5" x14ac:dyDescent="0.8">
      <c r="B104" s="87" t="s">
        <v>17</v>
      </c>
      <c r="C104" s="27" t="s">
        <v>21</v>
      </c>
      <c r="D104" s="27" t="s">
        <v>20</v>
      </c>
      <c r="E104" s="27" t="s">
        <v>15</v>
      </c>
      <c r="F104" s="27">
        <v>119</v>
      </c>
      <c r="G104" s="88" t="str">
        <f t="shared" si="3"/>
        <v>F</v>
      </c>
    </row>
    <row r="105" spans="2:7" ht="20.5" x14ac:dyDescent="0.8">
      <c r="B105" s="87" t="s">
        <v>8</v>
      </c>
      <c r="C105" s="27" t="s">
        <v>13</v>
      </c>
      <c r="D105" s="27" t="s">
        <v>20</v>
      </c>
      <c r="E105" s="27" t="s">
        <v>12</v>
      </c>
      <c r="F105" s="27">
        <v>166</v>
      </c>
      <c r="G105" s="88" t="str">
        <f t="shared" si="3"/>
        <v>F</v>
      </c>
    </row>
    <row r="106" spans="2:7" ht="20.5" x14ac:dyDescent="0.8">
      <c r="B106" s="87" t="s">
        <v>17</v>
      </c>
      <c r="C106" s="27" t="s">
        <v>13</v>
      </c>
      <c r="D106" s="27" t="s">
        <v>11</v>
      </c>
      <c r="E106" s="27" t="s">
        <v>15</v>
      </c>
      <c r="F106" s="27">
        <v>193</v>
      </c>
      <c r="G106" s="88" t="str">
        <f t="shared" si="3"/>
        <v>D-</v>
      </c>
    </row>
    <row r="107" spans="2:7" ht="20.5" x14ac:dyDescent="0.8">
      <c r="B107" s="87" t="s">
        <v>8</v>
      </c>
      <c r="C107" s="27" t="s">
        <v>24</v>
      </c>
      <c r="D107" s="27" t="s">
        <v>11</v>
      </c>
      <c r="E107" s="27" t="s">
        <v>15</v>
      </c>
      <c r="F107" s="27">
        <v>211</v>
      </c>
      <c r="G107" s="88" t="str">
        <f t="shared" si="3"/>
        <v>C-</v>
      </c>
    </row>
    <row r="108" spans="2:7" ht="20.5" x14ac:dyDescent="0.8">
      <c r="B108" s="87" t="s">
        <v>17</v>
      </c>
      <c r="C108" s="27" t="s">
        <v>21</v>
      </c>
      <c r="D108" s="27" t="s">
        <v>20</v>
      </c>
      <c r="E108" s="27" t="s">
        <v>12</v>
      </c>
      <c r="F108" s="27">
        <v>145</v>
      </c>
      <c r="G108" s="88" t="str">
        <f t="shared" si="3"/>
        <v>F</v>
      </c>
    </row>
    <row r="109" spans="2:7" ht="20.5" x14ac:dyDescent="0.8">
      <c r="B109" s="87" t="s">
        <v>8</v>
      </c>
      <c r="C109" s="27" t="s">
        <v>21</v>
      </c>
      <c r="D109" s="27" t="s">
        <v>20</v>
      </c>
      <c r="E109" s="27" t="s">
        <v>15</v>
      </c>
      <c r="F109" s="27">
        <v>293</v>
      </c>
      <c r="G109" s="88" t="str">
        <f t="shared" si="3"/>
        <v>A+</v>
      </c>
    </row>
    <row r="110" spans="2:7" ht="20.5" x14ac:dyDescent="0.8">
      <c r="B110" s="87" t="s">
        <v>8</v>
      </c>
      <c r="C110" s="27" t="s">
        <v>13</v>
      </c>
      <c r="D110" s="27" t="s">
        <v>20</v>
      </c>
      <c r="E110" s="27" t="s">
        <v>12</v>
      </c>
      <c r="F110" s="27">
        <v>214</v>
      </c>
      <c r="G110" s="88" t="str">
        <f t="shared" si="3"/>
        <v>C-</v>
      </c>
    </row>
    <row r="111" spans="2:7" ht="20.5" x14ac:dyDescent="0.8">
      <c r="B111" s="87" t="s">
        <v>17</v>
      </c>
      <c r="C111" s="27" t="s">
        <v>24</v>
      </c>
      <c r="D111" s="27" t="s">
        <v>11</v>
      </c>
      <c r="E111" s="27" t="s">
        <v>15</v>
      </c>
      <c r="F111" s="27">
        <v>204</v>
      </c>
      <c r="G111" s="88" t="str">
        <f t="shared" si="3"/>
        <v>D-</v>
      </c>
    </row>
    <row r="112" spans="2:7" ht="20.5" x14ac:dyDescent="0.8">
      <c r="B112" s="87" t="s">
        <v>17</v>
      </c>
      <c r="C112" s="27" t="s">
        <v>21</v>
      </c>
      <c r="D112" s="27" t="s">
        <v>20</v>
      </c>
      <c r="E112" s="27" t="s">
        <v>12</v>
      </c>
      <c r="F112" s="27">
        <v>140</v>
      </c>
      <c r="G112" s="88" t="str">
        <f t="shared" si="3"/>
        <v>F</v>
      </c>
    </row>
    <row r="113" spans="2:7" ht="20.5" x14ac:dyDescent="0.8">
      <c r="B113" s="87" t="s">
        <v>8</v>
      </c>
      <c r="C113" s="27" t="s">
        <v>13</v>
      </c>
      <c r="D113" s="27" t="s">
        <v>11</v>
      </c>
      <c r="E113" s="27" t="s">
        <v>15</v>
      </c>
      <c r="F113" s="27">
        <v>179</v>
      </c>
      <c r="G113" s="88" t="str">
        <f t="shared" si="3"/>
        <v>F</v>
      </c>
    </row>
    <row r="114" spans="2:7" ht="20.5" x14ac:dyDescent="0.8">
      <c r="B114" s="87" t="s">
        <v>8</v>
      </c>
      <c r="C114" s="27" t="s">
        <v>13</v>
      </c>
      <c r="D114" s="27" t="s">
        <v>20</v>
      </c>
      <c r="E114" s="27" t="s">
        <v>15</v>
      </c>
      <c r="F114" s="27">
        <v>175</v>
      </c>
      <c r="G114" s="88" t="str">
        <f t="shared" si="3"/>
        <v>F</v>
      </c>
    </row>
    <row r="115" spans="2:7" ht="20.5" x14ac:dyDescent="0.8">
      <c r="B115" s="87" t="s">
        <v>17</v>
      </c>
      <c r="C115" s="27" t="s">
        <v>24</v>
      </c>
      <c r="D115" s="27" t="s">
        <v>11</v>
      </c>
      <c r="E115" s="27" t="s">
        <v>15</v>
      </c>
      <c r="F115" s="27">
        <v>300</v>
      </c>
      <c r="G115" s="88" t="str">
        <f t="shared" si="3"/>
        <v>A+</v>
      </c>
    </row>
    <row r="116" spans="2:7" ht="20.5" x14ac:dyDescent="0.8">
      <c r="B116" s="87" t="s">
        <v>17</v>
      </c>
      <c r="C116" s="27" t="s">
        <v>13</v>
      </c>
      <c r="D116" s="27" t="s">
        <v>20</v>
      </c>
      <c r="E116" s="27" t="s">
        <v>15</v>
      </c>
      <c r="F116" s="27">
        <v>219</v>
      </c>
      <c r="G116" s="88" t="str">
        <f t="shared" si="3"/>
        <v>C-</v>
      </c>
    </row>
    <row r="117" spans="2:7" ht="20.5" x14ac:dyDescent="0.8">
      <c r="B117" s="87" t="s">
        <v>8</v>
      </c>
      <c r="C117" s="27" t="s">
        <v>9</v>
      </c>
      <c r="D117" s="27" t="s">
        <v>11</v>
      </c>
      <c r="E117" s="27" t="s">
        <v>12</v>
      </c>
      <c r="F117" s="27">
        <v>239</v>
      </c>
      <c r="G117" s="88" t="str">
        <f t="shared" si="3"/>
        <v>C-</v>
      </c>
    </row>
    <row r="118" spans="2:7" ht="20.5" x14ac:dyDescent="0.8">
      <c r="B118" s="87" t="s">
        <v>8</v>
      </c>
      <c r="C118" s="27" t="s">
        <v>21</v>
      </c>
      <c r="D118" s="27" t="s">
        <v>11</v>
      </c>
      <c r="E118" s="27" t="s">
        <v>12</v>
      </c>
      <c r="F118" s="27">
        <v>289</v>
      </c>
      <c r="G118" s="88" t="str">
        <f t="shared" si="3"/>
        <v>A+</v>
      </c>
    </row>
    <row r="119" spans="2:7" ht="20.5" x14ac:dyDescent="0.8">
      <c r="B119" s="87" t="s">
        <v>8</v>
      </c>
      <c r="C119" s="27" t="s">
        <v>21</v>
      </c>
      <c r="D119" s="27" t="s">
        <v>20</v>
      </c>
      <c r="E119" s="27" t="s">
        <v>12</v>
      </c>
      <c r="F119" s="27">
        <v>208</v>
      </c>
      <c r="G119" s="88" t="str">
        <f t="shared" si="3"/>
        <v>D-</v>
      </c>
    </row>
    <row r="120" spans="2:7" x14ac:dyDescent="0.35">
      <c r="B120" s="9" t="s">
        <v>58</v>
      </c>
      <c r="C120" s="12"/>
      <c r="D120" s="12"/>
      <c r="E120" s="12"/>
      <c r="F120" s="12">
        <f>SUBTOTAL(109,Table6[Total Score])</f>
        <v>25461</v>
      </c>
      <c r="G120" s="1">
        <f>SUBTOTAL(103,Table6[Grading])</f>
        <v>118</v>
      </c>
    </row>
  </sheetData>
  <conditionalFormatting sqref="F2:F119">
    <cfRule type="colorScale" priority="1">
      <colorScale>
        <cfvo type="min"/>
        <cfvo type="max"/>
        <color rgb="FFFFEF9C"/>
        <color rgb="FF63BE7B"/>
      </colorScale>
    </cfRule>
  </conditionalFormatting>
  <pageMargins left="0.7" right="0.7" top="0.75" bottom="0.75" header="0.3" footer="0.3"/>
  <drawing r:id="rId2"/>
  <tableParts count="2">
    <tablePart r:id="rId3"/>
    <tablePart r:id="rId4"/>
  </tableParts>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8CE97-F193-4251-86E6-1B946CFC67CD}">
  <sheetPr>
    <tabColor theme="8" tint="0.79998168889431442"/>
  </sheetPr>
  <dimension ref="B5:N202"/>
  <sheetViews>
    <sheetView showGridLines="0" zoomScale="94" zoomScaleNormal="94" workbookViewId="0">
      <selection activeCell="M11" sqref="M11"/>
    </sheetView>
  </sheetViews>
  <sheetFormatPr defaultRowHeight="14.5" x14ac:dyDescent="0.35"/>
  <cols>
    <col min="2" max="2" width="8.90625" customWidth="1"/>
    <col min="3" max="3" width="15.1796875" style="1" customWidth="1"/>
    <col min="4" max="4" width="15.453125" style="1" customWidth="1"/>
    <col min="5" max="5" width="10.36328125" style="1" customWidth="1"/>
    <col min="6" max="7" width="12" style="1" customWidth="1"/>
    <col min="8" max="8" width="9.36328125" style="1" customWidth="1"/>
    <col min="9" max="9" width="0" hidden="1" customWidth="1"/>
    <col min="10" max="10" width="0.90625" hidden="1" customWidth="1"/>
    <col min="11" max="11" width="4.08984375" hidden="1" customWidth="1"/>
    <col min="12" max="12" width="10.453125" bestFit="1" customWidth="1"/>
    <col min="13" max="13" width="16.36328125" bestFit="1" customWidth="1"/>
    <col min="14" max="14" width="9.81640625" customWidth="1"/>
  </cols>
  <sheetData>
    <row r="5" spans="2:14" ht="21" thickBot="1" x14ac:dyDescent="0.85">
      <c r="B5" s="10" t="s">
        <v>25</v>
      </c>
      <c r="C5" s="11" t="s">
        <v>26</v>
      </c>
      <c r="D5" s="11" t="s">
        <v>59</v>
      </c>
      <c r="E5" s="11" t="s">
        <v>60</v>
      </c>
      <c r="F5" s="11" t="s">
        <v>27</v>
      </c>
      <c r="G5" s="11" t="s">
        <v>90</v>
      </c>
      <c r="H5" s="11" t="s">
        <v>65</v>
      </c>
      <c r="I5" s="25" t="s">
        <v>28</v>
      </c>
      <c r="J5" s="25" t="s">
        <v>30</v>
      </c>
      <c r="K5" s="25" t="s">
        <v>39</v>
      </c>
      <c r="L5" t="s">
        <v>66</v>
      </c>
      <c r="M5" t="s">
        <v>67</v>
      </c>
      <c r="N5" t="s">
        <v>68</v>
      </c>
    </row>
    <row r="6" spans="2:14" ht="21" thickBot="1" x14ac:dyDescent="0.85">
      <c r="B6" s="87" t="s">
        <v>17</v>
      </c>
      <c r="C6" s="27" t="s">
        <v>21</v>
      </c>
      <c r="D6" s="27" t="s">
        <v>20</v>
      </c>
      <c r="E6" s="27" t="s">
        <v>15</v>
      </c>
      <c r="F6" s="27">
        <v>195</v>
      </c>
      <c r="G6" s="89">
        <f>RANK(Table5[[#This Row],[Total Score]],Table5[[Gender]:[Total Score]],0)</f>
        <v>97</v>
      </c>
      <c r="H6" s="88" t="str">
        <f t="shared" ref="H6:H37" si="0">_xlfn.XLOOKUP(F6,I:I,K:K,,-1)</f>
        <v>Fair</v>
      </c>
      <c r="I6" s="24">
        <v>270</v>
      </c>
      <c r="J6" s="23" t="s">
        <v>37</v>
      </c>
      <c r="K6" s="23" t="s">
        <v>41</v>
      </c>
      <c r="L6" t="s">
        <v>22</v>
      </c>
      <c r="M6" s="22">
        <v>0.48</v>
      </c>
      <c r="N6" s="22">
        <v>0.52</v>
      </c>
    </row>
    <row r="7" spans="2:14" ht="21" thickBot="1" x14ac:dyDescent="0.85">
      <c r="B7" s="87" t="s">
        <v>8</v>
      </c>
      <c r="C7" s="27" t="s">
        <v>9</v>
      </c>
      <c r="D7" s="27" t="s">
        <v>20</v>
      </c>
      <c r="E7" s="27" t="s">
        <v>12</v>
      </c>
      <c r="F7" s="90">
        <v>148</v>
      </c>
      <c r="G7" s="89">
        <f>RANK(Table5[[#This Row],[Total Score]],Table5[[Gender]:[Total Score]],0)</f>
        <v>165</v>
      </c>
      <c r="H7" s="88" t="str">
        <f t="shared" si="0"/>
        <v>Fail</v>
      </c>
      <c r="I7" s="24">
        <v>240</v>
      </c>
      <c r="J7" s="23" t="s">
        <v>38</v>
      </c>
      <c r="K7" s="23" t="s">
        <v>42</v>
      </c>
      <c r="L7" s="26" t="s">
        <v>89</v>
      </c>
      <c r="M7" t="s">
        <v>63</v>
      </c>
    </row>
    <row r="8" spans="2:14" ht="21" thickBot="1" x14ac:dyDescent="0.85">
      <c r="B8" s="87" t="s">
        <v>8</v>
      </c>
      <c r="C8" s="27" t="s">
        <v>9</v>
      </c>
      <c r="D8" s="27" t="s">
        <v>11</v>
      </c>
      <c r="E8" s="27" t="s">
        <v>12</v>
      </c>
      <c r="F8" s="90">
        <v>219</v>
      </c>
      <c r="G8" s="89">
        <f>RANK(Table5[[#This Row],[Total Score]],Table5[[Gender]:[Total Score]],0)</f>
        <v>44</v>
      </c>
      <c r="H8" s="88" t="str">
        <f t="shared" si="0"/>
        <v>Good</v>
      </c>
      <c r="I8" s="24">
        <v>210</v>
      </c>
      <c r="J8" s="23" t="s">
        <v>35</v>
      </c>
      <c r="K8" s="23" t="s">
        <v>43</v>
      </c>
      <c r="L8" s="30" t="s">
        <v>18</v>
      </c>
      <c r="M8" s="33">
        <v>3309</v>
      </c>
      <c r="N8" s="29"/>
    </row>
    <row r="9" spans="2:14" ht="21" thickBot="1" x14ac:dyDescent="0.85">
      <c r="B9" s="87" t="s">
        <v>17</v>
      </c>
      <c r="C9" s="27" t="s">
        <v>13</v>
      </c>
      <c r="D9" s="27" t="s">
        <v>11</v>
      </c>
      <c r="E9" s="27" t="s">
        <v>12</v>
      </c>
      <c r="F9" s="90">
        <v>263</v>
      </c>
      <c r="G9" s="89">
        <f>RANK(Table5[[#This Row],[Total Score]],Table5[[Gender]:[Total Score]],0)</f>
        <v>4</v>
      </c>
      <c r="H9" s="88" t="str">
        <f t="shared" si="0"/>
        <v>Very Good</v>
      </c>
      <c r="I9" s="24">
        <v>180</v>
      </c>
      <c r="J9" s="23" t="s">
        <v>51</v>
      </c>
      <c r="K9" s="23" t="s">
        <v>64</v>
      </c>
      <c r="L9" s="31" t="s">
        <v>9</v>
      </c>
      <c r="M9" s="34">
        <v>8856</v>
      </c>
      <c r="N9" s="29"/>
    </row>
    <row r="10" spans="2:14" ht="21" thickBot="1" x14ac:dyDescent="0.85">
      <c r="B10" s="87" t="s">
        <v>17</v>
      </c>
      <c r="C10" s="27" t="s">
        <v>21</v>
      </c>
      <c r="D10" s="27" t="s">
        <v>11</v>
      </c>
      <c r="E10" s="27" t="s">
        <v>12</v>
      </c>
      <c r="F10" s="90">
        <v>198</v>
      </c>
      <c r="G10" s="89">
        <f>RANK(Table5[[#This Row],[Total Score]],Table5[[Gender]:[Total Score]],0)</f>
        <v>88</v>
      </c>
      <c r="H10" s="88" t="str">
        <f t="shared" si="0"/>
        <v>Fair</v>
      </c>
      <c r="I10" s="24">
        <v>27</v>
      </c>
      <c r="J10" s="23" t="s">
        <v>53</v>
      </c>
      <c r="K10" s="23" t="s">
        <v>54</v>
      </c>
      <c r="L10" s="31" t="s">
        <v>13</v>
      </c>
      <c r="M10" s="34">
        <v>11967</v>
      </c>
      <c r="N10" s="29"/>
    </row>
    <row r="11" spans="2:14" ht="20.5" x14ac:dyDescent="0.8">
      <c r="B11" s="87" t="s">
        <v>17</v>
      </c>
      <c r="C11" s="27" t="s">
        <v>13</v>
      </c>
      <c r="D11" s="27" t="s">
        <v>11</v>
      </c>
      <c r="E11" s="27" t="s">
        <v>12</v>
      </c>
      <c r="F11" s="90">
        <v>205</v>
      </c>
      <c r="G11" s="89">
        <f>RANK(Table5[[#This Row],[Total Score]],Table5[[Gender]:[Total Score]],0)</f>
        <v>73</v>
      </c>
      <c r="H11" s="88" t="str">
        <f t="shared" si="0"/>
        <v>Fair</v>
      </c>
      <c r="L11" s="31" t="s">
        <v>21</v>
      </c>
      <c r="M11" s="34">
        <v>8379</v>
      </c>
      <c r="N11" s="29"/>
    </row>
    <row r="12" spans="2:14" ht="21" thickBot="1" x14ac:dyDescent="0.85">
      <c r="B12" s="87" t="s">
        <v>8</v>
      </c>
      <c r="C12" s="27" t="s">
        <v>13</v>
      </c>
      <c r="D12" s="27" t="s">
        <v>11</v>
      </c>
      <c r="E12" s="27" t="s">
        <v>12</v>
      </c>
      <c r="F12" s="90">
        <v>213</v>
      </c>
      <c r="G12" s="89">
        <f>RANK(Table5[[#This Row],[Total Score]],Table5[[Gender]:[Total Score]],0)</f>
        <v>55</v>
      </c>
      <c r="H12" s="88" t="str">
        <f t="shared" si="0"/>
        <v>Good</v>
      </c>
      <c r="L12" s="32" t="s">
        <v>24</v>
      </c>
      <c r="M12" s="34">
        <v>4590</v>
      </c>
    </row>
    <row r="13" spans="2:14" ht="21" thickBot="1" x14ac:dyDescent="0.85">
      <c r="B13" s="87" t="s">
        <v>17</v>
      </c>
      <c r="C13" s="27" t="s">
        <v>13</v>
      </c>
      <c r="D13" s="27" t="s">
        <v>11</v>
      </c>
      <c r="E13" s="27" t="s">
        <v>15</v>
      </c>
      <c r="F13" s="90">
        <v>248</v>
      </c>
      <c r="G13" s="89">
        <f>RANK(Table5[[#This Row],[Total Score]],Table5[[Gender]:[Total Score]],0)</f>
        <v>10</v>
      </c>
      <c r="H13" s="88" t="str">
        <f t="shared" si="0"/>
        <v>Very Good</v>
      </c>
      <c r="L13" s="36" t="s">
        <v>88</v>
      </c>
      <c r="M13" s="35">
        <v>37101</v>
      </c>
    </row>
    <row r="14" spans="2:14" ht="21" thickTop="1" x14ac:dyDescent="0.8">
      <c r="B14" s="87" t="s">
        <v>17</v>
      </c>
      <c r="C14" s="27" t="s">
        <v>21</v>
      </c>
      <c r="D14" s="27" t="s">
        <v>11</v>
      </c>
      <c r="E14" s="27" t="s">
        <v>12</v>
      </c>
      <c r="F14" s="90">
        <v>241</v>
      </c>
      <c r="G14" s="89">
        <f>RANK(Table5[[#This Row],[Total Score]],Table5[[Gender]:[Total Score]],0)</f>
        <v>18</v>
      </c>
      <c r="H14" s="88" t="str">
        <f t="shared" si="0"/>
        <v>Very Good</v>
      </c>
    </row>
    <row r="15" spans="2:14" ht="20.5" x14ac:dyDescent="0.8">
      <c r="B15" s="87" t="s">
        <v>8</v>
      </c>
      <c r="C15" s="27" t="s">
        <v>13</v>
      </c>
      <c r="D15" s="27" t="s">
        <v>20</v>
      </c>
      <c r="E15" s="27" t="s">
        <v>12</v>
      </c>
      <c r="F15" s="90">
        <v>117</v>
      </c>
      <c r="G15" s="89">
        <f>RANK(Table5[[#This Row],[Total Score]],Table5[[Gender]:[Total Score]],0)</f>
        <v>187</v>
      </c>
      <c r="H15" s="88" t="str">
        <f t="shared" si="0"/>
        <v>Fail</v>
      </c>
    </row>
    <row r="16" spans="2:14" ht="20.5" x14ac:dyDescent="0.8">
      <c r="B16" s="87" t="s">
        <v>17</v>
      </c>
      <c r="C16" s="27" t="s">
        <v>9</v>
      </c>
      <c r="D16" s="27" t="s">
        <v>20</v>
      </c>
      <c r="E16" s="27" t="s">
        <v>12</v>
      </c>
      <c r="F16" s="90">
        <v>139</v>
      </c>
      <c r="G16" s="89">
        <f>RANK(Table5[[#This Row],[Total Score]],Table5[[Gender]:[Total Score]],0)</f>
        <v>176</v>
      </c>
      <c r="H16" s="88" t="str">
        <f t="shared" si="0"/>
        <v>Fail</v>
      </c>
    </row>
    <row r="17" spans="2:8" ht="20.5" x14ac:dyDescent="0.8">
      <c r="B17" s="87" t="s">
        <v>17</v>
      </c>
      <c r="C17" s="27" t="s">
        <v>21</v>
      </c>
      <c r="D17" s="27" t="s">
        <v>20</v>
      </c>
      <c r="E17" s="27" t="s">
        <v>12</v>
      </c>
      <c r="F17" s="90">
        <v>115</v>
      </c>
      <c r="G17" s="89">
        <f>RANK(Table5[[#This Row],[Total Score]],Table5[[Gender]:[Total Score]],0)</f>
        <v>189</v>
      </c>
      <c r="H17" s="88" t="str">
        <f t="shared" si="0"/>
        <v>Fail</v>
      </c>
    </row>
    <row r="18" spans="2:8" ht="20.5" x14ac:dyDescent="0.8">
      <c r="B18" s="87" t="s">
        <v>17</v>
      </c>
      <c r="C18" s="27" t="s">
        <v>13</v>
      </c>
      <c r="D18" s="27" t="s">
        <v>20</v>
      </c>
      <c r="E18" s="27" t="s">
        <v>12</v>
      </c>
      <c r="F18" s="90">
        <v>97</v>
      </c>
      <c r="G18" s="89">
        <f>RANK(Table5[[#This Row],[Total Score]],Table5[[Gender]:[Total Score]],0)</f>
        <v>192</v>
      </c>
      <c r="H18" s="88" t="str">
        <f t="shared" si="0"/>
        <v>Fail</v>
      </c>
    </row>
    <row r="19" spans="2:8" ht="20.5" x14ac:dyDescent="0.8">
      <c r="B19" s="87" t="s">
        <v>17</v>
      </c>
      <c r="C19" s="27" t="s">
        <v>13</v>
      </c>
      <c r="D19" s="27" t="s">
        <v>11</v>
      </c>
      <c r="E19" s="27" t="s">
        <v>12</v>
      </c>
      <c r="F19" s="90">
        <v>221</v>
      </c>
      <c r="G19" s="89">
        <f>RANK(Table5[[#This Row],[Total Score]],Table5[[Gender]:[Total Score]],0)</f>
        <v>42</v>
      </c>
      <c r="H19" s="88" t="str">
        <f t="shared" si="0"/>
        <v>Good</v>
      </c>
    </row>
    <row r="20" spans="2:8" ht="20.5" x14ac:dyDescent="0.8">
      <c r="B20" s="87" t="s">
        <v>17</v>
      </c>
      <c r="C20" s="27" t="s">
        <v>9</v>
      </c>
      <c r="D20" s="27" t="s">
        <v>11</v>
      </c>
      <c r="E20" s="27" t="s">
        <v>15</v>
      </c>
      <c r="F20" s="90">
        <v>151</v>
      </c>
      <c r="G20" s="89">
        <f>RANK(Table5[[#This Row],[Total Score]],Table5[[Gender]:[Total Score]],0)</f>
        <v>162</v>
      </c>
      <c r="H20" s="88" t="str">
        <f t="shared" si="0"/>
        <v>Fail</v>
      </c>
    </row>
    <row r="21" spans="2:8" ht="20.5" x14ac:dyDescent="0.8">
      <c r="B21" s="87" t="s">
        <v>17</v>
      </c>
      <c r="C21" s="27" t="s">
        <v>13</v>
      </c>
      <c r="D21" s="27" t="s">
        <v>11</v>
      </c>
      <c r="E21" s="27" t="s">
        <v>12</v>
      </c>
      <c r="F21" s="90">
        <v>166</v>
      </c>
      <c r="G21" s="89">
        <f>RANK(Table5[[#This Row],[Total Score]],Table5[[Gender]:[Total Score]],0)</f>
        <v>138</v>
      </c>
      <c r="H21" s="88" t="str">
        <f t="shared" si="0"/>
        <v>Fail</v>
      </c>
    </row>
    <row r="22" spans="2:8" ht="20.5" x14ac:dyDescent="0.8">
      <c r="B22" s="87" t="s">
        <v>17</v>
      </c>
      <c r="C22" s="27" t="s">
        <v>13</v>
      </c>
      <c r="D22" s="27" t="s">
        <v>11</v>
      </c>
      <c r="E22" s="27" t="s">
        <v>12</v>
      </c>
      <c r="F22" s="90">
        <v>235</v>
      </c>
      <c r="G22" s="89">
        <f>RANK(Table5[[#This Row],[Total Score]],Table5[[Gender]:[Total Score]],0)</f>
        <v>25</v>
      </c>
      <c r="H22" s="88" t="str">
        <f t="shared" si="0"/>
        <v>Good</v>
      </c>
    </row>
    <row r="23" spans="2:8" ht="20.5" x14ac:dyDescent="0.8">
      <c r="B23" s="87" t="s">
        <v>17</v>
      </c>
      <c r="C23" s="27" t="s">
        <v>21</v>
      </c>
      <c r="D23" s="27" t="s">
        <v>20</v>
      </c>
      <c r="E23" s="27" t="s">
        <v>12</v>
      </c>
      <c r="F23" s="90">
        <v>176</v>
      </c>
      <c r="G23" s="89">
        <f>RANK(Table5[[#This Row],[Total Score]],Table5[[Gender]:[Total Score]],0)</f>
        <v>125</v>
      </c>
      <c r="H23" s="88" t="str">
        <f t="shared" si="0"/>
        <v>Fail</v>
      </c>
    </row>
    <row r="24" spans="2:8" ht="20.5" x14ac:dyDescent="0.8">
      <c r="B24" s="87" t="s">
        <v>8</v>
      </c>
      <c r="C24" s="27" t="s">
        <v>9</v>
      </c>
      <c r="D24" s="27" t="s">
        <v>11</v>
      </c>
      <c r="E24" s="27" t="s">
        <v>12</v>
      </c>
      <c r="F24" s="90">
        <v>268</v>
      </c>
      <c r="G24" s="89">
        <f>RANK(Table5[[#This Row],[Total Score]],Table5[[Gender]:[Total Score]],0)</f>
        <v>3</v>
      </c>
      <c r="H24" s="88" t="str">
        <f t="shared" si="0"/>
        <v>Very Good</v>
      </c>
    </row>
    <row r="25" spans="2:8" ht="20.5" x14ac:dyDescent="0.8">
      <c r="B25" s="87" t="s">
        <v>17</v>
      </c>
      <c r="C25" s="27" t="s">
        <v>24</v>
      </c>
      <c r="D25" s="27" t="s">
        <v>11</v>
      </c>
      <c r="E25" s="27" t="s">
        <v>12</v>
      </c>
      <c r="F25" s="90">
        <v>181</v>
      </c>
      <c r="G25" s="89">
        <f>RANK(Table5[[#This Row],[Total Score]],Table5[[Gender]:[Total Score]],0)</f>
        <v>116</v>
      </c>
      <c r="H25" s="88" t="str">
        <f t="shared" si="0"/>
        <v>Fair</v>
      </c>
    </row>
    <row r="26" spans="2:8" ht="20.5" x14ac:dyDescent="0.8">
      <c r="B26" s="87" t="s">
        <v>17</v>
      </c>
      <c r="C26" s="27" t="s">
        <v>18</v>
      </c>
      <c r="D26" s="27" t="s">
        <v>11</v>
      </c>
      <c r="E26" s="27" t="s">
        <v>12</v>
      </c>
      <c r="F26" s="90">
        <v>147</v>
      </c>
      <c r="G26" s="89">
        <f>RANK(Table5[[#This Row],[Total Score]],Table5[[Gender]:[Total Score]],0)</f>
        <v>166</v>
      </c>
      <c r="H26" s="88" t="str">
        <f t="shared" si="0"/>
        <v>Fail</v>
      </c>
    </row>
    <row r="27" spans="2:8" ht="20.5" x14ac:dyDescent="0.8">
      <c r="B27" s="87" t="s">
        <v>8</v>
      </c>
      <c r="C27" s="27" t="s">
        <v>24</v>
      </c>
      <c r="D27" s="27" t="s">
        <v>20</v>
      </c>
      <c r="E27" s="27" t="s">
        <v>15</v>
      </c>
      <c r="F27" s="90">
        <v>218</v>
      </c>
      <c r="G27" s="89">
        <f>RANK(Table5[[#This Row],[Total Score]],Table5[[Gender]:[Total Score]],0)</f>
        <v>48</v>
      </c>
      <c r="H27" s="88" t="str">
        <f t="shared" si="0"/>
        <v>Good</v>
      </c>
    </row>
    <row r="28" spans="2:8" ht="20.5" x14ac:dyDescent="0.8">
      <c r="B28" s="87" t="s">
        <v>17</v>
      </c>
      <c r="C28" s="27" t="s">
        <v>13</v>
      </c>
      <c r="D28" s="27" t="s">
        <v>11</v>
      </c>
      <c r="E28" s="27" t="s">
        <v>12</v>
      </c>
      <c r="F28" s="90">
        <v>154</v>
      </c>
      <c r="G28" s="89">
        <f>RANK(Table5[[#This Row],[Total Score]],Table5[[Gender]:[Total Score]],0)</f>
        <v>160</v>
      </c>
      <c r="H28" s="88" t="str">
        <f t="shared" si="0"/>
        <v>Fail</v>
      </c>
    </row>
    <row r="29" spans="2:8" ht="20.5" x14ac:dyDescent="0.8">
      <c r="B29" s="87" t="s">
        <v>17</v>
      </c>
      <c r="C29" s="27" t="s">
        <v>13</v>
      </c>
      <c r="D29" s="27" t="s">
        <v>20</v>
      </c>
      <c r="E29" s="27" t="s">
        <v>15</v>
      </c>
      <c r="F29" s="90">
        <v>155</v>
      </c>
      <c r="G29" s="89">
        <f>RANK(Table5[[#This Row],[Total Score]],Table5[[Gender]:[Total Score]],0)</f>
        <v>158</v>
      </c>
      <c r="H29" s="88" t="str">
        <f t="shared" si="0"/>
        <v>Fail</v>
      </c>
    </row>
    <row r="30" spans="2:8" ht="20.5" x14ac:dyDescent="0.8">
      <c r="B30" s="87" t="s">
        <v>8</v>
      </c>
      <c r="C30" s="27" t="s">
        <v>9</v>
      </c>
      <c r="D30" s="27" t="s">
        <v>11</v>
      </c>
      <c r="E30" s="27" t="s">
        <v>15</v>
      </c>
      <c r="F30" s="90">
        <v>229</v>
      </c>
      <c r="G30" s="89">
        <f>RANK(Table5[[#This Row],[Total Score]],Table5[[Gender]:[Total Score]],0)</f>
        <v>31</v>
      </c>
      <c r="H30" s="88" t="str">
        <f t="shared" si="0"/>
        <v>Good</v>
      </c>
    </row>
    <row r="31" spans="2:8" ht="20.5" x14ac:dyDescent="0.8">
      <c r="B31" s="87" t="s">
        <v>17</v>
      </c>
      <c r="C31" s="27" t="s">
        <v>18</v>
      </c>
      <c r="D31" s="27" t="s">
        <v>11</v>
      </c>
      <c r="E31" s="27" t="s">
        <v>15</v>
      </c>
      <c r="F31" s="90">
        <v>219</v>
      </c>
      <c r="G31" s="89">
        <f>RANK(Table5[[#This Row],[Total Score]],Table5[[Gender]:[Total Score]],0)</f>
        <v>44</v>
      </c>
      <c r="H31" s="88" t="str">
        <f t="shared" si="0"/>
        <v>Good</v>
      </c>
    </row>
    <row r="32" spans="2:8" ht="20.5" x14ac:dyDescent="0.8">
      <c r="B32" s="87" t="s">
        <v>8</v>
      </c>
      <c r="C32" s="27" t="s">
        <v>9</v>
      </c>
      <c r="D32" s="27" t="s">
        <v>20</v>
      </c>
      <c r="E32" s="27" t="s">
        <v>15</v>
      </c>
      <c r="F32" s="90">
        <v>158</v>
      </c>
      <c r="G32" s="89">
        <f>RANK(Table5[[#This Row],[Total Score]],Table5[[Gender]:[Total Score]],0)</f>
        <v>150</v>
      </c>
      <c r="H32" s="88" t="str">
        <f t="shared" si="0"/>
        <v>Fail</v>
      </c>
    </row>
    <row r="33" spans="2:8" ht="20.5" x14ac:dyDescent="0.8">
      <c r="B33" s="87" t="s">
        <v>8</v>
      </c>
      <c r="C33" s="27" t="s">
        <v>24</v>
      </c>
      <c r="D33" s="27" t="s">
        <v>11</v>
      </c>
      <c r="E33" s="27" t="s">
        <v>12</v>
      </c>
      <c r="F33" s="90">
        <v>147</v>
      </c>
      <c r="G33" s="89">
        <f>RANK(Table5[[#This Row],[Total Score]],Table5[[Gender]:[Total Score]],0)</f>
        <v>166</v>
      </c>
      <c r="H33" s="88" t="str">
        <f t="shared" si="0"/>
        <v>Fail</v>
      </c>
    </row>
    <row r="34" spans="2:8" ht="20.5" x14ac:dyDescent="0.8">
      <c r="B34" s="87" t="s">
        <v>17</v>
      </c>
      <c r="C34" s="27" t="s">
        <v>24</v>
      </c>
      <c r="D34" s="27" t="s">
        <v>11</v>
      </c>
      <c r="E34" s="27" t="s">
        <v>12</v>
      </c>
      <c r="F34" s="90">
        <v>221</v>
      </c>
      <c r="G34" s="89">
        <f>RANK(Table5[[#This Row],[Total Score]],Table5[[Gender]:[Total Score]],0)</f>
        <v>42</v>
      </c>
      <c r="H34" s="88" t="str">
        <f t="shared" si="0"/>
        <v>Good</v>
      </c>
    </row>
    <row r="35" spans="2:8" ht="20.5" x14ac:dyDescent="0.8">
      <c r="B35" s="87" t="s">
        <v>17</v>
      </c>
      <c r="C35" s="27" t="s">
        <v>24</v>
      </c>
      <c r="D35" s="27" t="s">
        <v>20</v>
      </c>
      <c r="E35" s="27" t="s">
        <v>12</v>
      </c>
      <c r="F35" s="90">
        <v>162</v>
      </c>
      <c r="G35" s="89">
        <f>RANK(Table5[[#This Row],[Total Score]],Table5[[Gender]:[Total Score]],0)</f>
        <v>146</v>
      </c>
      <c r="H35" s="88" t="str">
        <f t="shared" si="0"/>
        <v>Fail</v>
      </c>
    </row>
    <row r="36" spans="2:8" ht="20.5" x14ac:dyDescent="0.8">
      <c r="B36" s="87" t="s">
        <v>17</v>
      </c>
      <c r="C36" s="27" t="s">
        <v>24</v>
      </c>
      <c r="D36" s="27" t="s">
        <v>11</v>
      </c>
      <c r="E36" s="27" t="s">
        <v>15</v>
      </c>
      <c r="F36" s="90">
        <v>237</v>
      </c>
      <c r="G36" s="89">
        <f>RANK(Table5[[#This Row],[Total Score]],Table5[[Gender]:[Total Score]],0)</f>
        <v>23</v>
      </c>
      <c r="H36" s="88" t="str">
        <f t="shared" si="0"/>
        <v>Good</v>
      </c>
    </row>
    <row r="37" spans="2:8" ht="20.5" x14ac:dyDescent="0.8">
      <c r="B37" s="87" t="s">
        <v>8</v>
      </c>
      <c r="C37" s="27" t="s">
        <v>13</v>
      </c>
      <c r="D37" s="27" t="s">
        <v>20</v>
      </c>
      <c r="E37" s="27" t="s">
        <v>12</v>
      </c>
      <c r="F37" s="90">
        <v>164</v>
      </c>
      <c r="G37" s="89">
        <f>RANK(Table5[[#This Row],[Total Score]],Table5[[Gender]:[Total Score]],0)</f>
        <v>140</v>
      </c>
      <c r="H37" s="88" t="str">
        <f t="shared" si="0"/>
        <v>Fail</v>
      </c>
    </row>
    <row r="38" spans="2:8" ht="20.5" x14ac:dyDescent="0.8">
      <c r="B38" s="87" t="s">
        <v>17</v>
      </c>
      <c r="C38" s="27" t="s">
        <v>24</v>
      </c>
      <c r="D38" s="27" t="s">
        <v>11</v>
      </c>
      <c r="E38" s="27" t="s">
        <v>15</v>
      </c>
      <c r="F38" s="90">
        <v>259</v>
      </c>
      <c r="G38" s="89">
        <f>RANK(Table5[[#This Row],[Total Score]],Table5[[Gender]:[Total Score]],0)</f>
        <v>6</v>
      </c>
      <c r="H38" s="88" t="str">
        <f t="shared" ref="H38:H69" si="1">_xlfn.XLOOKUP(F38,I:I,K:K,,-1)</f>
        <v>Very Good</v>
      </c>
    </row>
    <row r="39" spans="2:8" ht="20.5" x14ac:dyDescent="0.8">
      <c r="B39" s="87" t="s">
        <v>8</v>
      </c>
      <c r="C39" s="27" t="s">
        <v>13</v>
      </c>
      <c r="D39" s="27" t="s">
        <v>20</v>
      </c>
      <c r="E39" s="27" t="s">
        <v>12</v>
      </c>
      <c r="F39" s="90">
        <v>115</v>
      </c>
      <c r="G39" s="89">
        <f>RANK(Table5[[#This Row],[Total Score]],Table5[[Gender]:[Total Score]],0)</f>
        <v>189</v>
      </c>
      <c r="H39" s="88" t="str">
        <f t="shared" si="1"/>
        <v>Fail</v>
      </c>
    </row>
    <row r="40" spans="2:8" ht="20.5" x14ac:dyDescent="0.8">
      <c r="B40" s="87" t="s">
        <v>17</v>
      </c>
      <c r="C40" s="27" t="s">
        <v>9</v>
      </c>
      <c r="D40" s="27" t="s">
        <v>20</v>
      </c>
      <c r="E40" s="27" t="s">
        <v>12</v>
      </c>
      <c r="F40" s="90">
        <v>213</v>
      </c>
      <c r="G40" s="89">
        <f>RANK(Table5[[#This Row],[Total Score]],Table5[[Gender]:[Total Score]],0)</f>
        <v>55</v>
      </c>
      <c r="H40" s="88" t="str">
        <f t="shared" si="1"/>
        <v>Good</v>
      </c>
    </row>
    <row r="41" spans="2:8" ht="20.5" x14ac:dyDescent="0.8">
      <c r="B41" s="87" t="s">
        <v>8</v>
      </c>
      <c r="C41" s="27" t="s">
        <v>21</v>
      </c>
      <c r="D41" s="27" t="s">
        <v>11</v>
      </c>
      <c r="E41" s="27" t="s">
        <v>15</v>
      </c>
      <c r="F41" s="90">
        <v>198</v>
      </c>
      <c r="G41" s="89">
        <f>RANK(Table5[[#This Row],[Total Score]],Table5[[Gender]:[Total Score]],0)</f>
        <v>88</v>
      </c>
      <c r="H41" s="88" t="str">
        <f t="shared" si="1"/>
        <v>Fair</v>
      </c>
    </row>
    <row r="42" spans="2:8" ht="20.5" x14ac:dyDescent="0.8">
      <c r="B42" s="87" t="s">
        <v>17</v>
      </c>
      <c r="C42" s="27" t="s">
        <v>21</v>
      </c>
      <c r="D42" s="27" t="s">
        <v>11</v>
      </c>
      <c r="E42" s="27" t="s">
        <v>12</v>
      </c>
      <c r="F42" s="90">
        <v>161</v>
      </c>
      <c r="G42" s="89">
        <f>RANK(Table5[[#This Row],[Total Score]],Table5[[Gender]:[Total Score]],0)</f>
        <v>148</v>
      </c>
      <c r="H42" s="88" t="str">
        <f t="shared" si="1"/>
        <v>Fail</v>
      </c>
    </row>
    <row r="43" spans="2:8" ht="20.5" x14ac:dyDescent="0.8">
      <c r="B43" s="87" t="s">
        <v>17</v>
      </c>
      <c r="C43" s="27" t="s">
        <v>21</v>
      </c>
      <c r="D43" s="27" t="s">
        <v>20</v>
      </c>
      <c r="E43" s="27" t="s">
        <v>15</v>
      </c>
      <c r="F43" s="90">
        <v>207</v>
      </c>
      <c r="G43" s="89">
        <f>RANK(Table5[[#This Row],[Total Score]],Table5[[Gender]:[Total Score]],0)</f>
        <v>70</v>
      </c>
      <c r="H43" s="88" t="str">
        <f t="shared" si="1"/>
        <v>Fair</v>
      </c>
    </row>
    <row r="44" spans="2:8" ht="20.5" x14ac:dyDescent="0.8">
      <c r="B44" s="87" t="s">
        <v>8</v>
      </c>
      <c r="C44" s="27" t="s">
        <v>21</v>
      </c>
      <c r="D44" s="27" t="s">
        <v>11</v>
      </c>
      <c r="E44" s="27" t="s">
        <v>12</v>
      </c>
      <c r="F44" s="90">
        <v>163</v>
      </c>
      <c r="G44" s="89">
        <f>RANK(Table5[[#This Row],[Total Score]],Table5[[Gender]:[Total Score]],0)</f>
        <v>144</v>
      </c>
      <c r="H44" s="88" t="str">
        <f t="shared" si="1"/>
        <v>Fail</v>
      </c>
    </row>
    <row r="45" spans="2:8" ht="20.5" x14ac:dyDescent="0.8">
      <c r="B45" s="87" t="s">
        <v>8</v>
      </c>
      <c r="C45" s="27" t="s">
        <v>9</v>
      </c>
      <c r="D45" s="27" t="s">
        <v>11</v>
      </c>
      <c r="E45" s="27" t="s">
        <v>15</v>
      </c>
      <c r="F45" s="90">
        <v>196</v>
      </c>
      <c r="G45" s="89">
        <f>RANK(Table5[[#This Row],[Total Score]],Table5[[Gender]:[Total Score]],0)</f>
        <v>96</v>
      </c>
      <c r="H45" s="88" t="str">
        <f t="shared" si="1"/>
        <v>Fair</v>
      </c>
    </row>
    <row r="46" spans="2:8" ht="20.5" x14ac:dyDescent="0.8">
      <c r="B46" s="87" t="s">
        <v>8</v>
      </c>
      <c r="C46" s="27" t="s">
        <v>9</v>
      </c>
      <c r="D46" s="27" t="s">
        <v>11</v>
      </c>
      <c r="E46" s="27" t="s">
        <v>12</v>
      </c>
      <c r="F46" s="90">
        <v>191</v>
      </c>
      <c r="G46" s="89">
        <f>RANK(Table5[[#This Row],[Total Score]],Table5[[Gender]:[Total Score]],0)</f>
        <v>105</v>
      </c>
      <c r="H46" s="88" t="str">
        <f t="shared" si="1"/>
        <v>Fair</v>
      </c>
    </row>
    <row r="47" spans="2:8" ht="20.5" x14ac:dyDescent="0.8">
      <c r="B47" s="87" t="s">
        <v>17</v>
      </c>
      <c r="C47" s="27" t="s">
        <v>13</v>
      </c>
      <c r="D47" s="27" t="s">
        <v>11</v>
      </c>
      <c r="E47" s="27" t="s">
        <v>12</v>
      </c>
      <c r="F47" s="90">
        <v>181</v>
      </c>
      <c r="G47" s="89">
        <f>RANK(Table5[[#This Row],[Total Score]],Table5[[Gender]:[Total Score]],0)</f>
        <v>116</v>
      </c>
      <c r="H47" s="88" t="str">
        <f t="shared" si="1"/>
        <v>Fair</v>
      </c>
    </row>
    <row r="48" spans="2:8" ht="20.5" x14ac:dyDescent="0.8">
      <c r="B48" s="87" t="s">
        <v>17</v>
      </c>
      <c r="C48" s="27" t="s">
        <v>21</v>
      </c>
      <c r="D48" s="27" t="s">
        <v>11</v>
      </c>
      <c r="E48" s="27" t="s">
        <v>12</v>
      </c>
      <c r="F48" s="90">
        <v>158</v>
      </c>
      <c r="G48" s="89">
        <f>RANK(Table5[[#This Row],[Total Score]],Table5[[Gender]:[Total Score]],0)</f>
        <v>150</v>
      </c>
      <c r="H48" s="88" t="str">
        <f t="shared" si="1"/>
        <v>Fail</v>
      </c>
    </row>
    <row r="49" spans="2:8" ht="20.5" x14ac:dyDescent="0.8">
      <c r="B49" s="87" t="s">
        <v>8</v>
      </c>
      <c r="C49" s="27" t="s">
        <v>24</v>
      </c>
      <c r="D49" s="27" t="s">
        <v>11</v>
      </c>
      <c r="E49" s="27" t="s">
        <v>12</v>
      </c>
      <c r="F49" s="90">
        <v>282</v>
      </c>
      <c r="G49" s="89">
        <f>RANK(Table5[[#This Row],[Total Score]],Table5[[Gender]:[Total Score]],0)</f>
        <v>2</v>
      </c>
      <c r="H49" s="88" t="str">
        <f t="shared" si="1"/>
        <v>Excellent</v>
      </c>
    </row>
    <row r="50" spans="2:8" ht="20.5" x14ac:dyDescent="0.8">
      <c r="B50" s="87" t="s">
        <v>17</v>
      </c>
      <c r="C50" s="27" t="s">
        <v>21</v>
      </c>
      <c r="D50" s="27" t="s">
        <v>11</v>
      </c>
      <c r="E50" s="27" t="s">
        <v>12</v>
      </c>
      <c r="F50" s="90">
        <v>217</v>
      </c>
      <c r="G50" s="89">
        <f>RANK(Table5[[#This Row],[Total Score]],Table5[[Gender]:[Total Score]],0)</f>
        <v>51</v>
      </c>
      <c r="H50" s="88" t="str">
        <f t="shared" si="1"/>
        <v>Good</v>
      </c>
    </row>
    <row r="51" spans="2:8" ht="20.5" x14ac:dyDescent="0.8">
      <c r="B51" s="87" t="s">
        <v>8</v>
      </c>
      <c r="C51" s="27" t="s">
        <v>21</v>
      </c>
      <c r="D51" s="27" t="s">
        <v>11</v>
      </c>
      <c r="E51" s="27" t="s">
        <v>12</v>
      </c>
      <c r="F51" s="90">
        <v>218</v>
      </c>
      <c r="G51" s="89">
        <f>RANK(Table5[[#This Row],[Total Score]],Table5[[Gender]:[Total Score]],0)</f>
        <v>48</v>
      </c>
      <c r="H51" s="88" t="str">
        <f t="shared" si="1"/>
        <v>Good</v>
      </c>
    </row>
    <row r="52" spans="2:8" ht="20.5" x14ac:dyDescent="0.8">
      <c r="B52" s="87" t="s">
        <v>8</v>
      </c>
      <c r="C52" s="27" t="s">
        <v>24</v>
      </c>
      <c r="D52" s="27" t="s">
        <v>11</v>
      </c>
      <c r="E52" s="27" t="s">
        <v>15</v>
      </c>
      <c r="F52" s="90">
        <v>197</v>
      </c>
      <c r="G52" s="89">
        <f>RANK(Table5[[#This Row],[Total Score]],Table5[[Gender]:[Total Score]],0)</f>
        <v>93</v>
      </c>
      <c r="H52" s="88" t="str">
        <f t="shared" si="1"/>
        <v>Fair</v>
      </c>
    </row>
    <row r="53" spans="2:8" ht="20.5" x14ac:dyDescent="0.8">
      <c r="B53" s="87" t="s">
        <v>17</v>
      </c>
      <c r="C53" s="27" t="s">
        <v>21</v>
      </c>
      <c r="D53" s="27" t="s">
        <v>11</v>
      </c>
      <c r="E53" s="27" t="s">
        <v>12</v>
      </c>
      <c r="F53" s="90">
        <v>147</v>
      </c>
      <c r="G53" s="89">
        <f>RANK(Table5[[#This Row],[Total Score]],Table5[[Gender]:[Total Score]],0)</f>
        <v>166</v>
      </c>
      <c r="H53" s="88" t="str">
        <f t="shared" si="1"/>
        <v>Fail</v>
      </c>
    </row>
    <row r="54" spans="2:8" ht="20.5" x14ac:dyDescent="0.8">
      <c r="B54" s="87" t="s">
        <v>17</v>
      </c>
      <c r="C54" s="27" t="s">
        <v>21</v>
      </c>
      <c r="D54" s="27" t="s">
        <v>11</v>
      </c>
      <c r="E54" s="27" t="s">
        <v>12</v>
      </c>
      <c r="F54" s="90">
        <v>139</v>
      </c>
      <c r="G54" s="89">
        <f>RANK(Table5[[#This Row],[Total Score]],Table5[[Gender]:[Total Score]],0)</f>
        <v>176</v>
      </c>
      <c r="H54" s="88" t="str">
        <f t="shared" si="1"/>
        <v>Fail</v>
      </c>
    </row>
    <row r="55" spans="2:8" ht="20.5" x14ac:dyDescent="0.8">
      <c r="B55" s="87" t="s">
        <v>17</v>
      </c>
      <c r="C55" s="27" t="s">
        <v>21</v>
      </c>
      <c r="D55" s="27" t="s">
        <v>20</v>
      </c>
      <c r="E55" s="27" t="s">
        <v>15</v>
      </c>
      <c r="F55" s="90">
        <v>235</v>
      </c>
      <c r="G55" s="89">
        <f>RANK(Table5[[#This Row],[Total Score]],Table5[[Gender]:[Total Score]],0)</f>
        <v>25</v>
      </c>
      <c r="H55" s="88" t="str">
        <f t="shared" si="1"/>
        <v>Good</v>
      </c>
    </row>
    <row r="56" spans="2:8" ht="20.5" x14ac:dyDescent="0.8">
      <c r="B56" s="87" t="s">
        <v>17</v>
      </c>
      <c r="C56" s="27" t="s">
        <v>13</v>
      </c>
      <c r="D56" s="27" t="s">
        <v>20</v>
      </c>
      <c r="E56" s="27" t="s">
        <v>15</v>
      </c>
      <c r="F56" s="90">
        <v>136</v>
      </c>
      <c r="G56" s="89">
        <f>RANK(Table5[[#This Row],[Total Score]],Table5[[Gender]:[Total Score]],0)</f>
        <v>179</v>
      </c>
      <c r="H56" s="88" t="str">
        <f t="shared" si="1"/>
        <v>Fail</v>
      </c>
    </row>
    <row r="57" spans="2:8" ht="20.5" x14ac:dyDescent="0.8">
      <c r="B57" s="87" t="s">
        <v>8</v>
      </c>
      <c r="C57" s="27" t="s">
        <v>21</v>
      </c>
      <c r="D57" s="27" t="s">
        <v>20</v>
      </c>
      <c r="E57" s="27" t="s">
        <v>12</v>
      </c>
      <c r="F57" s="90">
        <v>158</v>
      </c>
      <c r="G57" s="89">
        <f>RANK(Table5[[#This Row],[Total Score]],Table5[[Gender]:[Total Score]],0)</f>
        <v>150</v>
      </c>
      <c r="H57" s="88" t="str">
        <f t="shared" si="1"/>
        <v>Fail</v>
      </c>
    </row>
    <row r="58" spans="2:8" ht="20.5" x14ac:dyDescent="0.8">
      <c r="B58" s="87" t="s">
        <v>17</v>
      </c>
      <c r="C58" s="27" t="s">
        <v>13</v>
      </c>
      <c r="D58" s="27" t="s">
        <v>11</v>
      </c>
      <c r="E58" s="27" t="s">
        <v>12</v>
      </c>
      <c r="F58" s="90">
        <v>202</v>
      </c>
      <c r="G58" s="89">
        <f>RANK(Table5[[#This Row],[Total Score]],Table5[[Gender]:[Total Score]],0)</f>
        <v>82</v>
      </c>
      <c r="H58" s="88" t="str">
        <f t="shared" si="1"/>
        <v>Fair</v>
      </c>
    </row>
    <row r="59" spans="2:8" ht="20.5" x14ac:dyDescent="0.8">
      <c r="B59" s="87" t="s">
        <v>8</v>
      </c>
      <c r="C59" s="27" t="s">
        <v>13</v>
      </c>
      <c r="D59" s="27" t="s">
        <v>20</v>
      </c>
      <c r="E59" s="27" t="s">
        <v>15</v>
      </c>
      <c r="F59" s="90">
        <v>230</v>
      </c>
      <c r="G59" s="89">
        <f>RANK(Table5[[#This Row],[Total Score]],Table5[[Gender]:[Total Score]],0)</f>
        <v>30</v>
      </c>
      <c r="H59" s="88" t="str">
        <f t="shared" si="1"/>
        <v>Good</v>
      </c>
    </row>
    <row r="60" spans="2:8" ht="20.5" x14ac:dyDescent="0.8">
      <c r="B60" s="87" t="s">
        <v>8</v>
      </c>
      <c r="C60" s="27" t="s">
        <v>24</v>
      </c>
      <c r="D60" s="27" t="s">
        <v>11</v>
      </c>
      <c r="E60" s="27" t="s">
        <v>12</v>
      </c>
      <c r="F60" s="90">
        <v>240</v>
      </c>
      <c r="G60" s="89">
        <f>RANK(Table5[[#This Row],[Total Score]],Table5[[Gender]:[Total Score]],0)</f>
        <v>19</v>
      </c>
      <c r="H60" s="88" t="str">
        <f t="shared" si="1"/>
        <v>Very Good</v>
      </c>
    </row>
    <row r="61" spans="2:8" ht="20.5" x14ac:dyDescent="0.8">
      <c r="B61" s="87" t="s">
        <v>8</v>
      </c>
      <c r="C61" s="27" t="s">
        <v>13</v>
      </c>
      <c r="D61" s="27" t="s">
        <v>20</v>
      </c>
      <c r="E61" s="27" t="s">
        <v>12</v>
      </c>
      <c r="F61" s="90">
        <v>130</v>
      </c>
      <c r="G61" s="89">
        <f>RANK(Table5[[#This Row],[Total Score]],Table5[[Gender]:[Total Score]],0)</f>
        <v>184</v>
      </c>
      <c r="H61" s="88" t="str">
        <f t="shared" si="1"/>
        <v>Fail</v>
      </c>
    </row>
    <row r="62" spans="2:8" ht="20.5" x14ac:dyDescent="0.8">
      <c r="B62" s="87" t="s">
        <v>17</v>
      </c>
      <c r="C62" s="27" t="s">
        <v>13</v>
      </c>
      <c r="D62" s="27" t="s">
        <v>11</v>
      </c>
      <c r="E62" s="27" t="s">
        <v>12</v>
      </c>
      <c r="F62" s="90">
        <v>192</v>
      </c>
      <c r="G62" s="89">
        <f>RANK(Table5[[#This Row],[Total Score]],Table5[[Gender]:[Total Score]],0)</f>
        <v>103</v>
      </c>
      <c r="H62" s="88" t="str">
        <f t="shared" si="1"/>
        <v>Fair</v>
      </c>
    </row>
    <row r="63" spans="2:8" ht="20.5" x14ac:dyDescent="0.8">
      <c r="B63" s="87" t="s">
        <v>17</v>
      </c>
      <c r="C63" s="27" t="s">
        <v>13</v>
      </c>
      <c r="D63" s="27" t="s">
        <v>20</v>
      </c>
      <c r="E63" s="27" t="s">
        <v>12</v>
      </c>
      <c r="F63" s="90">
        <v>171</v>
      </c>
      <c r="G63" s="89">
        <f>RANK(Table5[[#This Row],[Total Score]],Table5[[Gender]:[Total Score]],0)</f>
        <v>131</v>
      </c>
      <c r="H63" s="88" t="str">
        <f t="shared" si="1"/>
        <v>Fail</v>
      </c>
    </row>
    <row r="64" spans="2:8" ht="20.5" x14ac:dyDescent="0.8">
      <c r="B64" s="87" t="s">
        <v>8</v>
      </c>
      <c r="C64" s="27" t="s">
        <v>13</v>
      </c>
      <c r="D64" s="27" t="s">
        <v>11</v>
      </c>
      <c r="E64" s="27" t="s">
        <v>12</v>
      </c>
      <c r="F64" s="90">
        <v>197</v>
      </c>
      <c r="G64" s="89">
        <f>RANK(Table5[[#This Row],[Total Score]],Table5[[Gender]:[Total Score]],0)</f>
        <v>93</v>
      </c>
      <c r="H64" s="88" t="str">
        <f t="shared" si="1"/>
        <v>Fair</v>
      </c>
    </row>
    <row r="65" spans="2:8" ht="20.5" x14ac:dyDescent="0.8">
      <c r="B65" s="87" t="s">
        <v>8</v>
      </c>
      <c r="C65" s="27" t="s">
        <v>9</v>
      </c>
      <c r="D65" s="27" t="s">
        <v>11</v>
      </c>
      <c r="E65" s="27" t="s">
        <v>15</v>
      </c>
      <c r="F65" s="90">
        <v>219</v>
      </c>
      <c r="G65" s="89">
        <f>RANK(Table5[[#This Row],[Total Score]],Table5[[Gender]:[Total Score]],0)</f>
        <v>44</v>
      </c>
      <c r="H65" s="88" t="str">
        <f t="shared" si="1"/>
        <v>Good</v>
      </c>
    </row>
    <row r="66" spans="2:8" ht="20.5" x14ac:dyDescent="0.8">
      <c r="B66" s="87" t="s">
        <v>8</v>
      </c>
      <c r="C66" s="27" t="s">
        <v>13</v>
      </c>
      <c r="D66" s="27" t="s">
        <v>11</v>
      </c>
      <c r="E66" s="27" t="s">
        <v>12</v>
      </c>
      <c r="F66" s="90">
        <v>227</v>
      </c>
      <c r="G66" s="89">
        <f>RANK(Table5[[#This Row],[Total Score]],Table5[[Gender]:[Total Score]],0)</f>
        <v>33</v>
      </c>
      <c r="H66" s="88" t="str">
        <f t="shared" si="1"/>
        <v>Good</v>
      </c>
    </row>
    <row r="67" spans="2:8" ht="20.5" x14ac:dyDescent="0.8">
      <c r="B67" s="87" t="s">
        <v>17</v>
      </c>
      <c r="C67" s="27" t="s">
        <v>21</v>
      </c>
      <c r="D67" s="27" t="s">
        <v>20</v>
      </c>
      <c r="E67" s="27" t="s">
        <v>12</v>
      </c>
      <c r="F67" s="90">
        <v>215</v>
      </c>
      <c r="G67" s="89">
        <f>RANK(Table5[[#This Row],[Total Score]],Table5[[Gender]:[Total Score]],0)</f>
        <v>52</v>
      </c>
      <c r="H67" s="88" t="str">
        <f t="shared" si="1"/>
        <v>Good</v>
      </c>
    </row>
    <row r="68" spans="2:8" ht="20.5" x14ac:dyDescent="0.8">
      <c r="B68" s="87" t="s">
        <v>8</v>
      </c>
      <c r="C68" s="27" t="s">
        <v>9</v>
      </c>
      <c r="D68" s="27" t="s">
        <v>11</v>
      </c>
      <c r="E68" s="27" t="s">
        <v>12</v>
      </c>
      <c r="F68" s="90">
        <v>179</v>
      </c>
      <c r="G68" s="89">
        <f>RANK(Table5[[#This Row],[Total Score]],Table5[[Gender]:[Total Score]],0)</f>
        <v>121</v>
      </c>
      <c r="H68" s="88" t="str">
        <f t="shared" si="1"/>
        <v>Fail</v>
      </c>
    </row>
    <row r="69" spans="2:8" ht="20.5" x14ac:dyDescent="0.8">
      <c r="B69" s="87" t="s">
        <v>17</v>
      </c>
      <c r="C69" s="27" t="s">
        <v>13</v>
      </c>
      <c r="D69" s="27" t="s">
        <v>11</v>
      </c>
      <c r="E69" s="27" t="s">
        <v>15</v>
      </c>
      <c r="F69" s="90">
        <v>180</v>
      </c>
      <c r="G69" s="89">
        <f>RANK(Table5[[#This Row],[Total Score]],Table5[[Gender]:[Total Score]],0)</f>
        <v>118</v>
      </c>
      <c r="H69" s="88" t="str">
        <f t="shared" si="1"/>
        <v>Fair</v>
      </c>
    </row>
    <row r="70" spans="2:8" ht="20.5" x14ac:dyDescent="0.8">
      <c r="B70" s="87" t="s">
        <v>8</v>
      </c>
      <c r="C70" s="27" t="s">
        <v>21</v>
      </c>
      <c r="D70" s="27" t="s">
        <v>11</v>
      </c>
      <c r="E70" s="27" t="s">
        <v>12</v>
      </c>
      <c r="F70" s="90">
        <v>190</v>
      </c>
      <c r="G70" s="89">
        <f>RANK(Table5[[#This Row],[Total Score]],Table5[[Gender]:[Total Score]],0)</f>
        <v>107</v>
      </c>
      <c r="H70" s="88" t="str">
        <f t="shared" ref="H70:H101" si="2">_xlfn.XLOOKUP(F70,I:I,K:K,,-1)</f>
        <v>Fair</v>
      </c>
    </row>
    <row r="71" spans="2:8" ht="20.5" x14ac:dyDescent="0.8">
      <c r="B71" s="87" t="s">
        <v>17</v>
      </c>
      <c r="C71" s="27" t="s">
        <v>18</v>
      </c>
      <c r="D71" s="27" t="s">
        <v>20</v>
      </c>
      <c r="E71" s="27" t="s">
        <v>12</v>
      </c>
      <c r="F71" s="90">
        <v>134</v>
      </c>
      <c r="G71" s="89">
        <f>RANK(Table5[[#This Row],[Total Score]],Table5[[Gender]:[Total Score]],0)</f>
        <v>181</v>
      </c>
      <c r="H71" s="88" t="str">
        <f t="shared" si="2"/>
        <v>Fail</v>
      </c>
    </row>
    <row r="72" spans="2:8" ht="20.5" x14ac:dyDescent="0.8">
      <c r="B72" s="87" t="s">
        <v>8</v>
      </c>
      <c r="C72" s="27" t="s">
        <v>9</v>
      </c>
      <c r="D72" s="27" t="s">
        <v>20</v>
      </c>
      <c r="E72" s="27" t="s">
        <v>12</v>
      </c>
      <c r="F72" s="90">
        <v>180</v>
      </c>
      <c r="G72" s="89">
        <f>RANK(Table5[[#This Row],[Total Score]],Table5[[Gender]:[Total Score]],0)</f>
        <v>118</v>
      </c>
      <c r="H72" s="88" t="str">
        <f t="shared" si="2"/>
        <v>Fair</v>
      </c>
    </row>
    <row r="73" spans="2:8" ht="20.5" x14ac:dyDescent="0.8">
      <c r="B73" s="87" t="s">
        <v>8</v>
      </c>
      <c r="C73" s="27" t="s">
        <v>21</v>
      </c>
      <c r="D73" s="27" t="s">
        <v>11</v>
      </c>
      <c r="E73" s="27" t="s">
        <v>15</v>
      </c>
      <c r="F73" s="90">
        <v>287</v>
      </c>
      <c r="G73" s="89">
        <f>RANK(Table5[[#This Row],[Total Score]],Table5[[Gender]:[Total Score]],0)</f>
        <v>1</v>
      </c>
      <c r="H73" s="88" t="str">
        <f t="shared" si="2"/>
        <v>Excellent</v>
      </c>
    </row>
    <row r="74" spans="2:8" ht="20.5" x14ac:dyDescent="0.8">
      <c r="B74" s="87" t="s">
        <v>8</v>
      </c>
      <c r="C74" s="27" t="s">
        <v>13</v>
      </c>
      <c r="D74" s="27" t="s">
        <v>11</v>
      </c>
      <c r="E74" s="27" t="s">
        <v>12</v>
      </c>
      <c r="F74" s="90">
        <v>175</v>
      </c>
      <c r="G74" s="89">
        <f>RANK(Table5[[#This Row],[Total Score]],Table5[[Gender]:[Total Score]],0)</f>
        <v>127</v>
      </c>
      <c r="H74" s="88" t="str">
        <f t="shared" si="2"/>
        <v>Fail</v>
      </c>
    </row>
    <row r="75" spans="2:8" ht="20.5" x14ac:dyDescent="0.8">
      <c r="B75" s="87" t="s">
        <v>8</v>
      </c>
      <c r="C75" s="27" t="s">
        <v>21</v>
      </c>
      <c r="D75" s="27" t="s">
        <v>20</v>
      </c>
      <c r="E75" s="27" t="s">
        <v>15</v>
      </c>
      <c r="F75" s="90">
        <v>165</v>
      </c>
      <c r="G75" s="89">
        <f>RANK(Table5[[#This Row],[Total Score]],Table5[[Gender]:[Total Score]],0)</f>
        <v>139</v>
      </c>
      <c r="H75" s="88" t="str">
        <f t="shared" si="2"/>
        <v>Fail</v>
      </c>
    </row>
    <row r="76" spans="2:8" ht="20.5" x14ac:dyDescent="0.8">
      <c r="B76" s="87" t="s">
        <v>17</v>
      </c>
      <c r="C76" s="27" t="s">
        <v>24</v>
      </c>
      <c r="D76" s="27" t="s">
        <v>11</v>
      </c>
      <c r="E76" s="27" t="s">
        <v>12</v>
      </c>
      <c r="F76" s="90">
        <v>226</v>
      </c>
      <c r="G76" s="89">
        <f>RANK(Table5[[#This Row],[Total Score]],Table5[[Gender]:[Total Score]],0)</f>
        <v>35</v>
      </c>
      <c r="H76" s="88" t="str">
        <f t="shared" si="2"/>
        <v>Good</v>
      </c>
    </row>
    <row r="77" spans="2:8" ht="20.5" x14ac:dyDescent="0.8">
      <c r="B77" s="87" t="s">
        <v>17</v>
      </c>
      <c r="C77" s="27" t="s">
        <v>24</v>
      </c>
      <c r="D77" s="27" t="s">
        <v>20</v>
      </c>
      <c r="E77" s="27" t="s">
        <v>15</v>
      </c>
      <c r="F77" s="90">
        <v>167</v>
      </c>
      <c r="G77" s="89">
        <f>RANK(Table5[[#This Row],[Total Score]],Table5[[Gender]:[Total Score]],0)</f>
        <v>136</v>
      </c>
      <c r="H77" s="88" t="str">
        <f t="shared" si="2"/>
        <v>Fail</v>
      </c>
    </row>
    <row r="78" spans="2:8" ht="20.5" x14ac:dyDescent="0.8">
      <c r="B78" s="87" t="s">
        <v>8</v>
      </c>
      <c r="C78" s="27" t="s">
        <v>21</v>
      </c>
      <c r="D78" s="27" t="s">
        <v>11</v>
      </c>
      <c r="E78" s="27" t="s">
        <v>15</v>
      </c>
      <c r="F78" s="90">
        <v>179</v>
      </c>
      <c r="G78" s="89">
        <f>RANK(Table5[[#This Row],[Total Score]],Table5[[Gender]:[Total Score]],0)</f>
        <v>121</v>
      </c>
      <c r="H78" s="88" t="str">
        <f t="shared" si="2"/>
        <v>Fail</v>
      </c>
    </row>
    <row r="79" spans="2:8" ht="20.5" x14ac:dyDescent="0.8">
      <c r="B79" s="87" t="s">
        <v>8</v>
      </c>
      <c r="C79" s="27" t="s">
        <v>13</v>
      </c>
      <c r="D79" s="27" t="s">
        <v>11</v>
      </c>
      <c r="E79" s="27" t="s">
        <v>12</v>
      </c>
      <c r="F79" s="90">
        <v>203</v>
      </c>
      <c r="G79" s="89">
        <f>RANK(Table5[[#This Row],[Total Score]],Table5[[Gender]:[Total Score]],0)</f>
        <v>80</v>
      </c>
      <c r="H79" s="88" t="str">
        <f t="shared" si="2"/>
        <v>Fair</v>
      </c>
    </row>
    <row r="80" spans="2:8" ht="20.5" x14ac:dyDescent="0.8">
      <c r="B80" s="87" t="s">
        <v>17</v>
      </c>
      <c r="C80" s="27" t="s">
        <v>13</v>
      </c>
      <c r="D80" s="27" t="s">
        <v>11</v>
      </c>
      <c r="E80" s="27" t="s">
        <v>12</v>
      </c>
      <c r="F80" s="90">
        <v>172</v>
      </c>
      <c r="G80" s="89">
        <f>RANK(Table5[[#This Row],[Total Score]],Table5[[Gender]:[Total Score]],0)</f>
        <v>128</v>
      </c>
      <c r="H80" s="88" t="str">
        <f t="shared" si="2"/>
        <v>Fail</v>
      </c>
    </row>
    <row r="81" spans="2:8" ht="20.5" x14ac:dyDescent="0.8">
      <c r="B81" s="87" t="s">
        <v>17</v>
      </c>
      <c r="C81" s="27" t="s">
        <v>13</v>
      </c>
      <c r="D81" s="27" t="s">
        <v>11</v>
      </c>
      <c r="E81" s="27" t="s">
        <v>12</v>
      </c>
      <c r="F81" s="90">
        <v>177</v>
      </c>
      <c r="G81" s="89">
        <f>RANK(Table5[[#This Row],[Total Score]],Table5[[Gender]:[Total Score]],0)</f>
        <v>124</v>
      </c>
      <c r="H81" s="88" t="str">
        <f t="shared" si="2"/>
        <v>Fail</v>
      </c>
    </row>
    <row r="82" spans="2:8" ht="20.5" x14ac:dyDescent="0.8">
      <c r="B82" s="87" t="s">
        <v>8</v>
      </c>
      <c r="C82" s="27" t="s">
        <v>21</v>
      </c>
      <c r="D82" s="27" t="s">
        <v>11</v>
      </c>
      <c r="E82" s="27" t="s">
        <v>12</v>
      </c>
      <c r="F82" s="90">
        <v>239</v>
      </c>
      <c r="G82" s="89">
        <f>RANK(Table5[[#This Row],[Total Score]],Table5[[Gender]:[Total Score]],0)</f>
        <v>21</v>
      </c>
      <c r="H82" s="88" t="str">
        <f t="shared" si="2"/>
        <v>Good</v>
      </c>
    </row>
    <row r="83" spans="2:8" ht="20.5" x14ac:dyDescent="0.8">
      <c r="B83" s="87" t="s">
        <v>17</v>
      </c>
      <c r="C83" s="27" t="s">
        <v>13</v>
      </c>
      <c r="D83" s="27" t="s">
        <v>11</v>
      </c>
      <c r="E83" s="27" t="s">
        <v>15</v>
      </c>
      <c r="F83" s="90">
        <v>247</v>
      </c>
      <c r="G83" s="89">
        <f>RANK(Table5[[#This Row],[Total Score]],Table5[[Gender]:[Total Score]],0)</f>
        <v>13</v>
      </c>
      <c r="H83" s="88" t="str">
        <f t="shared" si="2"/>
        <v>Very Good</v>
      </c>
    </row>
    <row r="84" spans="2:8" ht="20.5" x14ac:dyDescent="0.8">
      <c r="B84" s="87" t="s">
        <v>17</v>
      </c>
      <c r="C84" s="27" t="s">
        <v>9</v>
      </c>
      <c r="D84" s="27" t="s">
        <v>11</v>
      </c>
      <c r="E84" s="27" t="s">
        <v>12</v>
      </c>
      <c r="F84" s="90">
        <v>135</v>
      </c>
      <c r="G84" s="89">
        <f>RANK(Table5[[#This Row],[Total Score]],Table5[[Gender]:[Total Score]],0)</f>
        <v>180</v>
      </c>
      <c r="H84" s="88" t="str">
        <f t="shared" si="2"/>
        <v>Fail</v>
      </c>
    </row>
    <row r="85" spans="2:8" ht="20.5" x14ac:dyDescent="0.8">
      <c r="B85" s="87" t="s">
        <v>17</v>
      </c>
      <c r="C85" s="27" t="s">
        <v>9</v>
      </c>
      <c r="D85" s="27" t="s">
        <v>11</v>
      </c>
      <c r="E85" s="27" t="s">
        <v>15</v>
      </c>
      <c r="F85" s="90">
        <v>205</v>
      </c>
      <c r="G85" s="89">
        <f>RANK(Table5[[#This Row],[Total Score]],Table5[[Gender]:[Total Score]],0)</f>
        <v>73</v>
      </c>
      <c r="H85" s="88" t="str">
        <f t="shared" si="2"/>
        <v>Fair</v>
      </c>
    </row>
    <row r="86" spans="2:8" ht="20.5" x14ac:dyDescent="0.8">
      <c r="B86" s="87" t="s">
        <v>17</v>
      </c>
      <c r="C86" s="27" t="s">
        <v>18</v>
      </c>
      <c r="D86" s="27" t="s">
        <v>20</v>
      </c>
      <c r="E86" s="27" t="s">
        <v>15</v>
      </c>
      <c r="F86" s="90">
        <v>204</v>
      </c>
      <c r="G86" s="89">
        <f>RANK(Table5[[#This Row],[Total Score]],Table5[[Gender]:[Total Score]],0)</f>
        <v>76</v>
      </c>
      <c r="H86" s="88" t="str">
        <f t="shared" si="2"/>
        <v>Fair</v>
      </c>
    </row>
    <row r="87" spans="2:8" ht="20.5" x14ac:dyDescent="0.8">
      <c r="B87" s="87" t="s">
        <v>8</v>
      </c>
      <c r="C87" s="27" t="s">
        <v>18</v>
      </c>
      <c r="D87" s="27" t="s">
        <v>20</v>
      </c>
      <c r="E87" s="27" t="s">
        <v>15</v>
      </c>
      <c r="F87" s="90">
        <v>250</v>
      </c>
      <c r="G87" s="89">
        <f>RANK(Table5[[#This Row],[Total Score]],Table5[[Gender]:[Total Score]],0)</f>
        <v>8</v>
      </c>
      <c r="H87" s="88" t="str">
        <f t="shared" si="2"/>
        <v>Very Good</v>
      </c>
    </row>
    <row r="88" spans="2:8" ht="20.5" x14ac:dyDescent="0.8">
      <c r="B88" s="87" t="s">
        <v>8</v>
      </c>
      <c r="C88" s="27" t="s">
        <v>13</v>
      </c>
      <c r="D88" s="27" t="s">
        <v>11</v>
      </c>
      <c r="E88" s="27" t="s">
        <v>12</v>
      </c>
      <c r="F88" s="90">
        <v>206</v>
      </c>
      <c r="G88" s="89">
        <f>RANK(Table5[[#This Row],[Total Score]],Table5[[Gender]:[Total Score]],0)</f>
        <v>71</v>
      </c>
      <c r="H88" s="88" t="str">
        <f t="shared" si="2"/>
        <v>Fair</v>
      </c>
    </row>
    <row r="89" spans="2:8" ht="20.5" x14ac:dyDescent="0.8">
      <c r="B89" s="87" t="s">
        <v>17</v>
      </c>
      <c r="C89" s="27" t="s">
        <v>9</v>
      </c>
      <c r="D89" s="27" t="s">
        <v>11</v>
      </c>
      <c r="E89" s="27" t="s">
        <v>15</v>
      </c>
      <c r="F89" s="90">
        <v>212</v>
      </c>
      <c r="G89" s="89">
        <f>RANK(Table5[[#This Row],[Total Score]],Table5[[Gender]:[Total Score]],0)</f>
        <v>59</v>
      </c>
      <c r="H89" s="88" t="str">
        <f t="shared" si="2"/>
        <v>Good</v>
      </c>
    </row>
    <row r="90" spans="2:8" ht="20.5" x14ac:dyDescent="0.8">
      <c r="B90" s="87" t="s">
        <v>17</v>
      </c>
      <c r="C90" s="27" t="s">
        <v>18</v>
      </c>
      <c r="D90" s="27" t="s">
        <v>11</v>
      </c>
      <c r="E90" s="27" t="s">
        <v>12</v>
      </c>
      <c r="F90" s="90">
        <v>157</v>
      </c>
      <c r="G90" s="89">
        <f>RANK(Table5[[#This Row],[Total Score]],Table5[[Gender]:[Total Score]],0)</f>
        <v>155</v>
      </c>
      <c r="H90" s="88" t="str">
        <f t="shared" si="2"/>
        <v>Fail</v>
      </c>
    </row>
    <row r="91" spans="2:8" ht="20.5" x14ac:dyDescent="0.8">
      <c r="B91" s="87" t="s">
        <v>17</v>
      </c>
      <c r="C91" s="27" t="s">
        <v>13</v>
      </c>
      <c r="D91" s="27" t="s">
        <v>11</v>
      </c>
      <c r="E91" s="27" t="s">
        <v>12</v>
      </c>
      <c r="F91" s="90">
        <v>215</v>
      </c>
      <c r="G91" s="89">
        <f>RANK(Table5[[#This Row],[Total Score]],Table5[[Gender]:[Total Score]],0)</f>
        <v>52</v>
      </c>
      <c r="H91" s="88" t="str">
        <f t="shared" si="2"/>
        <v>Good</v>
      </c>
    </row>
    <row r="92" spans="2:8" ht="20.5" x14ac:dyDescent="0.8">
      <c r="B92" s="87" t="s">
        <v>8</v>
      </c>
      <c r="C92" s="27" t="s">
        <v>9</v>
      </c>
      <c r="D92" s="27" t="s">
        <v>11</v>
      </c>
      <c r="E92" s="27" t="s">
        <v>12</v>
      </c>
      <c r="F92" s="90">
        <v>186</v>
      </c>
      <c r="G92" s="89">
        <f>RANK(Table5[[#This Row],[Total Score]],Table5[[Gender]:[Total Score]],0)</f>
        <v>114</v>
      </c>
      <c r="H92" s="88" t="str">
        <f t="shared" si="2"/>
        <v>Fair</v>
      </c>
    </row>
    <row r="93" spans="2:8" ht="20.5" x14ac:dyDescent="0.8">
      <c r="B93" s="87" t="s">
        <v>17</v>
      </c>
      <c r="C93" s="27" t="s">
        <v>21</v>
      </c>
      <c r="D93" s="27" t="s">
        <v>11</v>
      </c>
      <c r="E93" s="27" t="s">
        <v>15</v>
      </c>
      <c r="F93" s="90">
        <v>198</v>
      </c>
      <c r="G93" s="89">
        <f>RANK(Table5[[#This Row],[Total Score]],Table5[[Gender]:[Total Score]],0)</f>
        <v>88</v>
      </c>
      <c r="H93" s="88" t="str">
        <f t="shared" si="2"/>
        <v>Fair</v>
      </c>
    </row>
    <row r="94" spans="2:8" ht="20.5" x14ac:dyDescent="0.8">
      <c r="B94" s="87" t="s">
        <v>17</v>
      </c>
      <c r="C94" s="27" t="s">
        <v>18</v>
      </c>
      <c r="D94" s="27" t="s">
        <v>11</v>
      </c>
      <c r="E94" s="27" t="s">
        <v>12</v>
      </c>
      <c r="F94" s="90">
        <v>204</v>
      </c>
      <c r="G94" s="89">
        <f>RANK(Table5[[#This Row],[Total Score]],Table5[[Gender]:[Total Score]],0)</f>
        <v>76</v>
      </c>
      <c r="H94" s="88" t="str">
        <f t="shared" si="2"/>
        <v>Fair</v>
      </c>
    </row>
    <row r="95" spans="2:8" ht="20.5" x14ac:dyDescent="0.8">
      <c r="B95" s="87" t="s">
        <v>8</v>
      </c>
      <c r="C95" s="27" t="s">
        <v>9</v>
      </c>
      <c r="D95" s="27" t="s">
        <v>20</v>
      </c>
      <c r="E95" s="27" t="s">
        <v>15</v>
      </c>
      <c r="F95" s="90">
        <v>224</v>
      </c>
      <c r="G95" s="89">
        <f>RANK(Table5[[#This Row],[Total Score]],Table5[[Gender]:[Total Score]],0)</f>
        <v>38</v>
      </c>
      <c r="H95" s="88" t="str">
        <f t="shared" si="2"/>
        <v>Good</v>
      </c>
    </row>
    <row r="96" spans="2:8" ht="20.5" x14ac:dyDescent="0.8">
      <c r="B96" s="87" t="s">
        <v>17</v>
      </c>
      <c r="C96" s="27" t="s">
        <v>13</v>
      </c>
      <c r="D96" s="27" t="s">
        <v>11</v>
      </c>
      <c r="E96" s="27" t="s">
        <v>15</v>
      </c>
      <c r="F96" s="90">
        <v>154</v>
      </c>
      <c r="G96" s="89">
        <f>RANK(Table5[[#This Row],[Total Score]],Table5[[Gender]:[Total Score]],0)</f>
        <v>160</v>
      </c>
      <c r="H96" s="88" t="str">
        <f t="shared" si="2"/>
        <v>Fail</v>
      </c>
    </row>
    <row r="97" spans="2:8" ht="20.5" x14ac:dyDescent="0.8">
      <c r="B97" s="87" t="s">
        <v>8</v>
      </c>
      <c r="C97" s="27" t="s">
        <v>13</v>
      </c>
      <c r="D97" s="27" t="s">
        <v>20</v>
      </c>
      <c r="E97" s="27" t="s">
        <v>12</v>
      </c>
      <c r="F97" s="90">
        <v>132</v>
      </c>
      <c r="G97" s="89">
        <f>RANK(Table5[[#This Row],[Total Score]],Table5[[Gender]:[Total Score]],0)</f>
        <v>183</v>
      </c>
      <c r="H97" s="88" t="str">
        <f t="shared" si="2"/>
        <v>Fail</v>
      </c>
    </row>
    <row r="98" spans="2:8" ht="20.5" x14ac:dyDescent="0.8">
      <c r="B98" s="87" t="s">
        <v>17</v>
      </c>
      <c r="C98" s="27" t="s">
        <v>9</v>
      </c>
      <c r="D98" s="27" t="s">
        <v>11</v>
      </c>
      <c r="E98" s="27" t="s">
        <v>15</v>
      </c>
      <c r="F98" s="90">
        <v>210</v>
      </c>
      <c r="G98" s="89">
        <f>RANK(Table5[[#This Row],[Total Score]],Table5[[Gender]:[Total Score]],0)</f>
        <v>62</v>
      </c>
      <c r="H98" s="88" t="str">
        <f t="shared" si="2"/>
        <v>Good</v>
      </c>
    </row>
    <row r="99" spans="2:8" ht="20.5" x14ac:dyDescent="0.8">
      <c r="B99" s="87" t="s">
        <v>8</v>
      </c>
      <c r="C99" s="27" t="s">
        <v>21</v>
      </c>
      <c r="D99" s="27" t="s">
        <v>11</v>
      </c>
      <c r="E99" s="27" t="s">
        <v>12</v>
      </c>
      <c r="F99" s="90">
        <v>179</v>
      </c>
      <c r="G99" s="89">
        <f>RANK(Table5[[#This Row],[Total Score]],Table5[[Gender]:[Total Score]],0)</f>
        <v>121</v>
      </c>
      <c r="H99" s="88" t="str">
        <f t="shared" si="2"/>
        <v>Fail</v>
      </c>
    </row>
    <row r="100" spans="2:8" ht="20.5" x14ac:dyDescent="0.8">
      <c r="B100" s="87" t="s">
        <v>17</v>
      </c>
      <c r="C100" s="27" t="s">
        <v>13</v>
      </c>
      <c r="D100" s="27" t="s">
        <v>11</v>
      </c>
      <c r="E100" s="27" t="s">
        <v>15</v>
      </c>
      <c r="F100" s="90">
        <v>212</v>
      </c>
      <c r="G100" s="89">
        <f>RANK(Table5[[#This Row],[Total Score]],Table5[[Gender]:[Total Score]],0)</f>
        <v>59</v>
      </c>
      <c r="H100" s="88" t="str">
        <f t="shared" si="2"/>
        <v>Good</v>
      </c>
    </row>
    <row r="101" spans="2:8" ht="20.5" x14ac:dyDescent="0.8">
      <c r="B101" s="87" t="s">
        <v>17</v>
      </c>
      <c r="C101" s="27" t="s">
        <v>13</v>
      </c>
      <c r="D101" s="27" t="s">
        <v>11</v>
      </c>
      <c r="E101" s="27" t="s">
        <v>15</v>
      </c>
      <c r="F101" s="90">
        <v>203</v>
      </c>
      <c r="G101" s="89">
        <f>RANK(Table5[[#This Row],[Total Score]],Table5[[Gender]:[Total Score]],0)</f>
        <v>80</v>
      </c>
      <c r="H101" s="88" t="str">
        <f t="shared" si="2"/>
        <v>Fair</v>
      </c>
    </row>
    <row r="102" spans="2:8" ht="20.5" x14ac:dyDescent="0.8">
      <c r="B102" s="87" t="s">
        <v>8</v>
      </c>
      <c r="C102" s="27" t="s">
        <v>13</v>
      </c>
      <c r="D102" s="27" t="s">
        <v>20</v>
      </c>
      <c r="E102" s="27" t="s">
        <v>12</v>
      </c>
      <c r="F102" s="90">
        <v>193</v>
      </c>
      <c r="G102" s="89">
        <f>RANK(Table5[[#This Row],[Total Score]],Table5[[Gender]:[Total Score]],0)</f>
        <v>102</v>
      </c>
      <c r="H102" s="88" t="str">
        <f t="shared" ref="H102:H133" si="3">_xlfn.XLOOKUP(F102,I:I,K:K,,-1)</f>
        <v>Fair</v>
      </c>
    </row>
    <row r="103" spans="2:8" ht="20.5" x14ac:dyDescent="0.8">
      <c r="B103" s="87" t="s">
        <v>17</v>
      </c>
      <c r="C103" s="27" t="s">
        <v>9</v>
      </c>
      <c r="D103" s="27" t="s">
        <v>20</v>
      </c>
      <c r="E103" s="27" t="s">
        <v>12</v>
      </c>
      <c r="F103" s="90">
        <v>158</v>
      </c>
      <c r="G103" s="89">
        <f>RANK(Table5[[#This Row],[Total Score]],Table5[[Gender]:[Total Score]],0)</f>
        <v>150</v>
      </c>
      <c r="H103" s="88" t="str">
        <f t="shared" si="3"/>
        <v>Fail</v>
      </c>
    </row>
    <row r="104" spans="2:8" ht="20.5" x14ac:dyDescent="0.8">
      <c r="B104" s="87" t="s">
        <v>8</v>
      </c>
      <c r="C104" s="27" t="s">
        <v>13</v>
      </c>
      <c r="D104" s="27" t="s">
        <v>20</v>
      </c>
      <c r="E104" s="27" t="s">
        <v>15</v>
      </c>
      <c r="F104" s="90">
        <v>180</v>
      </c>
      <c r="G104" s="89">
        <f>RANK(Table5[[#This Row],[Total Score]],Table5[[Gender]:[Total Score]],0)</f>
        <v>118</v>
      </c>
      <c r="H104" s="88" t="str">
        <f t="shared" si="3"/>
        <v>Fair</v>
      </c>
    </row>
    <row r="105" spans="2:8" ht="20.5" x14ac:dyDescent="0.8">
      <c r="B105" s="87" t="s">
        <v>8</v>
      </c>
      <c r="C105" s="27" t="s">
        <v>24</v>
      </c>
      <c r="D105" s="27" t="s">
        <v>11</v>
      </c>
      <c r="E105" s="27" t="s">
        <v>12</v>
      </c>
      <c r="F105" s="90">
        <v>226</v>
      </c>
      <c r="G105" s="89">
        <f>RANK(Table5[[#This Row],[Total Score]],Table5[[Gender]:[Total Score]],0)</f>
        <v>35</v>
      </c>
      <c r="H105" s="88" t="str">
        <f t="shared" si="3"/>
        <v>Good</v>
      </c>
    </row>
    <row r="106" spans="2:8" ht="20.5" x14ac:dyDescent="0.8">
      <c r="B106" s="87" t="s">
        <v>8</v>
      </c>
      <c r="C106" s="27" t="s">
        <v>9</v>
      </c>
      <c r="D106" s="27" t="s">
        <v>11</v>
      </c>
      <c r="E106" s="27" t="s">
        <v>12</v>
      </c>
      <c r="F106" s="90">
        <v>261</v>
      </c>
      <c r="G106" s="89">
        <f>RANK(Table5[[#This Row],[Total Score]],Table5[[Gender]:[Total Score]],0)</f>
        <v>5</v>
      </c>
      <c r="H106" s="88" t="str">
        <f t="shared" si="3"/>
        <v>Very Good</v>
      </c>
    </row>
    <row r="107" spans="2:8" ht="20.5" x14ac:dyDescent="0.8">
      <c r="B107" s="87" t="s">
        <v>8</v>
      </c>
      <c r="C107" s="27" t="s">
        <v>18</v>
      </c>
      <c r="D107" s="27" t="s">
        <v>11</v>
      </c>
      <c r="E107" s="27" t="s">
        <v>12</v>
      </c>
      <c r="F107" s="90">
        <v>201</v>
      </c>
      <c r="G107" s="89">
        <f>RANK(Table5[[#This Row],[Total Score]],Table5[[Gender]:[Total Score]],0)</f>
        <v>83</v>
      </c>
      <c r="H107" s="88" t="str">
        <f t="shared" si="3"/>
        <v>Fair</v>
      </c>
    </row>
    <row r="108" spans="2:8" ht="20.5" x14ac:dyDescent="0.8">
      <c r="B108" s="87" t="s">
        <v>8</v>
      </c>
      <c r="C108" s="27" t="s">
        <v>24</v>
      </c>
      <c r="D108" s="27" t="s">
        <v>11</v>
      </c>
      <c r="E108" s="27" t="s">
        <v>12</v>
      </c>
      <c r="F108" s="90">
        <v>223</v>
      </c>
      <c r="G108" s="89">
        <f>RANK(Table5[[#This Row],[Total Score]],Table5[[Gender]:[Total Score]],0)</f>
        <v>41</v>
      </c>
      <c r="H108" s="88" t="str">
        <f t="shared" si="3"/>
        <v>Good</v>
      </c>
    </row>
    <row r="109" spans="2:8" ht="20.5" x14ac:dyDescent="0.8">
      <c r="B109" s="87" t="s">
        <v>17</v>
      </c>
      <c r="C109" s="27" t="s">
        <v>9</v>
      </c>
      <c r="D109" s="27" t="s">
        <v>20</v>
      </c>
      <c r="E109" s="27" t="s">
        <v>12</v>
      </c>
      <c r="F109" s="90">
        <v>69</v>
      </c>
      <c r="G109" s="89">
        <f>RANK(Table5[[#This Row],[Total Score]],Table5[[Gender]:[Total Score]],0)</f>
        <v>195</v>
      </c>
      <c r="H109" s="88" t="str">
        <f t="shared" si="3"/>
        <v>Fail</v>
      </c>
    </row>
    <row r="110" spans="2:8" ht="20.5" x14ac:dyDescent="0.8">
      <c r="B110" s="87" t="s">
        <v>8</v>
      </c>
      <c r="C110" s="27" t="s">
        <v>21</v>
      </c>
      <c r="D110" s="27" t="s">
        <v>11</v>
      </c>
      <c r="E110" s="27" t="s">
        <v>12</v>
      </c>
      <c r="F110" s="90">
        <v>219</v>
      </c>
      <c r="G110" s="89">
        <f>RANK(Table5[[#This Row],[Total Score]],Table5[[Gender]:[Total Score]],0)</f>
        <v>44</v>
      </c>
      <c r="H110" s="88" t="str">
        <f t="shared" si="3"/>
        <v>Good</v>
      </c>
    </row>
    <row r="111" spans="2:8" ht="20.5" x14ac:dyDescent="0.8">
      <c r="B111" s="87" t="s">
        <v>8</v>
      </c>
      <c r="C111" s="27" t="s">
        <v>13</v>
      </c>
      <c r="D111" s="27" t="s">
        <v>11</v>
      </c>
      <c r="E111" s="27" t="s">
        <v>12</v>
      </c>
      <c r="F111" s="90">
        <v>88</v>
      </c>
      <c r="G111" s="89">
        <f>RANK(Table5[[#This Row],[Total Score]],Table5[[Gender]:[Total Score]],0)</f>
        <v>194</v>
      </c>
      <c r="H111" s="88" t="str">
        <f t="shared" si="3"/>
        <v>Fail</v>
      </c>
    </row>
    <row r="112" spans="2:8" ht="20.5" x14ac:dyDescent="0.8">
      <c r="B112" s="87" t="s">
        <v>17</v>
      </c>
      <c r="C112" s="27" t="s">
        <v>21</v>
      </c>
      <c r="D112" s="27" t="s">
        <v>20</v>
      </c>
      <c r="E112" s="27" t="s">
        <v>12</v>
      </c>
      <c r="F112" s="90">
        <v>168</v>
      </c>
      <c r="G112" s="89">
        <f>RANK(Table5[[#This Row],[Total Score]],Table5[[Gender]:[Total Score]],0)</f>
        <v>134</v>
      </c>
      <c r="H112" s="88" t="str">
        <f t="shared" si="3"/>
        <v>Fail</v>
      </c>
    </row>
    <row r="113" spans="2:8" ht="20.5" x14ac:dyDescent="0.8">
      <c r="B113" s="87" t="s">
        <v>8</v>
      </c>
      <c r="C113" s="27" t="s">
        <v>13</v>
      </c>
      <c r="D113" s="27" t="s">
        <v>11</v>
      </c>
      <c r="E113" s="27" t="s">
        <v>12</v>
      </c>
      <c r="F113" s="90">
        <v>200</v>
      </c>
      <c r="G113" s="89">
        <f>RANK(Table5[[#This Row],[Total Score]],Table5[[Gender]:[Total Score]],0)</f>
        <v>85</v>
      </c>
      <c r="H113" s="88" t="str">
        <f t="shared" si="3"/>
        <v>Fair</v>
      </c>
    </row>
    <row r="114" spans="2:8" ht="20.5" x14ac:dyDescent="0.8">
      <c r="B114" s="87" t="s">
        <v>8</v>
      </c>
      <c r="C114" s="27" t="s">
        <v>13</v>
      </c>
      <c r="D114" s="27" t="s">
        <v>20</v>
      </c>
      <c r="E114" s="27" t="s">
        <v>12</v>
      </c>
      <c r="F114" s="90">
        <v>150</v>
      </c>
      <c r="G114" s="89">
        <f>RANK(Table5[[#This Row],[Total Score]],Table5[[Gender]:[Total Score]],0)</f>
        <v>163</v>
      </c>
      <c r="H114" s="88" t="str">
        <f t="shared" si="3"/>
        <v>Fail</v>
      </c>
    </row>
    <row r="115" spans="2:8" ht="20.5" x14ac:dyDescent="0.8">
      <c r="B115" s="87" t="s">
        <v>17</v>
      </c>
      <c r="C115" s="27" t="s">
        <v>13</v>
      </c>
      <c r="D115" s="27" t="s">
        <v>20</v>
      </c>
      <c r="E115" s="27" t="s">
        <v>15</v>
      </c>
      <c r="F115" s="90">
        <v>161</v>
      </c>
      <c r="G115" s="89">
        <f>RANK(Table5[[#This Row],[Total Score]],Table5[[Gender]:[Total Score]],0)</f>
        <v>148</v>
      </c>
      <c r="H115" s="88" t="str">
        <f t="shared" si="3"/>
        <v>Fail</v>
      </c>
    </row>
    <row r="116" spans="2:8" ht="20.5" x14ac:dyDescent="0.8">
      <c r="B116" s="87" t="s">
        <v>17</v>
      </c>
      <c r="C116" s="27" t="s">
        <v>9</v>
      </c>
      <c r="D116" s="27" t="s">
        <v>11</v>
      </c>
      <c r="E116" s="27" t="s">
        <v>12</v>
      </c>
      <c r="F116" s="90">
        <v>204</v>
      </c>
      <c r="G116" s="89">
        <f>RANK(Table5[[#This Row],[Total Score]],Table5[[Gender]:[Total Score]],0)</f>
        <v>76</v>
      </c>
      <c r="H116" s="88" t="str">
        <f t="shared" si="3"/>
        <v>Fair</v>
      </c>
    </row>
    <row r="117" spans="2:8" ht="20.5" x14ac:dyDescent="0.8">
      <c r="B117" s="87" t="s">
        <v>8</v>
      </c>
      <c r="C117" s="27" t="s">
        <v>13</v>
      </c>
      <c r="D117" s="27" t="s">
        <v>11</v>
      </c>
      <c r="E117" s="27" t="s">
        <v>12</v>
      </c>
      <c r="F117" s="90">
        <v>248</v>
      </c>
      <c r="G117" s="89">
        <f>RANK(Table5[[#This Row],[Total Score]],Table5[[Gender]:[Total Score]],0)</f>
        <v>10</v>
      </c>
      <c r="H117" s="88" t="str">
        <f t="shared" si="3"/>
        <v>Very Good</v>
      </c>
    </row>
    <row r="118" spans="2:8" ht="20.5" x14ac:dyDescent="0.8">
      <c r="B118" s="87" t="s">
        <v>17</v>
      </c>
      <c r="C118" s="27" t="s">
        <v>18</v>
      </c>
      <c r="D118" s="27" t="s">
        <v>11</v>
      </c>
      <c r="E118" s="27" t="s">
        <v>12</v>
      </c>
      <c r="F118" s="90">
        <v>209</v>
      </c>
      <c r="G118" s="89">
        <f>RANK(Table5[[#This Row],[Total Score]],Table5[[Gender]:[Total Score]],0)</f>
        <v>66</v>
      </c>
      <c r="H118" s="88" t="str">
        <f t="shared" si="3"/>
        <v>Fair</v>
      </c>
    </row>
    <row r="119" spans="2:8" ht="20.5" x14ac:dyDescent="0.8">
      <c r="B119" s="87" t="s">
        <v>8</v>
      </c>
      <c r="C119" s="27" t="s">
        <v>9</v>
      </c>
      <c r="D119" s="27" t="s">
        <v>20</v>
      </c>
      <c r="E119" s="27" t="s">
        <v>15</v>
      </c>
      <c r="F119" s="90">
        <v>228</v>
      </c>
      <c r="G119" s="89">
        <f>RANK(Table5[[#This Row],[Total Score]],Table5[[Gender]:[Total Score]],0)</f>
        <v>32</v>
      </c>
      <c r="H119" s="88" t="str">
        <f t="shared" si="3"/>
        <v>Good</v>
      </c>
    </row>
    <row r="120" spans="2:8" ht="20.5" x14ac:dyDescent="0.8">
      <c r="B120" s="87" t="s">
        <v>17</v>
      </c>
      <c r="C120" s="27" t="s">
        <v>21</v>
      </c>
      <c r="D120" s="27" t="s">
        <v>11</v>
      </c>
      <c r="E120" s="27" t="s">
        <v>12</v>
      </c>
      <c r="F120" s="90">
        <v>144</v>
      </c>
      <c r="G120" s="89">
        <f>RANK(Table5[[#This Row],[Total Score]],Table5[[Gender]:[Total Score]],0)</f>
        <v>171</v>
      </c>
      <c r="H120" s="88" t="str">
        <f t="shared" si="3"/>
        <v>Fail</v>
      </c>
    </row>
    <row r="121" spans="2:8" ht="20.5" x14ac:dyDescent="0.8">
      <c r="B121" s="87" t="s">
        <v>8</v>
      </c>
      <c r="C121" s="27" t="s">
        <v>24</v>
      </c>
      <c r="D121" s="27" t="s">
        <v>11</v>
      </c>
      <c r="E121" s="27" t="s">
        <v>15</v>
      </c>
      <c r="F121" s="90">
        <v>233</v>
      </c>
      <c r="G121" s="89">
        <f>RANK(Table5[[#This Row],[Total Score]],Table5[[Gender]:[Total Score]],0)</f>
        <v>29</v>
      </c>
      <c r="H121" s="88" t="str">
        <f t="shared" si="3"/>
        <v>Good</v>
      </c>
    </row>
    <row r="122" spans="2:8" ht="20.5" x14ac:dyDescent="0.8">
      <c r="B122" s="87" t="s">
        <v>17</v>
      </c>
      <c r="C122" s="27" t="s">
        <v>9</v>
      </c>
      <c r="D122" s="27" t="s">
        <v>11</v>
      </c>
      <c r="E122" s="27" t="s">
        <v>12</v>
      </c>
      <c r="F122" s="90">
        <v>195</v>
      </c>
      <c r="G122" s="89">
        <f>RANK(Table5[[#This Row],[Total Score]],Table5[[Gender]:[Total Score]],0)</f>
        <v>97</v>
      </c>
      <c r="H122" s="88" t="str">
        <f t="shared" si="3"/>
        <v>Fair</v>
      </c>
    </row>
    <row r="123" spans="2:8" ht="20.5" x14ac:dyDescent="0.8">
      <c r="B123" s="87" t="s">
        <v>8</v>
      </c>
      <c r="C123" s="27" t="s">
        <v>24</v>
      </c>
      <c r="D123" s="27" t="s">
        <v>20</v>
      </c>
      <c r="E123" s="27" t="s">
        <v>12</v>
      </c>
      <c r="F123" s="90">
        <v>194</v>
      </c>
      <c r="G123" s="89">
        <f>RANK(Table5[[#This Row],[Total Score]],Table5[[Gender]:[Total Score]],0)</f>
        <v>100</v>
      </c>
      <c r="H123" s="88" t="str">
        <f t="shared" si="3"/>
        <v>Fair</v>
      </c>
    </row>
    <row r="124" spans="2:8" ht="20.5" x14ac:dyDescent="0.8">
      <c r="B124" s="87" t="s">
        <v>8</v>
      </c>
      <c r="C124" s="27" t="s">
        <v>9</v>
      </c>
      <c r="D124" s="27" t="s">
        <v>11</v>
      </c>
      <c r="E124" s="27" t="s">
        <v>12</v>
      </c>
      <c r="F124" s="90">
        <v>158</v>
      </c>
      <c r="G124" s="89">
        <f>RANK(Table5[[#This Row],[Total Score]],Table5[[Gender]:[Total Score]],0)</f>
        <v>150</v>
      </c>
      <c r="H124" s="88" t="str">
        <f t="shared" si="3"/>
        <v>Fail</v>
      </c>
    </row>
    <row r="125" spans="2:8" ht="20.5" x14ac:dyDescent="0.8">
      <c r="B125" s="87" t="s">
        <v>8</v>
      </c>
      <c r="C125" s="27" t="s">
        <v>18</v>
      </c>
      <c r="D125" s="27" t="s">
        <v>11</v>
      </c>
      <c r="E125" s="27" t="s">
        <v>15</v>
      </c>
      <c r="F125" s="90">
        <v>224</v>
      </c>
      <c r="G125" s="89">
        <f>RANK(Table5[[#This Row],[Total Score]],Table5[[Gender]:[Total Score]],0)</f>
        <v>38</v>
      </c>
      <c r="H125" s="88" t="str">
        <f t="shared" si="3"/>
        <v>Good</v>
      </c>
    </row>
    <row r="126" spans="2:8" ht="20.5" x14ac:dyDescent="0.8">
      <c r="B126" s="87" t="s">
        <v>8</v>
      </c>
      <c r="C126" s="27" t="s">
        <v>13</v>
      </c>
      <c r="D126" s="27" t="s">
        <v>11</v>
      </c>
      <c r="E126" s="27" t="s">
        <v>12</v>
      </c>
      <c r="F126" s="90">
        <v>201</v>
      </c>
      <c r="G126" s="89">
        <f>RANK(Table5[[#This Row],[Total Score]],Table5[[Gender]:[Total Score]],0)</f>
        <v>83</v>
      </c>
      <c r="H126" s="88" t="str">
        <f t="shared" si="3"/>
        <v>Fair</v>
      </c>
    </row>
    <row r="127" spans="2:8" ht="20.5" x14ac:dyDescent="0.8">
      <c r="B127" s="87" t="s">
        <v>8</v>
      </c>
      <c r="C127" s="27" t="s">
        <v>13</v>
      </c>
      <c r="D127" s="27" t="s">
        <v>20</v>
      </c>
      <c r="E127" s="27" t="s">
        <v>12</v>
      </c>
      <c r="F127" s="90">
        <v>210</v>
      </c>
      <c r="G127" s="89">
        <f>RANK(Table5[[#This Row],[Total Score]],Table5[[Gender]:[Total Score]],0)</f>
        <v>62</v>
      </c>
      <c r="H127" s="88" t="str">
        <f t="shared" si="3"/>
        <v>Good</v>
      </c>
    </row>
    <row r="128" spans="2:8" ht="20.5" x14ac:dyDescent="0.8">
      <c r="B128" s="87" t="s">
        <v>8</v>
      </c>
      <c r="C128" s="27" t="s">
        <v>21</v>
      </c>
      <c r="D128" s="27" t="s">
        <v>11</v>
      </c>
      <c r="E128" s="27" t="s">
        <v>15</v>
      </c>
      <c r="F128" s="90">
        <v>224</v>
      </c>
      <c r="G128" s="89">
        <f>RANK(Table5[[#This Row],[Total Score]],Table5[[Gender]:[Total Score]],0)</f>
        <v>38</v>
      </c>
      <c r="H128" s="88" t="str">
        <f t="shared" si="3"/>
        <v>Good</v>
      </c>
    </row>
    <row r="129" spans="2:8" ht="20.5" x14ac:dyDescent="0.8">
      <c r="B129" s="87" t="s">
        <v>8</v>
      </c>
      <c r="C129" s="27" t="s">
        <v>21</v>
      </c>
      <c r="D129" s="27" t="s">
        <v>11</v>
      </c>
      <c r="E129" s="27" t="s">
        <v>12</v>
      </c>
      <c r="F129" s="90">
        <v>213</v>
      </c>
      <c r="G129" s="89">
        <f>RANK(Table5[[#This Row],[Total Score]],Table5[[Gender]:[Total Score]],0)</f>
        <v>55</v>
      </c>
      <c r="H129" s="88" t="str">
        <f t="shared" si="3"/>
        <v>Good</v>
      </c>
    </row>
    <row r="130" spans="2:8" ht="20.5" x14ac:dyDescent="0.8">
      <c r="B130" s="87" t="s">
        <v>17</v>
      </c>
      <c r="C130" s="27" t="s">
        <v>9</v>
      </c>
      <c r="D130" s="27" t="s">
        <v>11</v>
      </c>
      <c r="E130" s="27" t="s">
        <v>12</v>
      </c>
      <c r="F130" s="90">
        <v>188</v>
      </c>
      <c r="G130" s="89">
        <f>RANK(Table5[[#This Row],[Total Score]],Table5[[Gender]:[Total Score]],0)</f>
        <v>109</v>
      </c>
      <c r="H130" s="88" t="str">
        <f t="shared" si="3"/>
        <v>Fair</v>
      </c>
    </row>
    <row r="131" spans="2:8" ht="20.5" x14ac:dyDescent="0.8">
      <c r="B131" s="87" t="s">
        <v>17</v>
      </c>
      <c r="C131" s="27" t="s">
        <v>9</v>
      </c>
      <c r="D131" s="27" t="s">
        <v>11</v>
      </c>
      <c r="E131" s="27" t="s">
        <v>12</v>
      </c>
      <c r="F131" s="90">
        <v>171</v>
      </c>
      <c r="G131" s="89">
        <f>RANK(Table5[[#This Row],[Total Score]],Table5[[Gender]:[Total Score]],0)</f>
        <v>131</v>
      </c>
      <c r="H131" s="88" t="str">
        <f t="shared" si="3"/>
        <v>Fail</v>
      </c>
    </row>
    <row r="132" spans="2:8" ht="20.5" x14ac:dyDescent="0.8">
      <c r="B132" s="87" t="s">
        <v>17</v>
      </c>
      <c r="C132" s="27" t="s">
        <v>18</v>
      </c>
      <c r="D132" s="27" t="s">
        <v>20</v>
      </c>
      <c r="E132" s="27" t="s">
        <v>12</v>
      </c>
      <c r="F132" s="90">
        <v>155</v>
      </c>
      <c r="G132" s="89">
        <f>RANK(Table5[[#This Row],[Total Score]],Table5[[Gender]:[Total Score]],0)</f>
        <v>158</v>
      </c>
      <c r="H132" s="88" t="str">
        <f t="shared" si="3"/>
        <v>Fail</v>
      </c>
    </row>
    <row r="133" spans="2:8" ht="20.5" x14ac:dyDescent="0.8">
      <c r="B133" s="87" t="s">
        <v>17</v>
      </c>
      <c r="C133" s="27" t="s">
        <v>13</v>
      </c>
      <c r="D133" s="27" t="s">
        <v>20</v>
      </c>
      <c r="E133" s="27" t="s">
        <v>12</v>
      </c>
      <c r="F133" s="90">
        <v>191</v>
      </c>
      <c r="G133" s="89">
        <f>RANK(Table5[[#This Row],[Total Score]],Table5[[Gender]:[Total Score]],0)</f>
        <v>105</v>
      </c>
      <c r="H133" s="88" t="str">
        <f t="shared" si="3"/>
        <v>Fair</v>
      </c>
    </row>
    <row r="134" spans="2:8" ht="20.5" x14ac:dyDescent="0.8">
      <c r="B134" s="87" t="s">
        <v>17</v>
      </c>
      <c r="C134" s="27" t="s">
        <v>21</v>
      </c>
      <c r="D134" s="27" t="s">
        <v>11</v>
      </c>
      <c r="E134" s="27" t="s">
        <v>12</v>
      </c>
      <c r="F134" s="90">
        <v>116</v>
      </c>
      <c r="G134" s="89">
        <f>RANK(Table5[[#This Row],[Total Score]],Table5[[Gender]:[Total Score]],0)</f>
        <v>188</v>
      </c>
      <c r="H134" s="88" t="str">
        <f t="shared" ref="H134:H165" si="4">_xlfn.XLOOKUP(F134,I:I,K:K,,-1)</f>
        <v>Fail</v>
      </c>
    </row>
    <row r="135" spans="2:8" ht="20.5" x14ac:dyDescent="0.8">
      <c r="B135" s="87" t="s">
        <v>17</v>
      </c>
      <c r="C135" s="27" t="s">
        <v>21</v>
      </c>
      <c r="D135" s="27" t="s">
        <v>11</v>
      </c>
      <c r="E135" s="27" t="s">
        <v>12</v>
      </c>
      <c r="F135" s="90">
        <v>255</v>
      </c>
      <c r="G135" s="89">
        <f>RANK(Table5[[#This Row],[Total Score]],Table5[[Gender]:[Total Score]],0)</f>
        <v>7</v>
      </c>
      <c r="H135" s="88" t="str">
        <f t="shared" si="4"/>
        <v>Very Good</v>
      </c>
    </row>
    <row r="136" spans="2:8" ht="20.5" x14ac:dyDescent="0.8">
      <c r="B136" s="87" t="s">
        <v>8</v>
      </c>
      <c r="C136" s="27" t="s">
        <v>13</v>
      </c>
      <c r="D136" s="27" t="s">
        <v>11</v>
      </c>
      <c r="E136" s="27" t="s">
        <v>12</v>
      </c>
      <c r="F136" s="90">
        <v>226</v>
      </c>
      <c r="G136" s="89">
        <f>RANK(Table5[[#This Row],[Total Score]],Table5[[Gender]:[Total Score]],0)</f>
        <v>35</v>
      </c>
      <c r="H136" s="88" t="str">
        <f t="shared" si="4"/>
        <v>Good</v>
      </c>
    </row>
    <row r="137" spans="2:8" ht="20.5" x14ac:dyDescent="0.8">
      <c r="B137" s="87" t="s">
        <v>17</v>
      </c>
      <c r="C137" s="27" t="s">
        <v>13</v>
      </c>
      <c r="D137" s="27" t="s">
        <v>11</v>
      </c>
      <c r="E137" s="27" t="s">
        <v>12</v>
      </c>
      <c r="F137" s="90">
        <v>140</v>
      </c>
      <c r="G137" s="89">
        <f>RANK(Table5[[#This Row],[Total Score]],Table5[[Gender]:[Total Score]],0)</f>
        <v>175</v>
      </c>
      <c r="H137" s="88" t="str">
        <f t="shared" si="4"/>
        <v>Fail</v>
      </c>
    </row>
    <row r="138" spans="2:8" ht="20.5" x14ac:dyDescent="0.8">
      <c r="B138" s="87" t="s">
        <v>8</v>
      </c>
      <c r="C138" s="27" t="s">
        <v>21</v>
      </c>
      <c r="D138" s="27" t="s">
        <v>20</v>
      </c>
      <c r="E138" s="27" t="s">
        <v>12</v>
      </c>
      <c r="F138" s="90">
        <v>249</v>
      </c>
      <c r="G138" s="89">
        <f>RANK(Table5[[#This Row],[Total Score]],Table5[[Gender]:[Total Score]],0)</f>
        <v>9</v>
      </c>
      <c r="H138" s="88" t="str">
        <f t="shared" si="4"/>
        <v>Very Good</v>
      </c>
    </row>
    <row r="139" spans="2:8" ht="20.5" x14ac:dyDescent="0.8">
      <c r="B139" s="87" t="s">
        <v>17</v>
      </c>
      <c r="C139" s="27" t="s">
        <v>13</v>
      </c>
      <c r="D139" s="27" t="s">
        <v>20</v>
      </c>
      <c r="E139" s="27" t="s">
        <v>12</v>
      </c>
      <c r="F139" s="90">
        <v>176</v>
      </c>
      <c r="G139" s="89">
        <f>RANK(Table5[[#This Row],[Total Score]],Table5[[Gender]:[Total Score]],0)</f>
        <v>125</v>
      </c>
      <c r="H139" s="88" t="str">
        <f t="shared" si="4"/>
        <v>Fail</v>
      </c>
    </row>
    <row r="140" spans="2:8" ht="20.5" x14ac:dyDescent="0.8">
      <c r="B140" s="87" t="s">
        <v>8</v>
      </c>
      <c r="C140" s="27" t="s">
        <v>13</v>
      </c>
      <c r="D140" s="27" t="s">
        <v>11</v>
      </c>
      <c r="E140" s="27" t="s">
        <v>12</v>
      </c>
      <c r="F140" s="90">
        <v>247</v>
      </c>
      <c r="G140" s="89">
        <f>RANK(Table5[[#This Row],[Total Score]],Table5[[Gender]:[Total Score]],0)</f>
        <v>13</v>
      </c>
      <c r="H140" s="88" t="str">
        <f t="shared" si="4"/>
        <v>Very Good</v>
      </c>
    </row>
    <row r="141" spans="2:8" ht="20.5" x14ac:dyDescent="0.8">
      <c r="B141" s="87" t="s">
        <v>17</v>
      </c>
      <c r="C141" s="27" t="s">
        <v>21</v>
      </c>
      <c r="D141" s="27" t="s">
        <v>11</v>
      </c>
      <c r="E141" s="27" t="s">
        <v>12</v>
      </c>
      <c r="F141" s="90">
        <v>215</v>
      </c>
      <c r="G141" s="89">
        <f>RANK(Table5[[#This Row],[Total Score]],Table5[[Gender]:[Total Score]],0)</f>
        <v>52</v>
      </c>
      <c r="H141" s="88" t="str">
        <f t="shared" si="4"/>
        <v>Good</v>
      </c>
    </row>
    <row r="142" spans="2:8" ht="20.5" x14ac:dyDescent="0.8">
      <c r="B142" s="87" t="s">
        <v>8</v>
      </c>
      <c r="C142" s="27" t="s">
        <v>13</v>
      </c>
      <c r="D142" s="27" t="s">
        <v>20</v>
      </c>
      <c r="E142" s="27" t="s">
        <v>12</v>
      </c>
      <c r="F142" s="90">
        <v>189</v>
      </c>
      <c r="G142" s="89">
        <f>RANK(Table5[[#This Row],[Total Score]],Table5[[Gender]:[Total Score]],0)</f>
        <v>108</v>
      </c>
      <c r="H142" s="88" t="str">
        <f t="shared" si="4"/>
        <v>Fair</v>
      </c>
    </row>
    <row r="143" spans="2:8" ht="20.5" x14ac:dyDescent="0.8">
      <c r="B143" s="87" t="s">
        <v>8</v>
      </c>
      <c r="C143" s="27" t="s">
        <v>9</v>
      </c>
      <c r="D143" s="27" t="s">
        <v>11</v>
      </c>
      <c r="E143" s="27" t="s">
        <v>12</v>
      </c>
      <c r="F143" s="90">
        <v>187</v>
      </c>
      <c r="G143" s="89">
        <f>RANK(Table5[[#This Row],[Total Score]],Table5[[Gender]:[Total Score]],0)</f>
        <v>111</v>
      </c>
      <c r="H143" s="88" t="str">
        <f t="shared" si="4"/>
        <v>Fair</v>
      </c>
    </row>
    <row r="144" spans="2:8" ht="20.5" x14ac:dyDescent="0.8">
      <c r="B144" s="87" t="s">
        <v>8</v>
      </c>
      <c r="C144" s="27" t="s">
        <v>9</v>
      </c>
      <c r="D144" s="27" t="s">
        <v>11</v>
      </c>
      <c r="E144" s="27" t="s">
        <v>12</v>
      </c>
      <c r="F144" s="90">
        <v>218</v>
      </c>
      <c r="G144" s="89">
        <f>RANK(Table5[[#This Row],[Total Score]],Table5[[Gender]:[Total Score]],0)</f>
        <v>48</v>
      </c>
      <c r="H144" s="88" t="str">
        <f t="shared" si="4"/>
        <v>Good</v>
      </c>
    </row>
    <row r="145" spans="2:8" ht="20.5" x14ac:dyDescent="0.8">
      <c r="B145" s="87" t="s">
        <v>8</v>
      </c>
      <c r="C145" s="27" t="s">
        <v>13</v>
      </c>
      <c r="D145" s="27" t="s">
        <v>11</v>
      </c>
      <c r="E145" s="27" t="s">
        <v>15</v>
      </c>
      <c r="F145" s="90">
        <v>210</v>
      </c>
      <c r="G145" s="89">
        <f>RANK(Table5[[#This Row],[Total Score]],Table5[[Gender]:[Total Score]],0)</f>
        <v>62</v>
      </c>
      <c r="H145" s="88" t="str">
        <f t="shared" si="4"/>
        <v>Good</v>
      </c>
    </row>
    <row r="146" spans="2:8" ht="20.5" x14ac:dyDescent="0.8">
      <c r="B146" s="87" t="s">
        <v>17</v>
      </c>
      <c r="C146" s="27" t="s">
        <v>9</v>
      </c>
      <c r="D146" s="27" t="s">
        <v>11</v>
      </c>
      <c r="E146" s="27" t="s">
        <v>15</v>
      </c>
      <c r="F146" s="90">
        <v>198</v>
      </c>
      <c r="G146" s="89">
        <f>RANK(Table5[[#This Row],[Total Score]],Table5[[Gender]:[Total Score]],0)</f>
        <v>88</v>
      </c>
      <c r="H146" s="88" t="str">
        <f t="shared" si="4"/>
        <v>Fair</v>
      </c>
    </row>
    <row r="147" spans="2:8" ht="20.5" x14ac:dyDescent="0.8">
      <c r="B147" s="87" t="s">
        <v>17</v>
      </c>
      <c r="C147" s="27" t="s">
        <v>9</v>
      </c>
      <c r="D147" s="27" t="s">
        <v>11</v>
      </c>
      <c r="E147" s="27" t="s">
        <v>12</v>
      </c>
      <c r="F147" s="90">
        <v>149</v>
      </c>
      <c r="G147" s="89">
        <f>RANK(Table5[[#This Row],[Total Score]],Table5[[Gender]:[Total Score]],0)</f>
        <v>164</v>
      </c>
      <c r="H147" s="88" t="str">
        <f t="shared" si="4"/>
        <v>Fail</v>
      </c>
    </row>
    <row r="148" spans="2:8" ht="20.5" x14ac:dyDescent="0.8">
      <c r="B148" s="87" t="s">
        <v>8</v>
      </c>
      <c r="C148" s="27" t="s">
        <v>9</v>
      </c>
      <c r="D148" s="27" t="s">
        <v>11</v>
      </c>
      <c r="E148" s="27" t="s">
        <v>12</v>
      </c>
      <c r="F148" s="90">
        <v>208</v>
      </c>
      <c r="G148" s="89">
        <f>RANK(Table5[[#This Row],[Total Score]],Table5[[Gender]:[Total Score]],0)</f>
        <v>68</v>
      </c>
      <c r="H148" s="88" t="str">
        <f t="shared" si="4"/>
        <v>Fair</v>
      </c>
    </row>
    <row r="149" spans="2:8" ht="20.5" x14ac:dyDescent="0.8">
      <c r="B149" s="87" t="s">
        <v>8</v>
      </c>
      <c r="C149" s="27" t="s">
        <v>9</v>
      </c>
      <c r="D149" s="27" t="s">
        <v>20</v>
      </c>
      <c r="E149" s="27" t="s">
        <v>15</v>
      </c>
      <c r="F149" s="90">
        <v>243</v>
      </c>
      <c r="G149" s="89">
        <f>RANK(Table5[[#This Row],[Total Score]],Table5[[Gender]:[Total Score]],0)</f>
        <v>16</v>
      </c>
      <c r="H149" s="88" t="str">
        <f t="shared" si="4"/>
        <v>Very Good</v>
      </c>
    </row>
    <row r="150" spans="2:8" ht="20.5" x14ac:dyDescent="0.8">
      <c r="B150" s="87" t="s">
        <v>8</v>
      </c>
      <c r="C150" s="27" t="s">
        <v>9</v>
      </c>
      <c r="D150" s="27" t="s">
        <v>11</v>
      </c>
      <c r="E150" s="27" t="s">
        <v>12</v>
      </c>
      <c r="F150" s="90">
        <v>170</v>
      </c>
      <c r="G150" s="89">
        <f>RANK(Table5[[#This Row],[Total Score]],Table5[[Gender]:[Total Score]],0)</f>
        <v>133</v>
      </c>
      <c r="H150" s="88" t="str">
        <f t="shared" si="4"/>
        <v>Fail</v>
      </c>
    </row>
    <row r="151" spans="2:8" ht="20.5" x14ac:dyDescent="0.8">
      <c r="B151" s="87" t="s">
        <v>17</v>
      </c>
      <c r="C151" s="27" t="s">
        <v>21</v>
      </c>
      <c r="D151" s="27" t="s">
        <v>20</v>
      </c>
      <c r="E151" s="27" t="s">
        <v>12</v>
      </c>
      <c r="F151" s="90">
        <v>209</v>
      </c>
      <c r="G151" s="89">
        <f>RANK(Table5[[#This Row],[Total Score]],Table5[[Gender]:[Total Score]],0)</f>
        <v>66</v>
      </c>
      <c r="H151" s="88" t="str">
        <f t="shared" si="4"/>
        <v>Fair</v>
      </c>
    </row>
    <row r="152" spans="2:8" ht="20.5" x14ac:dyDescent="0.8">
      <c r="B152" s="87" t="s">
        <v>8</v>
      </c>
      <c r="C152" s="27" t="s">
        <v>9</v>
      </c>
      <c r="D152" s="27" t="s">
        <v>11</v>
      </c>
      <c r="E152" s="27" t="s">
        <v>12</v>
      </c>
      <c r="F152" s="90">
        <v>145</v>
      </c>
      <c r="G152" s="89">
        <f>RANK(Table5[[#This Row],[Total Score]],Table5[[Gender]:[Total Score]],0)</f>
        <v>170</v>
      </c>
      <c r="H152" s="88" t="str">
        <f t="shared" si="4"/>
        <v>Fail</v>
      </c>
    </row>
    <row r="153" spans="2:8" ht="20.5" x14ac:dyDescent="0.8">
      <c r="B153" s="87" t="s">
        <v>17</v>
      </c>
      <c r="C153" s="27" t="s">
        <v>21</v>
      </c>
      <c r="D153" s="27" t="s">
        <v>11</v>
      </c>
      <c r="E153" s="27" t="s">
        <v>12</v>
      </c>
      <c r="F153" s="90">
        <v>210</v>
      </c>
      <c r="G153" s="89">
        <f>RANK(Table5[[#This Row],[Total Score]],Table5[[Gender]:[Total Score]],0)</f>
        <v>62</v>
      </c>
      <c r="H153" s="88" t="str">
        <f t="shared" si="4"/>
        <v>Good</v>
      </c>
    </row>
    <row r="154" spans="2:8" ht="20.5" x14ac:dyDescent="0.8">
      <c r="B154" s="87" t="s">
        <v>8</v>
      </c>
      <c r="C154" s="27" t="s">
        <v>24</v>
      </c>
      <c r="D154" s="27" t="s">
        <v>20</v>
      </c>
      <c r="E154" s="27" t="s">
        <v>12</v>
      </c>
      <c r="F154" s="90">
        <v>126</v>
      </c>
      <c r="G154" s="89">
        <f>RANK(Table5[[#This Row],[Total Score]],Table5[[Gender]:[Total Score]],0)</f>
        <v>185</v>
      </c>
      <c r="H154" s="88" t="str">
        <f t="shared" si="4"/>
        <v>Fail</v>
      </c>
    </row>
    <row r="155" spans="2:8" ht="20.5" x14ac:dyDescent="0.8">
      <c r="B155" s="87" t="s">
        <v>17</v>
      </c>
      <c r="C155" s="27" t="s">
        <v>13</v>
      </c>
      <c r="D155" s="27" t="s">
        <v>11</v>
      </c>
      <c r="E155" s="27" t="s">
        <v>12</v>
      </c>
      <c r="F155" s="90">
        <v>234</v>
      </c>
      <c r="G155" s="89">
        <f>RANK(Table5[[#This Row],[Total Score]],Table5[[Gender]:[Total Score]],0)</f>
        <v>28</v>
      </c>
      <c r="H155" s="88" t="str">
        <f t="shared" si="4"/>
        <v>Good</v>
      </c>
    </row>
    <row r="156" spans="2:8" ht="20.5" x14ac:dyDescent="0.8">
      <c r="B156" s="87" t="s">
        <v>17</v>
      </c>
      <c r="C156" s="27" t="s">
        <v>18</v>
      </c>
      <c r="D156" s="27" t="s">
        <v>20</v>
      </c>
      <c r="E156" s="27" t="s">
        <v>12</v>
      </c>
      <c r="F156" s="90">
        <v>141</v>
      </c>
      <c r="G156" s="89">
        <f>RANK(Table5[[#This Row],[Total Score]],Table5[[Gender]:[Total Score]],0)</f>
        <v>174</v>
      </c>
      <c r="H156" s="88" t="str">
        <f t="shared" si="4"/>
        <v>Fail</v>
      </c>
    </row>
    <row r="157" spans="2:8" ht="20.5" x14ac:dyDescent="0.8">
      <c r="B157" s="87" t="s">
        <v>8</v>
      </c>
      <c r="C157" s="27" t="s">
        <v>13</v>
      </c>
      <c r="D157" s="27" t="s">
        <v>11</v>
      </c>
      <c r="E157" s="27" t="s">
        <v>12</v>
      </c>
      <c r="F157" s="90">
        <v>235</v>
      </c>
      <c r="G157" s="89">
        <f>RANK(Table5[[#This Row],[Total Score]],Table5[[Gender]:[Total Score]],0)</f>
        <v>25</v>
      </c>
      <c r="H157" s="88" t="str">
        <f t="shared" si="4"/>
        <v>Good</v>
      </c>
    </row>
    <row r="158" spans="2:8" ht="20.5" x14ac:dyDescent="0.8">
      <c r="B158" s="87" t="s">
        <v>8</v>
      </c>
      <c r="C158" s="27" t="s">
        <v>9</v>
      </c>
      <c r="D158" s="27" t="s">
        <v>20</v>
      </c>
      <c r="E158" s="27" t="s">
        <v>12</v>
      </c>
      <c r="F158" s="90">
        <v>200</v>
      </c>
      <c r="G158" s="89">
        <f>RANK(Table5[[#This Row],[Total Score]],Table5[[Gender]:[Total Score]],0)</f>
        <v>85</v>
      </c>
      <c r="H158" s="88" t="str">
        <f t="shared" si="4"/>
        <v>Fair</v>
      </c>
    </row>
    <row r="159" spans="2:8" ht="20.5" x14ac:dyDescent="0.8">
      <c r="B159" s="87" t="s">
        <v>8</v>
      </c>
      <c r="C159" s="27" t="s">
        <v>9</v>
      </c>
      <c r="D159" s="27" t="s">
        <v>20</v>
      </c>
      <c r="E159" s="27" t="s">
        <v>12</v>
      </c>
      <c r="F159" s="90">
        <v>240</v>
      </c>
      <c r="G159" s="89">
        <f>RANK(Table5[[#This Row],[Total Score]],Table5[[Gender]:[Total Score]],0)</f>
        <v>19</v>
      </c>
      <c r="H159" s="88" t="str">
        <f t="shared" si="4"/>
        <v>Very Good</v>
      </c>
    </row>
    <row r="160" spans="2:8" ht="20.5" x14ac:dyDescent="0.8">
      <c r="B160" s="87" t="s">
        <v>17</v>
      </c>
      <c r="C160" s="27" t="s">
        <v>13</v>
      </c>
      <c r="D160" s="27" t="s">
        <v>11</v>
      </c>
      <c r="E160" s="27" t="s">
        <v>12</v>
      </c>
      <c r="F160" s="90">
        <v>187</v>
      </c>
      <c r="G160" s="89">
        <f>RANK(Table5[[#This Row],[Total Score]],Table5[[Gender]:[Total Score]],0)</f>
        <v>111</v>
      </c>
      <c r="H160" s="88" t="str">
        <f t="shared" si="4"/>
        <v>Fair</v>
      </c>
    </row>
    <row r="161" spans="2:8" ht="20.5" x14ac:dyDescent="0.8">
      <c r="B161" s="87" t="s">
        <v>8</v>
      </c>
      <c r="C161" s="27" t="s">
        <v>9</v>
      </c>
      <c r="D161" s="27" t="s">
        <v>11</v>
      </c>
      <c r="E161" s="27" t="s">
        <v>15</v>
      </c>
      <c r="F161" s="90">
        <v>248</v>
      </c>
      <c r="G161" s="89">
        <f>RANK(Table5[[#This Row],[Total Score]],Table5[[Gender]:[Total Score]],0)</f>
        <v>10</v>
      </c>
      <c r="H161" s="88" t="str">
        <f t="shared" si="4"/>
        <v>Very Good</v>
      </c>
    </row>
    <row r="162" spans="2:8" ht="20.5" x14ac:dyDescent="0.8">
      <c r="B162" s="87" t="s">
        <v>8</v>
      </c>
      <c r="C162" s="27" t="s">
        <v>13</v>
      </c>
      <c r="D162" s="27" t="s">
        <v>11</v>
      </c>
      <c r="E162" s="27" t="s">
        <v>15</v>
      </c>
      <c r="F162" s="90">
        <v>198</v>
      </c>
      <c r="G162" s="89">
        <f>RANK(Table5[[#This Row],[Total Score]],Table5[[Gender]:[Total Score]],0)</f>
        <v>88</v>
      </c>
      <c r="H162" s="88" t="str">
        <f t="shared" si="4"/>
        <v>Fair</v>
      </c>
    </row>
    <row r="163" spans="2:8" ht="20.5" x14ac:dyDescent="0.8">
      <c r="B163" s="87" t="s">
        <v>17</v>
      </c>
      <c r="C163" s="27" t="s">
        <v>24</v>
      </c>
      <c r="D163" s="27" t="s">
        <v>11</v>
      </c>
      <c r="E163" s="27" t="s">
        <v>12</v>
      </c>
      <c r="F163" s="90">
        <v>194</v>
      </c>
      <c r="G163" s="89">
        <f>RANK(Table5[[#This Row],[Total Score]],Table5[[Gender]:[Total Score]],0)</f>
        <v>100</v>
      </c>
      <c r="H163" s="88" t="str">
        <f t="shared" si="4"/>
        <v>Fair</v>
      </c>
    </row>
    <row r="164" spans="2:8" ht="20.5" x14ac:dyDescent="0.8">
      <c r="B164" s="87" t="s">
        <v>8</v>
      </c>
      <c r="C164" s="27" t="s">
        <v>18</v>
      </c>
      <c r="D164" s="27" t="s">
        <v>11</v>
      </c>
      <c r="E164" s="27" t="s">
        <v>15</v>
      </c>
      <c r="F164" s="90">
        <v>236</v>
      </c>
      <c r="G164" s="89">
        <f>RANK(Table5[[#This Row],[Total Score]],Table5[[Gender]:[Total Score]],0)</f>
        <v>24</v>
      </c>
      <c r="H164" s="88" t="str">
        <f t="shared" si="4"/>
        <v>Good</v>
      </c>
    </row>
    <row r="165" spans="2:8" ht="20.5" x14ac:dyDescent="0.8">
      <c r="B165" s="87" t="s">
        <v>8</v>
      </c>
      <c r="C165" s="27" t="s">
        <v>21</v>
      </c>
      <c r="D165" s="27" t="s">
        <v>20</v>
      </c>
      <c r="E165" s="27" t="s">
        <v>12</v>
      </c>
      <c r="F165" s="90">
        <v>137</v>
      </c>
      <c r="G165" s="89">
        <f>RANK(Table5[[#This Row],[Total Score]],Table5[[Gender]:[Total Score]],0)</f>
        <v>178</v>
      </c>
      <c r="H165" s="88" t="str">
        <f t="shared" si="4"/>
        <v>Fail</v>
      </c>
    </row>
    <row r="166" spans="2:8" ht="20.5" x14ac:dyDescent="0.8">
      <c r="B166" s="87" t="s">
        <v>8</v>
      </c>
      <c r="C166" s="27" t="s">
        <v>9</v>
      </c>
      <c r="D166" s="27" t="s">
        <v>20</v>
      </c>
      <c r="E166" s="27" t="s">
        <v>15</v>
      </c>
      <c r="F166" s="90">
        <v>103</v>
      </c>
      <c r="G166" s="89">
        <f>RANK(Table5[[#This Row],[Total Score]],Table5[[Gender]:[Total Score]],0)</f>
        <v>191</v>
      </c>
      <c r="H166" s="88" t="str">
        <f t="shared" ref="H166:H197" si="5">_xlfn.XLOOKUP(F166,I:I,K:K,,-1)</f>
        <v>Fail</v>
      </c>
    </row>
    <row r="167" spans="2:8" ht="20.5" x14ac:dyDescent="0.8">
      <c r="B167" s="87" t="s">
        <v>17</v>
      </c>
      <c r="C167" s="27" t="s">
        <v>21</v>
      </c>
      <c r="D167" s="27" t="s">
        <v>11</v>
      </c>
      <c r="E167" s="27" t="s">
        <v>12</v>
      </c>
      <c r="F167" s="90">
        <v>168</v>
      </c>
      <c r="G167" s="89">
        <f>RANK(Table5[[#This Row],[Total Score]],Table5[[Gender]:[Total Score]],0)</f>
        <v>134</v>
      </c>
      <c r="H167" s="88" t="str">
        <f t="shared" si="5"/>
        <v>Fail</v>
      </c>
    </row>
    <row r="168" spans="2:8" ht="20.5" x14ac:dyDescent="0.8">
      <c r="B168" s="87" t="s">
        <v>8</v>
      </c>
      <c r="C168" s="27" t="s">
        <v>13</v>
      </c>
      <c r="D168" s="27" t="s">
        <v>11</v>
      </c>
      <c r="E168" s="27" t="s">
        <v>12</v>
      </c>
      <c r="F168" s="90">
        <v>199</v>
      </c>
      <c r="G168" s="89">
        <f>RANK(Table5[[#This Row],[Total Score]],Table5[[Gender]:[Total Score]],0)</f>
        <v>87</v>
      </c>
      <c r="H168" s="88" t="str">
        <f t="shared" si="5"/>
        <v>Fair</v>
      </c>
    </row>
    <row r="169" spans="2:8" ht="20.5" x14ac:dyDescent="0.8">
      <c r="B169" s="87" t="s">
        <v>8</v>
      </c>
      <c r="C169" s="27" t="s">
        <v>18</v>
      </c>
      <c r="D169" s="27" t="s">
        <v>11</v>
      </c>
      <c r="E169" s="27" t="s">
        <v>12</v>
      </c>
      <c r="F169" s="90">
        <v>192</v>
      </c>
      <c r="G169" s="89">
        <f>RANK(Table5[[#This Row],[Total Score]],Table5[[Gender]:[Total Score]],0)</f>
        <v>103</v>
      </c>
      <c r="H169" s="88" t="str">
        <f t="shared" si="5"/>
        <v>Fair</v>
      </c>
    </row>
    <row r="170" spans="2:8" ht="20.5" x14ac:dyDescent="0.8">
      <c r="B170" s="87" t="s">
        <v>17</v>
      </c>
      <c r="C170" s="27" t="s">
        <v>9</v>
      </c>
      <c r="D170" s="27" t="s">
        <v>11</v>
      </c>
      <c r="E170" s="27" t="s">
        <v>15</v>
      </c>
      <c r="F170" s="90">
        <v>147</v>
      </c>
      <c r="G170" s="89">
        <f>RANK(Table5[[#This Row],[Total Score]],Table5[[Gender]:[Total Score]],0)</f>
        <v>166</v>
      </c>
      <c r="H170" s="88" t="str">
        <f t="shared" si="5"/>
        <v>Fail</v>
      </c>
    </row>
    <row r="171" spans="2:8" ht="20.5" x14ac:dyDescent="0.8">
      <c r="B171" s="87" t="s">
        <v>17</v>
      </c>
      <c r="C171" s="27" t="s">
        <v>13</v>
      </c>
      <c r="D171" s="27" t="s">
        <v>20</v>
      </c>
      <c r="E171" s="27" t="s">
        <v>12</v>
      </c>
      <c r="F171" s="90">
        <v>164</v>
      </c>
      <c r="G171" s="89">
        <f>RANK(Table5[[#This Row],[Total Score]],Table5[[Gender]:[Total Score]],0)</f>
        <v>140</v>
      </c>
      <c r="H171" s="88" t="str">
        <f t="shared" si="5"/>
        <v>Fail</v>
      </c>
    </row>
    <row r="172" spans="2:8" ht="20.5" x14ac:dyDescent="0.8">
      <c r="B172" s="87" t="s">
        <v>17</v>
      </c>
      <c r="C172" s="27" t="s">
        <v>9</v>
      </c>
      <c r="D172" s="27" t="s">
        <v>11</v>
      </c>
      <c r="E172" s="27" t="s">
        <v>12</v>
      </c>
      <c r="F172" s="90">
        <v>164</v>
      </c>
      <c r="G172" s="89">
        <f>RANK(Table5[[#This Row],[Total Score]],Table5[[Gender]:[Total Score]],0)</f>
        <v>140</v>
      </c>
      <c r="H172" s="88" t="str">
        <f t="shared" si="5"/>
        <v>Fail</v>
      </c>
    </row>
    <row r="173" spans="2:8" ht="20.5" x14ac:dyDescent="0.8">
      <c r="B173" s="87" t="s">
        <v>8</v>
      </c>
      <c r="C173" s="27" t="s">
        <v>9</v>
      </c>
      <c r="D173" s="27" t="s">
        <v>20</v>
      </c>
      <c r="E173" s="27" t="s">
        <v>12</v>
      </c>
      <c r="F173" s="90">
        <v>208</v>
      </c>
      <c r="G173" s="89">
        <f>RANK(Table5[[#This Row],[Total Score]],Table5[[Gender]:[Total Score]],0)</f>
        <v>68</v>
      </c>
      <c r="H173" s="88" t="str">
        <f t="shared" si="5"/>
        <v>Fair</v>
      </c>
    </row>
    <row r="174" spans="2:8" ht="20.5" x14ac:dyDescent="0.8">
      <c r="B174" s="87" t="s">
        <v>17</v>
      </c>
      <c r="C174" s="27" t="s">
        <v>13</v>
      </c>
      <c r="D174" s="27" t="s">
        <v>20</v>
      </c>
      <c r="E174" s="27" t="s">
        <v>12</v>
      </c>
      <c r="F174" s="90">
        <v>185</v>
      </c>
      <c r="G174" s="89">
        <f>RANK(Table5[[#This Row],[Total Score]],Table5[[Gender]:[Total Score]],0)</f>
        <v>115</v>
      </c>
      <c r="H174" s="88" t="str">
        <f t="shared" si="5"/>
        <v>Fair</v>
      </c>
    </row>
    <row r="175" spans="2:8" ht="20.5" x14ac:dyDescent="0.8">
      <c r="B175" s="87" t="s">
        <v>17</v>
      </c>
      <c r="C175" s="27" t="s">
        <v>21</v>
      </c>
      <c r="D175" s="27" t="s">
        <v>20</v>
      </c>
      <c r="E175" s="27" t="s">
        <v>12</v>
      </c>
      <c r="F175" s="90">
        <v>143</v>
      </c>
      <c r="G175" s="89">
        <f>RANK(Table5[[#This Row],[Total Score]],Table5[[Gender]:[Total Score]],0)</f>
        <v>173</v>
      </c>
      <c r="H175" s="88" t="str">
        <f t="shared" si="5"/>
        <v>Fail</v>
      </c>
    </row>
    <row r="176" spans="2:8" ht="20.5" x14ac:dyDescent="0.8">
      <c r="B176" s="87" t="s">
        <v>17</v>
      </c>
      <c r="C176" s="27" t="s">
        <v>9</v>
      </c>
      <c r="D176" s="27" t="s">
        <v>20</v>
      </c>
      <c r="E176" s="27" t="s">
        <v>12</v>
      </c>
      <c r="F176" s="90">
        <v>92</v>
      </c>
      <c r="G176" s="89">
        <f>RANK(Table5[[#This Row],[Total Score]],Table5[[Gender]:[Total Score]],0)</f>
        <v>193</v>
      </c>
      <c r="H176" s="88" t="str">
        <f t="shared" si="5"/>
        <v>Fail</v>
      </c>
    </row>
    <row r="177" spans="2:8" ht="20.5" x14ac:dyDescent="0.8">
      <c r="B177" s="87" t="s">
        <v>8</v>
      </c>
      <c r="C177" s="27" t="s">
        <v>18</v>
      </c>
      <c r="D177" s="27" t="s">
        <v>20</v>
      </c>
      <c r="E177" s="27" t="s">
        <v>15</v>
      </c>
      <c r="F177" s="90">
        <v>123</v>
      </c>
      <c r="G177" s="89">
        <f>RANK(Table5[[#This Row],[Total Score]],Table5[[Gender]:[Total Score]],0)</f>
        <v>186</v>
      </c>
      <c r="H177" s="88" t="str">
        <f t="shared" si="5"/>
        <v>Fail</v>
      </c>
    </row>
    <row r="178" spans="2:8" ht="20.5" x14ac:dyDescent="0.8">
      <c r="B178" s="87" t="s">
        <v>17</v>
      </c>
      <c r="C178" s="27" t="s">
        <v>9</v>
      </c>
      <c r="D178" s="27" t="s">
        <v>11</v>
      </c>
      <c r="E178" s="27" t="s">
        <v>12</v>
      </c>
      <c r="F178" s="90">
        <v>156</v>
      </c>
      <c r="G178" s="89">
        <f>RANK(Table5[[#This Row],[Total Score]],Table5[[Gender]:[Total Score]],0)</f>
        <v>157</v>
      </c>
      <c r="H178" s="88" t="str">
        <f t="shared" si="5"/>
        <v>Fail</v>
      </c>
    </row>
    <row r="179" spans="2:8" ht="20.5" x14ac:dyDescent="0.8">
      <c r="B179" s="87" t="s">
        <v>8</v>
      </c>
      <c r="C179" s="27" t="s">
        <v>13</v>
      </c>
      <c r="D179" s="27" t="s">
        <v>11</v>
      </c>
      <c r="E179" s="27" t="s">
        <v>12</v>
      </c>
      <c r="F179" s="90">
        <v>157</v>
      </c>
      <c r="G179" s="89">
        <f>RANK(Table5[[#This Row],[Total Score]],Table5[[Gender]:[Total Score]],0)</f>
        <v>155</v>
      </c>
      <c r="H179" s="88" t="str">
        <f t="shared" si="5"/>
        <v>Fail</v>
      </c>
    </row>
    <row r="180" spans="2:8" ht="20.5" x14ac:dyDescent="0.8">
      <c r="B180" s="87" t="s">
        <v>17</v>
      </c>
      <c r="C180" s="27" t="s">
        <v>21</v>
      </c>
      <c r="D180" s="27" t="s">
        <v>20</v>
      </c>
      <c r="E180" s="27" t="s">
        <v>12</v>
      </c>
      <c r="F180" s="90">
        <v>206</v>
      </c>
      <c r="G180" s="89">
        <f>RANK(Table5[[#This Row],[Total Score]],Table5[[Gender]:[Total Score]],0)</f>
        <v>71</v>
      </c>
      <c r="H180" s="88" t="str">
        <f t="shared" si="5"/>
        <v>Fair</v>
      </c>
    </row>
    <row r="181" spans="2:8" ht="20.5" x14ac:dyDescent="0.8">
      <c r="B181" s="87" t="s">
        <v>8</v>
      </c>
      <c r="C181" s="27" t="s">
        <v>13</v>
      </c>
      <c r="D181" s="27" t="s">
        <v>20</v>
      </c>
      <c r="E181" s="27" t="s">
        <v>12</v>
      </c>
      <c r="F181" s="90">
        <v>134</v>
      </c>
      <c r="G181" s="89">
        <f>RANK(Table5[[#This Row],[Total Score]],Table5[[Gender]:[Total Score]],0)</f>
        <v>181</v>
      </c>
      <c r="H181" s="88" t="str">
        <f t="shared" si="5"/>
        <v>Fail</v>
      </c>
    </row>
    <row r="182" spans="2:8" ht="20.5" x14ac:dyDescent="0.8">
      <c r="B182" s="87" t="s">
        <v>17</v>
      </c>
      <c r="C182" s="27" t="s">
        <v>21</v>
      </c>
      <c r="D182" s="27" t="s">
        <v>11</v>
      </c>
      <c r="E182" s="27" t="s">
        <v>12</v>
      </c>
      <c r="F182" s="90">
        <v>204</v>
      </c>
      <c r="G182" s="89">
        <f>RANK(Table5[[#This Row],[Total Score]],Table5[[Gender]:[Total Score]],0)</f>
        <v>76</v>
      </c>
      <c r="H182" s="88" t="str">
        <f t="shared" si="5"/>
        <v>Fair</v>
      </c>
    </row>
    <row r="183" spans="2:8" ht="20.5" x14ac:dyDescent="0.8">
      <c r="B183" s="87" t="s">
        <v>17</v>
      </c>
      <c r="C183" s="27" t="s">
        <v>21</v>
      </c>
      <c r="D183" s="27" t="s">
        <v>20</v>
      </c>
      <c r="E183" s="27" t="s">
        <v>12</v>
      </c>
      <c r="F183" s="90">
        <v>213</v>
      </c>
      <c r="G183" s="89">
        <f>RANK(Table5[[#This Row],[Total Score]],Table5[[Gender]:[Total Score]],0)</f>
        <v>55</v>
      </c>
      <c r="H183" s="88" t="str">
        <f t="shared" si="5"/>
        <v>Good</v>
      </c>
    </row>
    <row r="184" spans="2:8" ht="20.5" x14ac:dyDescent="0.8">
      <c r="B184" s="87" t="s">
        <v>8</v>
      </c>
      <c r="C184" s="27" t="s">
        <v>21</v>
      </c>
      <c r="D184" s="27" t="s">
        <v>20</v>
      </c>
      <c r="E184" s="27" t="s">
        <v>15</v>
      </c>
      <c r="F184" s="90">
        <v>197</v>
      </c>
      <c r="G184" s="89">
        <f>RANK(Table5[[#This Row],[Total Score]],Table5[[Gender]:[Total Score]],0)</f>
        <v>93</v>
      </c>
      <c r="H184" s="88" t="str">
        <f t="shared" si="5"/>
        <v>Fair</v>
      </c>
    </row>
    <row r="185" spans="2:8" ht="20.5" x14ac:dyDescent="0.8">
      <c r="B185" s="87" t="s">
        <v>8</v>
      </c>
      <c r="C185" s="27" t="s">
        <v>24</v>
      </c>
      <c r="D185" s="27" t="s">
        <v>20</v>
      </c>
      <c r="E185" s="27" t="s">
        <v>12</v>
      </c>
      <c r="F185" s="90">
        <v>172</v>
      </c>
      <c r="G185" s="89">
        <f>RANK(Table5[[#This Row],[Total Score]],Table5[[Gender]:[Total Score]],0)</f>
        <v>128</v>
      </c>
      <c r="H185" s="88" t="str">
        <f t="shared" si="5"/>
        <v>Fail</v>
      </c>
    </row>
    <row r="186" spans="2:8" ht="20.5" x14ac:dyDescent="0.8">
      <c r="B186" s="87" t="s">
        <v>17</v>
      </c>
      <c r="C186" s="27" t="s">
        <v>13</v>
      </c>
      <c r="D186" s="27" t="s">
        <v>11</v>
      </c>
      <c r="E186" s="27" t="s">
        <v>12</v>
      </c>
      <c r="F186" s="90">
        <v>211</v>
      </c>
      <c r="G186" s="89">
        <f>RANK(Table5[[#This Row],[Total Score]],Table5[[Gender]:[Total Score]],0)</f>
        <v>61</v>
      </c>
      <c r="H186" s="88" t="str">
        <f t="shared" si="5"/>
        <v>Good</v>
      </c>
    </row>
    <row r="187" spans="2:8" ht="20.5" x14ac:dyDescent="0.8">
      <c r="B187" s="87" t="s">
        <v>8</v>
      </c>
      <c r="C187" s="27" t="s">
        <v>9</v>
      </c>
      <c r="D187" s="27" t="s">
        <v>11</v>
      </c>
      <c r="E187" s="27" t="s">
        <v>12</v>
      </c>
      <c r="F187" s="90">
        <v>187</v>
      </c>
      <c r="G187" s="89">
        <f>RANK(Table5[[#This Row],[Total Score]],Table5[[Gender]:[Total Score]],0)</f>
        <v>111</v>
      </c>
      <c r="H187" s="88" t="str">
        <f t="shared" si="5"/>
        <v>Fair</v>
      </c>
    </row>
    <row r="188" spans="2:8" ht="20.5" x14ac:dyDescent="0.8">
      <c r="B188" s="87" t="s">
        <v>17</v>
      </c>
      <c r="C188" s="27" t="s">
        <v>9</v>
      </c>
      <c r="D188" s="27" t="s">
        <v>11</v>
      </c>
      <c r="E188" s="27" t="s">
        <v>12</v>
      </c>
      <c r="F188" s="90">
        <v>244</v>
      </c>
      <c r="G188" s="89">
        <f>RANK(Table5[[#This Row],[Total Score]],Table5[[Gender]:[Total Score]],0)</f>
        <v>15</v>
      </c>
      <c r="H188" s="88" t="str">
        <f t="shared" si="5"/>
        <v>Very Good</v>
      </c>
    </row>
    <row r="189" spans="2:8" ht="20.5" x14ac:dyDescent="0.8">
      <c r="B189" s="87" t="s">
        <v>8</v>
      </c>
      <c r="C189" s="27" t="s">
        <v>24</v>
      </c>
      <c r="D189" s="27" t="s">
        <v>20</v>
      </c>
      <c r="E189" s="27" t="s">
        <v>15</v>
      </c>
      <c r="F189" s="90">
        <v>205</v>
      </c>
      <c r="G189" s="89">
        <f>RANK(Table5[[#This Row],[Total Score]],Table5[[Gender]:[Total Score]],0)</f>
        <v>73</v>
      </c>
      <c r="H189" s="88" t="str">
        <f t="shared" si="5"/>
        <v>Fair</v>
      </c>
    </row>
    <row r="190" spans="2:8" ht="20.5" x14ac:dyDescent="0.8">
      <c r="B190" s="87" t="s">
        <v>17</v>
      </c>
      <c r="C190" s="27" t="s">
        <v>24</v>
      </c>
      <c r="D190" s="27" t="s">
        <v>11</v>
      </c>
      <c r="E190" s="27" t="s">
        <v>12</v>
      </c>
      <c r="F190" s="90">
        <v>238</v>
      </c>
      <c r="G190" s="89">
        <f>RANK(Table5[[#This Row],[Total Score]],Table5[[Gender]:[Total Score]],0)</f>
        <v>22</v>
      </c>
      <c r="H190" s="88" t="str">
        <f t="shared" si="5"/>
        <v>Good</v>
      </c>
    </row>
    <row r="191" spans="2:8" ht="20.5" x14ac:dyDescent="0.8">
      <c r="B191" s="87" t="s">
        <v>17</v>
      </c>
      <c r="C191" s="27" t="s">
        <v>13</v>
      </c>
      <c r="D191" s="27" t="s">
        <v>11</v>
      </c>
      <c r="E191" s="27" t="s">
        <v>15</v>
      </c>
      <c r="F191" s="90">
        <v>164</v>
      </c>
      <c r="G191" s="89">
        <f>RANK(Table5[[#This Row],[Total Score]],Table5[[Gender]:[Total Score]],0)</f>
        <v>140</v>
      </c>
      <c r="H191" s="88" t="str">
        <f t="shared" si="5"/>
        <v>Fail</v>
      </c>
    </row>
    <row r="192" spans="2:8" ht="20.5" x14ac:dyDescent="0.8">
      <c r="B192" s="87" t="s">
        <v>8</v>
      </c>
      <c r="C192" s="27" t="s">
        <v>21</v>
      </c>
      <c r="D192" s="27" t="s">
        <v>11</v>
      </c>
      <c r="E192" s="27" t="s">
        <v>12</v>
      </c>
      <c r="F192" s="90">
        <v>167</v>
      </c>
      <c r="G192" s="89">
        <f>RANK(Table5[[#This Row],[Total Score]],Table5[[Gender]:[Total Score]],0)</f>
        <v>136</v>
      </c>
      <c r="H192" s="88" t="str">
        <f t="shared" si="5"/>
        <v>Fail</v>
      </c>
    </row>
    <row r="193" spans="2:8" ht="20.5" x14ac:dyDescent="0.8">
      <c r="B193" s="87" t="s">
        <v>17</v>
      </c>
      <c r="C193" s="27" t="s">
        <v>13</v>
      </c>
      <c r="D193" s="27" t="s">
        <v>11</v>
      </c>
      <c r="E193" s="27" t="s">
        <v>12</v>
      </c>
      <c r="F193" s="90">
        <v>227</v>
      </c>
      <c r="G193" s="89">
        <f>RANK(Table5[[#This Row],[Total Score]],Table5[[Gender]:[Total Score]],0)</f>
        <v>33</v>
      </c>
      <c r="H193" s="88" t="str">
        <f t="shared" si="5"/>
        <v>Good</v>
      </c>
    </row>
    <row r="194" spans="2:8" ht="20.5" x14ac:dyDescent="0.8">
      <c r="B194" s="87" t="s">
        <v>8</v>
      </c>
      <c r="C194" s="27" t="s">
        <v>18</v>
      </c>
      <c r="D194" s="27" t="s">
        <v>20</v>
      </c>
      <c r="E194" s="27" t="s">
        <v>15</v>
      </c>
      <c r="F194" s="90">
        <v>163</v>
      </c>
      <c r="G194" s="89">
        <f>RANK(Table5[[#This Row],[Total Score]],Table5[[Gender]:[Total Score]],0)</f>
        <v>144</v>
      </c>
      <c r="H194" s="88" t="str">
        <f t="shared" si="5"/>
        <v>Fail</v>
      </c>
    </row>
    <row r="195" spans="2:8" ht="20.5" x14ac:dyDescent="0.8">
      <c r="B195" s="87" t="s">
        <v>17</v>
      </c>
      <c r="C195" s="27" t="s">
        <v>21</v>
      </c>
      <c r="D195" s="27" t="s">
        <v>11</v>
      </c>
      <c r="E195" s="27" t="s">
        <v>15</v>
      </c>
      <c r="F195" s="90">
        <v>144</v>
      </c>
      <c r="G195" s="89">
        <f>RANK(Table5[[#This Row],[Total Score]],Table5[[Gender]:[Total Score]],0)</f>
        <v>171</v>
      </c>
      <c r="H195" s="88" t="str">
        <f t="shared" si="5"/>
        <v>Fail</v>
      </c>
    </row>
    <row r="196" spans="2:8" ht="20.5" x14ac:dyDescent="0.8">
      <c r="B196" s="87" t="s">
        <v>8</v>
      </c>
      <c r="C196" s="27" t="s">
        <v>9</v>
      </c>
      <c r="D196" s="27" t="s">
        <v>20</v>
      </c>
      <c r="E196" s="27" t="s">
        <v>12</v>
      </c>
      <c r="F196" s="90">
        <v>55</v>
      </c>
      <c r="G196" s="89">
        <f>RANK(Table5[[#This Row],[Total Score]],Table5[[Gender]:[Total Score]],0)</f>
        <v>196</v>
      </c>
      <c r="H196" s="88" t="str">
        <f t="shared" si="5"/>
        <v>Fail</v>
      </c>
    </row>
    <row r="197" spans="2:8" ht="20.5" x14ac:dyDescent="0.8">
      <c r="B197" s="87" t="s">
        <v>17</v>
      </c>
      <c r="C197" s="27" t="s">
        <v>18</v>
      </c>
      <c r="D197" s="27" t="s">
        <v>11</v>
      </c>
      <c r="E197" s="27" t="s">
        <v>12</v>
      </c>
      <c r="F197" s="90">
        <v>162</v>
      </c>
      <c r="G197" s="89">
        <f>RANK(Table5[[#This Row],[Total Score]],Table5[[Gender]:[Total Score]],0)</f>
        <v>146</v>
      </c>
      <c r="H197" s="88" t="str">
        <f t="shared" si="5"/>
        <v>Fail</v>
      </c>
    </row>
    <row r="198" spans="2:8" ht="20.5" x14ac:dyDescent="0.8">
      <c r="B198" s="87" t="s">
        <v>17</v>
      </c>
      <c r="C198" s="27" t="s">
        <v>24</v>
      </c>
      <c r="D198" s="27" t="s">
        <v>20</v>
      </c>
      <c r="E198" s="27" t="s">
        <v>15</v>
      </c>
      <c r="F198" s="90">
        <v>242</v>
      </c>
      <c r="G198" s="89">
        <f>RANK(Table5[[#This Row],[Total Score]],Table5[[Gender]:[Total Score]],0)</f>
        <v>17</v>
      </c>
      <c r="H198" s="88" t="str">
        <f t="shared" ref="H198:H201" si="6">_xlfn.XLOOKUP(F198,I:I,K:K,,-1)</f>
        <v>Very Good</v>
      </c>
    </row>
    <row r="199" spans="2:8" ht="20.5" x14ac:dyDescent="0.8">
      <c r="B199" s="87" t="s">
        <v>17</v>
      </c>
      <c r="C199" s="27" t="s">
        <v>18</v>
      </c>
      <c r="D199" s="27" t="s">
        <v>11</v>
      </c>
      <c r="E199" s="27" t="s">
        <v>12</v>
      </c>
      <c r="F199" s="90">
        <v>188</v>
      </c>
      <c r="G199" s="89">
        <f>RANK(Table5[[#This Row],[Total Score]],Table5[[Gender]:[Total Score]],0)</f>
        <v>109</v>
      </c>
      <c r="H199" s="88" t="str">
        <f t="shared" si="6"/>
        <v>Fair</v>
      </c>
    </row>
    <row r="200" spans="2:8" ht="20.5" x14ac:dyDescent="0.8">
      <c r="B200" s="87" t="s">
        <v>17</v>
      </c>
      <c r="C200" s="27" t="s">
        <v>13</v>
      </c>
      <c r="D200" s="27" t="s">
        <v>20</v>
      </c>
      <c r="E200" s="27" t="s">
        <v>12</v>
      </c>
      <c r="F200" s="90">
        <v>172</v>
      </c>
      <c r="G200" s="89">
        <f>RANK(Table5[[#This Row],[Total Score]],Table5[[Gender]:[Total Score]],0)</f>
        <v>128</v>
      </c>
      <c r="H200" s="88" t="str">
        <f t="shared" si="6"/>
        <v>Fail</v>
      </c>
    </row>
    <row r="201" spans="2:8" ht="20.5" x14ac:dyDescent="0.8">
      <c r="B201" s="87" t="s">
        <v>8</v>
      </c>
      <c r="C201" s="27" t="s">
        <v>13</v>
      </c>
      <c r="D201" s="27" t="s">
        <v>20</v>
      </c>
      <c r="E201" s="27" t="s">
        <v>15</v>
      </c>
      <c r="F201" s="90">
        <v>195</v>
      </c>
      <c r="G201" s="89">
        <f>RANK(Table5[[#This Row],[Total Score]],Table5[[Gender]:[Total Score]],0)</f>
        <v>97</v>
      </c>
      <c r="H201" s="88" t="str">
        <f t="shared" si="6"/>
        <v>Fair</v>
      </c>
    </row>
    <row r="202" spans="2:8" ht="20.5" x14ac:dyDescent="0.8">
      <c r="B202" s="37" t="s">
        <v>58</v>
      </c>
      <c r="C202" s="38"/>
      <c r="D202" s="38"/>
      <c r="E202" s="38"/>
      <c r="F202" s="38">
        <f>SUBTOTAL(109,Table5[Total Score])</f>
        <v>37101</v>
      </c>
      <c r="G202" s="40">
        <f>COUNT(Table5[Rank])</f>
        <v>196</v>
      </c>
      <c r="H202" s="39"/>
    </row>
  </sheetData>
  <conditionalFormatting sqref="G6:G201">
    <cfRule type="colorScale" priority="1">
      <colorScale>
        <cfvo type="min"/>
        <cfvo type="percentile" val="50"/>
        <cfvo type="max"/>
        <color rgb="FFF8696B"/>
        <color rgb="FFFCFCFF"/>
        <color rgb="FF63BE7B"/>
      </colorScale>
    </cfRule>
  </conditionalFormatting>
  <pageMargins left="0.7" right="0.7" top="0.75" bottom="0.75" header="0.3" footer="0.3"/>
  <drawing r:id="rId2"/>
  <tableParts count="2">
    <tablePart r:id="rId3"/>
    <tablePart r:id="rId4"/>
  </tableParts>
  <extLst>
    <ext xmlns:x14="http://schemas.microsoft.com/office/spreadsheetml/2009/9/main" uri="{A8765BA9-456A-4dab-B4F3-ACF838C121DE}">
      <x14:slicerList>
        <x14:slicer r:id="rId5"/>
      </x14:slicerList>
    </ext>
    <ext xmlns:x15="http://schemas.microsoft.com/office/spreadsheetml/2010/11/main" uri="{3A4CF648-6AED-40f4-86FF-DC5316D8AED3}">
      <x14:slicerList xmlns:x14="http://schemas.microsoft.com/office/spreadsheetml/2009/9/main">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ADE4C-091C-4705-89E4-B8A90A6F082E}">
  <sheetPr>
    <tabColor theme="4" tint="0.79998168889431442"/>
  </sheetPr>
  <dimension ref="B1:S61"/>
  <sheetViews>
    <sheetView showGridLines="0" topLeftCell="A12" zoomScale="90" zoomScaleNormal="90" workbookViewId="0">
      <selection activeCell="W6" sqref="W6"/>
    </sheetView>
  </sheetViews>
  <sheetFormatPr defaultRowHeight="14.5" x14ac:dyDescent="0.35"/>
  <cols>
    <col min="2" max="2" width="8.90625" customWidth="1"/>
    <col min="3" max="3" width="15.1796875" style="1" customWidth="1"/>
    <col min="4" max="4" width="10.26953125" style="1" customWidth="1"/>
    <col min="5" max="5" width="14.1796875" style="1" customWidth="1"/>
    <col min="6" max="6" width="12" customWidth="1"/>
    <col min="7" max="7" width="12" style="2" customWidth="1"/>
    <col min="8" max="8" width="11.7265625" style="1" customWidth="1"/>
    <col min="9" max="11" width="0" hidden="1" customWidth="1"/>
    <col min="12" max="12" width="16.54296875" bestFit="1" customWidth="1"/>
    <col min="13" max="13" width="13.6328125" bestFit="1" customWidth="1"/>
    <col min="14" max="14" width="5" bestFit="1" customWidth="1"/>
    <col min="15" max="15" width="16.54296875" bestFit="1" customWidth="1"/>
    <col min="16" max="16" width="10.08984375" bestFit="1" customWidth="1"/>
    <col min="17" max="17" width="5" bestFit="1" customWidth="1"/>
    <col min="18" max="18" width="12.90625" bestFit="1" customWidth="1"/>
    <col min="19" max="19" width="10.6328125" bestFit="1" customWidth="1"/>
    <col min="20" max="117" width="17.36328125" bestFit="1" customWidth="1"/>
  </cols>
  <sheetData>
    <row r="1" spans="2:19" ht="21" thickBot="1" x14ac:dyDescent="0.85">
      <c r="B1" s="10" t="s">
        <v>25</v>
      </c>
      <c r="C1" s="11" t="s">
        <v>26</v>
      </c>
      <c r="D1" s="11" t="s">
        <v>59</v>
      </c>
      <c r="E1" s="11" t="s">
        <v>60</v>
      </c>
      <c r="F1" s="10" t="s">
        <v>27</v>
      </c>
      <c r="G1" s="11" t="s">
        <v>90</v>
      </c>
      <c r="H1" s="11" t="s">
        <v>65</v>
      </c>
      <c r="I1" s="25" t="s">
        <v>28</v>
      </c>
      <c r="J1" s="25" t="s">
        <v>30</v>
      </c>
      <c r="K1" s="25" t="s">
        <v>39</v>
      </c>
    </row>
    <row r="2" spans="2:19" ht="15" thickBot="1" x14ac:dyDescent="0.4">
      <c r="B2" s="9" t="s">
        <v>8</v>
      </c>
      <c r="C2" s="12" t="s">
        <v>9</v>
      </c>
      <c r="D2" s="12" t="s">
        <v>11</v>
      </c>
      <c r="E2" s="12" t="s">
        <v>12</v>
      </c>
      <c r="F2" s="12">
        <v>278</v>
      </c>
      <c r="G2" s="11">
        <f>RANK(Table3[[#This Row],[Total Score]],Table3[[Gender]:[Total Score]],0)</f>
        <v>6</v>
      </c>
      <c r="H2" s="12" t="str">
        <f>_xlfn.XLOOKUP(Table3[[#This Row],[Total Score]],I:I,J:J,,-1)</f>
        <v>A</v>
      </c>
      <c r="I2" s="24">
        <v>270</v>
      </c>
      <c r="J2" s="23" t="s">
        <v>37</v>
      </c>
      <c r="K2" s="23" t="s">
        <v>41</v>
      </c>
    </row>
    <row r="3" spans="2:19" ht="15" thickBot="1" x14ac:dyDescent="0.4">
      <c r="B3" s="9" t="s">
        <v>8</v>
      </c>
      <c r="C3" s="12" t="s">
        <v>18</v>
      </c>
      <c r="D3" s="12" t="s">
        <v>11</v>
      </c>
      <c r="E3" s="12" t="s">
        <v>12</v>
      </c>
      <c r="F3" s="12">
        <v>161</v>
      </c>
      <c r="G3" s="11">
        <f>RANK(Table3[[#This Row],[Total Score]],Table3[[Gender]:[Total Score]],0)</f>
        <v>54</v>
      </c>
      <c r="H3" s="12" t="str">
        <f>_xlfn.XLOOKUP(Table3[[#This Row],[Total Score]],I:I,J:J,,-1)</f>
        <v>F</v>
      </c>
      <c r="I3" s="24">
        <v>240</v>
      </c>
      <c r="J3" s="23" t="s">
        <v>38</v>
      </c>
      <c r="K3" s="23" t="s">
        <v>42</v>
      </c>
    </row>
    <row r="4" spans="2:19" ht="29.5" thickBot="1" x14ac:dyDescent="0.4">
      <c r="B4" s="9" t="s">
        <v>17</v>
      </c>
      <c r="C4" s="12" t="s">
        <v>13</v>
      </c>
      <c r="D4" s="12" t="s">
        <v>20</v>
      </c>
      <c r="E4" s="12" t="s">
        <v>15</v>
      </c>
      <c r="F4" s="12">
        <v>134</v>
      </c>
      <c r="G4" s="11">
        <f>RANK(Table3[[#This Row],[Total Score]],Table3[[Gender]:[Total Score]],0)</f>
        <v>59</v>
      </c>
      <c r="H4" s="12" t="str">
        <f>_xlfn.XLOOKUP(Table3[[#This Row],[Total Score]],I:I,J:J,,-1)</f>
        <v>F</v>
      </c>
      <c r="I4" s="24">
        <v>210</v>
      </c>
      <c r="J4" s="23" t="s">
        <v>35</v>
      </c>
      <c r="K4" s="23" t="s">
        <v>43</v>
      </c>
      <c r="L4" s="43" t="s">
        <v>63</v>
      </c>
      <c r="M4" s="44" t="s">
        <v>59</v>
      </c>
      <c r="N4" s="45"/>
      <c r="O4" s="44"/>
      <c r="P4" s="44"/>
      <c r="Q4" s="44"/>
      <c r="R4" s="44"/>
      <c r="S4" s="44"/>
    </row>
    <row r="5" spans="2:19" ht="29.5" thickBot="1" x14ac:dyDescent="0.4">
      <c r="B5" s="9" t="s">
        <v>17</v>
      </c>
      <c r="C5" s="12" t="s">
        <v>18</v>
      </c>
      <c r="D5" s="12" t="s">
        <v>20</v>
      </c>
      <c r="E5" s="12" t="s">
        <v>12</v>
      </c>
      <c r="F5" s="12">
        <v>219</v>
      </c>
      <c r="G5" s="11">
        <f>RANK(Table3[[#This Row],[Total Score]],Table3[[Gender]:[Total Score]],0)</f>
        <v>31</v>
      </c>
      <c r="H5" s="12" t="str">
        <f>_xlfn.XLOOKUP(Table3[[#This Row],[Total Score]],I:I,J:J,,-1)</f>
        <v>C</v>
      </c>
      <c r="I5" s="24">
        <v>180</v>
      </c>
      <c r="J5" s="23" t="s">
        <v>51</v>
      </c>
      <c r="K5" s="23" t="s">
        <v>64</v>
      </c>
      <c r="L5" s="46"/>
      <c r="M5" s="47" t="s">
        <v>20</v>
      </c>
      <c r="N5" s="48"/>
      <c r="O5" s="49" t="s">
        <v>91</v>
      </c>
      <c r="P5" s="47" t="s">
        <v>11</v>
      </c>
      <c r="Q5" s="48"/>
      <c r="R5" s="51" t="s">
        <v>92</v>
      </c>
      <c r="S5" s="51" t="s">
        <v>88</v>
      </c>
    </row>
    <row r="6" spans="2:19" ht="15" thickBot="1" x14ac:dyDescent="0.4">
      <c r="B6" s="9" t="s">
        <v>8</v>
      </c>
      <c r="C6" s="12" t="s">
        <v>21</v>
      </c>
      <c r="D6" s="12" t="s">
        <v>11</v>
      </c>
      <c r="E6" s="12" t="s">
        <v>12</v>
      </c>
      <c r="F6" s="12">
        <v>207</v>
      </c>
      <c r="G6" s="11">
        <f>RANK(Table3[[#This Row],[Total Score]],Table3[[Gender]:[Total Score]],0)</f>
        <v>37</v>
      </c>
      <c r="H6" s="12" t="str">
        <f>_xlfn.XLOOKUP(Table3[[#This Row],[Total Score]],I:I,J:J,,-1)</f>
        <v>D</v>
      </c>
      <c r="I6" s="24">
        <v>27</v>
      </c>
      <c r="J6" s="23" t="s">
        <v>53</v>
      </c>
      <c r="K6" s="23" t="s">
        <v>54</v>
      </c>
      <c r="L6" s="46" t="s">
        <v>89</v>
      </c>
      <c r="M6" s="47" t="s">
        <v>8</v>
      </c>
      <c r="N6" s="48" t="s">
        <v>17</v>
      </c>
      <c r="O6" s="50"/>
      <c r="P6" s="47" t="s">
        <v>8</v>
      </c>
      <c r="Q6" s="48" t="s">
        <v>17</v>
      </c>
      <c r="R6" s="52"/>
      <c r="S6" s="52"/>
    </row>
    <row r="7" spans="2:19" ht="29" x14ac:dyDescent="0.35">
      <c r="B7" s="9" t="s">
        <v>8</v>
      </c>
      <c r="C7" s="12" t="s">
        <v>24</v>
      </c>
      <c r="D7" s="12" t="s">
        <v>20</v>
      </c>
      <c r="E7" s="12" t="s">
        <v>12</v>
      </c>
      <c r="F7" s="12">
        <v>193</v>
      </c>
      <c r="G7" s="11">
        <f>RANK(Table3[[#This Row],[Total Score]],Table3[[Gender]:[Total Score]],0)</f>
        <v>42</v>
      </c>
      <c r="H7" s="12" t="str">
        <f>_xlfn.XLOOKUP(Table3[[#This Row],[Total Score]],I:I,J:J,,-1)</f>
        <v>D</v>
      </c>
      <c r="L7" s="30" t="s">
        <v>18</v>
      </c>
      <c r="M7" s="42">
        <v>190</v>
      </c>
      <c r="N7" s="42">
        <v>219</v>
      </c>
      <c r="O7" s="42">
        <v>409</v>
      </c>
      <c r="P7" s="42">
        <v>161</v>
      </c>
      <c r="Q7" s="42"/>
      <c r="R7" s="183">
        <v>161</v>
      </c>
      <c r="S7" s="183">
        <v>570</v>
      </c>
    </row>
    <row r="8" spans="2:19" x14ac:dyDescent="0.35">
      <c r="B8" s="9" t="s">
        <v>8</v>
      </c>
      <c r="C8" s="12" t="s">
        <v>24</v>
      </c>
      <c r="D8" s="12" t="s">
        <v>11</v>
      </c>
      <c r="E8" s="12" t="s">
        <v>12</v>
      </c>
      <c r="F8" s="12">
        <v>198</v>
      </c>
      <c r="G8" s="11">
        <f>RANK(Table3[[#This Row],[Total Score]],Table3[[Gender]:[Total Score]],0)</f>
        <v>40</v>
      </c>
      <c r="H8" s="12" t="str">
        <f>_xlfn.XLOOKUP(Table3[[#This Row],[Total Score]],I:I,J:J,,-1)</f>
        <v>D</v>
      </c>
      <c r="L8" s="31" t="s">
        <v>9</v>
      </c>
      <c r="M8" s="42">
        <v>664</v>
      </c>
      <c r="N8" s="42">
        <v>154</v>
      </c>
      <c r="O8" s="42">
        <v>818</v>
      </c>
      <c r="P8" s="42">
        <v>529</v>
      </c>
      <c r="Q8" s="42"/>
      <c r="R8" s="183">
        <v>529</v>
      </c>
      <c r="S8" s="183">
        <v>1347</v>
      </c>
    </row>
    <row r="9" spans="2:19" x14ac:dyDescent="0.35">
      <c r="B9" s="9" t="s">
        <v>8</v>
      </c>
      <c r="C9" s="12" t="s">
        <v>21</v>
      </c>
      <c r="D9" s="12" t="s">
        <v>11</v>
      </c>
      <c r="E9" s="12" t="s">
        <v>12</v>
      </c>
      <c r="F9" s="12">
        <v>287</v>
      </c>
      <c r="G9" s="11">
        <f>RANK(Table3[[#This Row],[Total Score]],Table3[[Gender]:[Total Score]],0)</f>
        <v>3</v>
      </c>
      <c r="H9" s="12" t="str">
        <f>_xlfn.XLOOKUP(Table3[[#This Row],[Total Score]],I:I,J:J,,-1)</f>
        <v>A</v>
      </c>
      <c r="L9" s="31" t="s">
        <v>13</v>
      </c>
      <c r="M9" s="42">
        <v>557</v>
      </c>
      <c r="N9" s="42">
        <v>1368</v>
      </c>
      <c r="O9" s="42">
        <v>1925</v>
      </c>
      <c r="P9" s="42">
        <v>907</v>
      </c>
      <c r="Q9" s="42">
        <v>1103</v>
      </c>
      <c r="R9" s="183">
        <v>2010</v>
      </c>
      <c r="S9" s="183">
        <v>3935</v>
      </c>
    </row>
    <row r="10" spans="2:19" x14ac:dyDescent="0.35">
      <c r="B10" s="9" t="s">
        <v>17</v>
      </c>
      <c r="C10" s="12" t="s">
        <v>21</v>
      </c>
      <c r="D10" s="12" t="s">
        <v>11</v>
      </c>
      <c r="E10" s="12" t="s">
        <v>12</v>
      </c>
      <c r="F10" s="12">
        <v>238</v>
      </c>
      <c r="G10" s="11">
        <f>RANK(Table3[[#This Row],[Total Score]],Table3[[Gender]:[Total Score]],0)</f>
        <v>21</v>
      </c>
      <c r="H10" s="12" t="str">
        <f>_xlfn.XLOOKUP(Table3[[#This Row],[Total Score]],I:I,J:J,,-1)</f>
        <v>C</v>
      </c>
      <c r="L10" s="31" t="s">
        <v>21</v>
      </c>
      <c r="M10" s="42">
        <v>815</v>
      </c>
      <c r="N10" s="42">
        <v>263</v>
      </c>
      <c r="O10" s="42">
        <v>1078</v>
      </c>
      <c r="P10" s="42">
        <v>2492</v>
      </c>
      <c r="Q10" s="42">
        <v>1707</v>
      </c>
      <c r="R10" s="183">
        <v>4199</v>
      </c>
      <c r="S10" s="183">
        <v>5277</v>
      </c>
    </row>
    <row r="11" spans="2:19" ht="15" thickBot="1" x14ac:dyDescent="0.4">
      <c r="B11" s="9" t="s">
        <v>17</v>
      </c>
      <c r="C11" s="12" t="s">
        <v>21</v>
      </c>
      <c r="D11" s="12" t="s">
        <v>11</v>
      </c>
      <c r="E11" s="12" t="s">
        <v>12</v>
      </c>
      <c r="F11" s="12">
        <v>255</v>
      </c>
      <c r="G11" s="11">
        <f>RANK(Table3[[#This Row],[Total Score]],Table3[[Gender]:[Total Score]],0)</f>
        <v>16</v>
      </c>
      <c r="H11" s="12" t="str">
        <f>_xlfn.XLOOKUP(Table3[[#This Row],[Total Score]],I:I,J:J,,-1)</f>
        <v>B</v>
      </c>
      <c r="L11" s="32" t="s">
        <v>24</v>
      </c>
      <c r="M11" s="42">
        <v>602</v>
      </c>
      <c r="N11" s="42"/>
      <c r="O11" s="42">
        <v>602</v>
      </c>
      <c r="P11" s="42">
        <v>1037</v>
      </c>
      <c r="Q11" s="42">
        <v>259</v>
      </c>
      <c r="R11" s="183">
        <v>1296</v>
      </c>
      <c r="S11" s="183">
        <v>1898</v>
      </c>
    </row>
    <row r="12" spans="2:19" ht="29.5" thickBot="1" x14ac:dyDescent="0.4">
      <c r="B12" s="9" t="s">
        <v>17</v>
      </c>
      <c r="C12" s="12" t="s">
        <v>9</v>
      </c>
      <c r="D12" s="12" t="s">
        <v>20</v>
      </c>
      <c r="E12" s="12" t="s">
        <v>12</v>
      </c>
      <c r="F12" s="12">
        <v>154</v>
      </c>
      <c r="G12" s="11">
        <f>RANK(Table3[[#This Row],[Total Score]],Table3[[Gender]:[Total Score]],0)</f>
        <v>56</v>
      </c>
      <c r="H12" s="12" t="str">
        <f>_xlfn.XLOOKUP(Table3[[#This Row],[Total Score]],I:I,J:J,,-1)</f>
        <v>F</v>
      </c>
      <c r="L12" s="36" t="s">
        <v>88</v>
      </c>
      <c r="M12" s="41">
        <v>2828</v>
      </c>
      <c r="N12" s="41">
        <v>2004</v>
      </c>
      <c r="O12" s="41">
        <v>4832</v>
      </c>
      <c r="P12" s="41">
        <v>5126</v>
      </c>
      <c r="Q12" s="41">
        <v>3069</v>
      </c>
      <c r="R12" s="184">
        <v>8195</v>
      </c>
      <c r="S12" s="184">
        <v>13027</v>
      </c>
    </row>
    <row r="13" spans="2:19" ht="15" thickTop="1" x14ac:dyDescent="0.35">
      <c r="B13" s="9" t="s">
        <v>8</v>
      </c>
      <c r="C13" s="12" t="s">
        <v>24</v>
      </c>
      <c r="D13" s="12" t="s">
        <v>11</v>
      </c>
      <c r="E13" s="12" t="s">
        <v>12</v>
      </c>
      <c r="F13" s="12">
        <v>264</v>
      </c>
      <c r="G13" s="11">
        <f>RANK(Table3[[#This Row],[Total Score]],Table3[[Gender]:[Total Score]],0)</f>
        <v>9</v>
      </c>
      <c r="H13" s="12" t="str">
        <f>_xlfn.XLOOKUP(Table3[[#This Row],[Total Score]],I:I,J:J,,-1)</f>
        <v>B</v>
      </c>
    </row>
    <row r="14" spans="2:19" ht="29" x14ac:dyDescent="0.35">
      <c r="B14" s="9" t="s">
        <v>8</v>
      </c>
      <c r="C14" s="12" t="s">
        <v>9</v>
      </c>
      <c r="D14" s="12" t="s">
        <v>20</v>
      </c>
      <c r="E14" s="12" t="s">
        <v>15</v>
      </c>
      <c r="F14" s="12">
        <v>212</v>
      </c>
      <c r="G14" s="11">
        <f>RANK(Table3[[#This Row],[Total Score]],Table3[[Gender]:[Total Score]],0)</f>
        <v>34</v>
      </c>
      <c r="H14" s="12" t="str">
        <f>_xlfn.XLOOKUP(Table3[[#This Row],[Total Score]],I:I,J:J,,-1)</f>
        <v>C</v>
      </c>
    </row>
    <row r="15" spans="2:19" x14ac:dyDescent="0.35">
      <c r="B15" s="9" t="s">
        <v>8</v>
      </c>
      <c r="C15" s="12" t="s">
        <v>13</v>
      </c>
      <c r="D15" s="12" t="s">
        <v>11</v>
      </c>
      <c r="E15" s="12" t="s">
        <v>15</v>
      </c>
      <c r="F15" s="12">
        <v>259</v>
      </c>
      <c r="G15" s="11">
        <f>RANK(Table3[[#This Row],[Total Score]],Table3[[Gender]:[Total Score]],0)</f>
        <v>13</v>
      </c>
      <c r="H15" s="12" t="str">
        <f>_xlfn.XLOOKUP(Table3[[#This Row],[Total Score]],I:I,J:J,,-1)</f>
        <v>B</v>
      </c>
    </row>
    <row r="16" spans="2:19" ht="29" x14ac:dyDescent="0.35">
      <c r="B16" s="9" t="s">
        <v>8</v>
      </c>
      <c r="C16" s="12" t="s">
        <v>9</v>
      </c>
      <c r="D16" s="12" t="s">
        <v>20</v>
      </c>
      <c r="E16" s="12" t="s">
        <v>15</v>
      </c>
      <c r="F16" s="12">
        <v>184</v>
      </c>
      <c r="G16" s="11">
        <f>RANK(Table3[[#This Row],[Total Score]],Table3[[Gender]:[Total Score]],0)</f>
        <v>47</v>
      </c>
      <c r="H16" s="12" t="str">
        <f>_xlfn.XLOOKUP(Table3[[#This Row],[Total Score]],I:I,J:J,,-1)</f>
        <v>D</v>
      </c>
    </row>
    <row r="17" spans="2:8" ht="29" x14ac:dyDescent="0.35">
      <c r="B17" s="9" t="s">
        <v>17</v>
      </c>
      <c r="C17" s="12" t="s">
        <v>13</v>
      </c>
      <c r="D17" s="12" t="s">
        <v>20</v>
      </c>
      <c r="E17" s="12" t="s">
        <v>15</v>
      </c>
      <c r="F17" s="12">
        <v>205</v>
      </c>
      <c r="G17" s="11">
        <f>RANK(Table3[[#This Row],[Total Score]],Table3[[Gender]:[Total Score]],0)</f>
        <v>38</v>
      </c>
      <c r="H17" s="12" t="str">
        <f>_xlfn.XLOOKUP(Table3[[#This Row],[Total Score]],I:I,J:J,,-1)</f>
        <v>D</v>
      </c>
    </row>
    <row r="18" spans="2:8" x14ac:dyDescent="0.35">
      <c r="B18" s="9" t="s">
        <v>8</v>
      </c>
      <c r="C18" s="12" t="s">
        <v>13</v>
      </c>
      <c r="D18" s="12" t="s">
        <v>11</v>
      </c>
      <c r="E18" s="12" t="s">
        <v>15</v>
      </c>
      <c r="F18" s="12">
        <v>238</v>
      </c>
      <c r="G18" s="11">
        <f>RANK(Table3[[#This Row],[Total Score]],Table3[[Gender]:[Total Score]],0)</f>
        <v>21</v>
      </c>
      <c r="H18" s="12" t="str">
        <f>_xlfn.XLOOKUP(Table3[[#This Row],[Total Score]],I:I,J:J,,-1)</f>
        <v>C</v>
      </c>
    </row>
    <row r="19" spans="2:8" ht="29" x14ac:dyDescent="0.35">
      <c r="B19" s="9" t="s">
        <v>8</v>
      </c>
      <c r="C19" s="12" t="s">
        <v>24</v>
      </c>
      <c r="D19" s="12" t="s">
        <v>20</v>
      </c>
      <c r="E19" s="12" t="s">
        <v>12</v>
      </c>
      <c r="F19" s="12">
        <v>155</v>
      </c>
      <c r="G19" s="11">
        <f>RANK(Table3[[#This Row],[Total Score]],Table3[[Gender]:[Total Score]],0)</f>
        <v>55</v>
      </c>
      <c r="H19" s="12" t="str">
        <f>_xlfn.XLOOKUP(Table3[[#This Row],[Total Score]],I:I,J:J,,-1)</f>
        <v>F</v>
      </c>
    </row>
    <row r="20" spans="2:8" x14ac:dyDescent="0.35">
      <c r="B20" s="9" t="s">
        <v>17</v>
      </c>
      <c r="C20" s="12" t="s">
        <v>21</v>
      </c>
      <c r="D20" s="12" t="s">
        <v>11</v>
      </c>
      <c r="E20" s="12" t="s">
        <v>12</v>
      </c>
      <c r="F20" s="12">
        <v>232</v>
      </c>
      <c r="G20" s="11">
        <f>RANK(Table3[[#This Row],[Total Score]],Table3[[Gender]:[Total Score]],0)</f>
        <v>25</v>
      </c>
      <c r="H20" s="12" t="str">
        <f>_xlfn.XLOOKUP(Table3[[#This Row],[Total Score]],I:I,J:J,,-1)</f>
        <v>C</v>
      </c>
    </row>
    <row r="21" spans="2:8" ht="29" x14ac:dyDescent="0.35">
      <c r="B21" s="9" t="s">
        <v>8</v>
      </c>
      <c r="C21" s="12" t="s">
        <v>13</v>
      </c>
      <c r="D21" s="12" t="s">
        <v>20</v>
      </c>
      <c r="E21" s="12" t="s">
        <v>15</v>
      </c>
      <c r="F21" s="12">
        <v>227</v>
      </c>
      <c r="G21" s="11">
        <f>RANK(Table3[[#This Row],[Total Score]],Table3[[Gender]:[Total Score]],0)</f>
        <v>28</v>
      </c>
      <c r="H21" s="12" t="str">
        <f>_xlfn.XLOOKUP(Table3[[#This Row],[Total Score]],I:I,J:J,,-1)</f>
        <v>C</v>
      </c>
    </row>
    <row r="22" spans="2:8" x14ac:dyDescent="0.35">
      <c r="B22" s="9" t="s">
        <v>8</v>
      </c>
      <c r="C22" s="12" t="s">
        <v>21</v>
      </c>
      <c r="D22" s="12" t="s">
        <v>11</v>
      </c>
      <c r="E22" s="12" t="s">
        <v>15</v>
      </c>
      <c r="F22" s="12">
        <v>250</v>
      </c>
      <c r="G22" s="11">
        <f>RANK(Table3[[#This Row],[Total Score]],Table3[[Gender]:[Total Score]],0)</f>
        <v>19</v>
      </c>
      <c r="H22" s="12" t="str">
        <f>_xlfn.XLOOKUP(Table3[[#This Row],[Total Score]],I:I,J:J,,-1)</f>
        <v>B</v>
      </c>
    </row>
    <row r="23" spans="2:8" ht="29" x14ac:dyDescent="0.35">
      <c r="B23" s="9" t="s">
        <v>8</v>
      </c>
      <c r="C23" s="12" t="s">
        <v>21</v>
      </c>
      <c r="D23" s="12" t="s">
        <v>20</v>
      </c>
      <c r="E23" s="12" t="s">
        <v>15</v>
      </c>
      <c r="F23" s="12">
        <v>280</v>
      </c>
      <c r="G23" s="11">
        <f>RANK(Table3[[#This Row],[Total Score]],Table3[[Gender]:[Total Score]],0)</f>
        <v>5</v>
      </c>
      <c r="H23" s="12" t="str">
        <f>_xlfn.XLOOKUP(Table3[[#This Row],[Total Score]],I:I,J:J,,-1)</f>
        <v>A</v>
      </c>
    </row>
    <row r="24" spans="2:8" ht="29" x14ac:dyDescent="0.35">
      <c r="B24" s="9" t="s">
        <v>17</v>
      </c>
      <c r="C24" s="12" t="s">
        <v>13</v>
      </c>
      <c r="D24" s="12" t="s">
        <v>20</v>
      </c>
      <c r="E24" s="12" t="s">
        <v>12</v>
      </c>
      <c r="F24" s="12">
        <v>231</v>
      </c>
      <c r="G24" s="11">
        <f>RANK(Table3[[#This Row],[Total Score]],Table3[[Gender]:[Total Score]],0)</f>
        <v>26</v>
      </c>
      <c r="H24" s="12" t="str">
        <f>_xlfn.XLOOKUP(Table3[[#This Row],[Total Score]],I:I,J:J,,-1)</f>
        <v>C</v>
      </c>
    </row>
    <row r="25" spans="2:8" x14ac:dyDescent="0.35">
      <c r="B25" s="9" t="s">
        <v>17</v>
      </c>
      <c r="C25" s="12" t="s">
        <v>21</v>
      </c>
      <c r="D25" s="12" t="s">
        <v>11</v>
      </c>
      <c r="E25" s="12" t="s">
        <v>12</v>
      </c>
      <c r="F25" s="12">
        <v>218</v>
      </c>
      <c r="G25" s="11">
        <f>RANK(Table3[[#This Row],[Total Score]],Table3[[Gender]:[Total Score]],0)</f>
        <v>32</v>
      </c>
      <c r="H25" s="12" t="str">
        <f>_xlfn.XLOOKUP(Table3[[#This Row],[Total Score]],I:I,J:J,,-1)</f>
        <v>C</v>
      </c>
    </row>
    <row r="26" spans="2:8" x14ac:dyDescent="0.35">
      <c r="B26" s="9" t="s">
        <v>8</v>
      </c>
      <c r="C26" s="12" t="s">
        <v>21</v>
      </c>
      <c r="D26" s="12" t="s">
        <v>11</v>
      </c>
      <c r="E26" s="12" t="s">
        <v>15</v>
      </c>
      <c r="F26" s="12">
        <v>215</v>
      </c>
      <c r="G26" s="11">
        <f>RANK(Table3[[#This Row],[Total Score]],Table3[[Gender]:[Total Score]],0)</f>
        <v>33</v>
      </c>
      <c r="H26" s="12" t="str">
        <f>_xlfn.XLOOKUP(Table3[[#This Row],[Total Score]],I:I,J:J,,-1)</f>
        <v>C</v>
      </c>
    </row>
    <row r="27" spans="2:8" ht="29" x14ac:dyDescent="0.35">
      <c r="B27" s="9" t="s">
        <v>8</v>
      </c>
      <c r="C27" s="12" t="s">
        <v>21</v>
      </c>
      <c r="D27" s="12" t="s">
        <v>20</v>
      </c>
      <c r="E27" s="12" t="s">
        <v>15</v>
      </c>
      <c r="F27" s="12">
        <v>172</v>
      </c>
      <c r="G27" s="11">
        <f>RANK(Table3[[#This Row],[Total Score]],Table3[[Gender]:[Total Score]],0)</f>
        <v>52</v>
      </c>
      <c r="H27" s="12" t="str">
        <f>_xlfn.XLOOKUP(Table3[[#This Row],[Total Score]],I:I,J:J,,-1)</f>
        <v>F</v>
      </c>
    </row>
    <row r="28" spans="2:8" x14ac:dyDescent="0.35">
      <c r="B28" s="9" t="s">
        <v>8</v>
      </c>
      <c r="C28" s="12" t="s">
        <v>21</v>
      </c>
      <c r="D28" s="12" t="s">
        <v>11</v>
      </c>
      <c r="E28" s="12" t="s">
        <v>12</v>
      </c>
      <c r="F28" s="12">
        <v>189</v>
      </c>
      <c r="G28" s="11">
        <f>RANK(Table3[[#This Row],[Total Score]],Table3[[Gender]:[Total Score]],0)</f>
        <v>45</v>
      </c>
      <c r="H28" s="12" t="str">
        <f>_xlfn.XLOOKUP(Table3[[#This Row],[Total Score]],I:I,J:J,,-1)</f>
        <v>D</v>
      </c>
    </row>
    <row r="29" spans="2:8" x14ac:dyDescent="0.35">
      <c r="B29" s="9" t="s">
        <v>8</v>
      </c>
      <c r="C29" s="12" t="s">
        <v>21</v>
      </c>
      <c r="D29" s="12" t="s">
        <v>11</v>
      </c>
      <c r="E29" s="12" t="s">
        <v>12</v>
      </c>
      <c r="F29" s="12">
        <v>235</v>
      </c>
      <c r="G29" s="11">
        <f>RANK(Table3[[#This Row],[Total Score]],Table3[[Gender]:[Total Score]],0)</f>
        <v>23</v>
      </c>
      <c r="H29" s="12" t="str">
        <f>_xlfn.XLOOKUP(Table3[[#This Row],[Total Score]],I:I,J:J,,-1)</f>
        <v>C</v>
      </c>
    </row>
    <row r="30" spans="2:8" ht="29" x14ac:dyDescent="0.35">
      <c r="B30" s="9" t="s">
        <v>8</v>
      </c>
      <c r="C30" s="12" t="s">
        <v>21</v>
      </c>
      <c r="D30" s="12" t="s">
        <v>20</v>
      </c>
      <c r="E30" s="12" t="s">
        <v>12</v>
      </c>
      <c r="F30" s="12">
        <v>153</v>
      </c>
      <c r="G30" s="11">
        <f>RANK(Table3[[#This Row],[Total Score]],Table3[[Gender]:[Total Score]],0)</f>
        <v>57</v>
      </c>
      <c r="H30" s="12" t="str">
        <f>_xlfn.XLOOKUP(Table3[[#This Row],[Total Score]],I:I,J:J,,-1)</f>
        <v>F</v>
      </c>
    </row>
    <row r="31" spans="2:8" x14ac:dyDescent="0.35">
      <c r="B31" s="9" t="s">
        <v>17</v>
      </c>
      <c r="C31" s="12" t="s">
        <v>13</v>
      </c>
      <c r="D31" s="12" t="s">
        <v>11</v>
      </c>
      <c r="E31" s="12" t="s">
        <v>12</v>
      </c>
      <c r="F31" s="12">
        <v>234</v>
      </c>
      <c r="G31" s="11">
        <f>RANK(Table3[[#This Row],[Total Score]],Table3[[Gender]:[Total Score]],0)</f>
        <v>24</v>
      </c>
      <c r="H31" s="12" t="str">
        <f>_xlfn.XLOOKUP(Table3[[#This Row],[Total Score]],I:I,J:J,,-1)</f>
        <v>C</v>
      </c>
    </row>
    <row r="32" spans="2:8" ht="29" x14ac:dyDescent="0.35">
      <c r="B32" s="9" t="s">
        <v>8</v>
      </c>
      <c r="C32" s="12" t="s">
        <v>9</v>
      </c>
      <c r="D32" s="12" t="s">
        <v>20</v>
      </c>
      <c r="E32" s="12" t="s">
        <v>15</v>
      </c>
      <c r="F32" s="12">
        <v>268</v>
      </c>
      <c r="G32" s="11">
        <f>RANK(Table3[[#This Row],[Total Score]],Table3[[Gender]:[Total Score]],0)</f>
        <v>7</v>
      </c>
      <c r="H32" s="12" t="str">
        <f>_xlfn.XLOOKUP(Table3[[#This Row],[Total Score]],I:I,J:J,,-1)</f>
        <v>B</v>
      </c>
    </row>
    <row r="33" spans="2:8" ht="29" x14ac:dyDescent="0.35">
      <c r="B33" s="9" t="s">
        <v>17</v>
      </c>
      <c r="C33" s="12" t="s">
        <v>13</v>
      </c>
      <c r="D33" s="12" t="s">
        <v>20</v>
      </c>
      <c r="E33" s="12" t="s">
        <v>12</v>
      </c>
      <c r="F33" s="12">
        <v>163</v>
      </c>
      <c r="G33" s="11">
        <f>RANK(Table3[[#This Row],[Total Score]],Table3[[Gender]:[Total Score]],0)</f>
        <v>53</v>
      </c>
      <c r="H33" s="12" t="str">
        <f>_xlfn.XLOOKUP(Table3[[#This Row],[Total Score]],I:I,J:J,,-1)</f>
        <v>F</v>
      </c>
    </row>
    <row r="34" spans="2:8" x14ac:dyDescent="0.35">
      <c r="B34" s="9" t="s">
        <v>8</v>
      </c>
      <c r="C34" s="12" t="s">
        <v>21</v>
      </c>
      <c r="D34" s="12" t="s">
        <v>11</v>
      </c>
      <c r="E34" s="12" t="s">
        <v>12</v>
      </c>
      <c r="F34" s="12">
        <v>193</v>
      </c>
      <c r="G34" s="11">
        <f>RANK(Table3[[#This Row],[Total Score]],Table3[[Gender]:[Total Score]],0)</f>
        <v>42</v>
      </c>
      <c r="H34" s="12" t="str">
        <f>_xlfn.XLOOKUP(Table3[[#This Row],[Total Score]],I:I,J:J,,-1)</f>
        <v>D</v>
      </c>
    </row>
    <row r="35" spans="2:8" x14ac:dyDescent="0.35">
      <c r="B35" s="9" t="s">
        <v>17</v>
      </c>
      <c r="C35" s="12" t="s">
        <v>13</v>
      </c>
      <c r="D35" s="12" t="s">
        <v>11</v>
      </c>
      <c r="E35" s="12" t="s">
        <v>12</v>
      </c>
      <c r="F35" s="12">
        <v>220</v>
      </c>
      <c r="G35" s="11">
        <f>RANK(Table3[[#This Row],[Total Score]],Table3[[Gender]:[Total Score]],0)</f>
        <v>30</v>
      </c>
      <c r="H35" s="12" t="str">
        <f>_xlfn.XLOOKUP(Table3[[#This Row],[Total Score]],I:I,J:J,,-1)</f>
        <v>C</v>
      </c>
    </row>
    <row r="36" spans="2:8" ht="29" x14ac:dyDescent="0.35">
      <c r="B36" s="9" t="s">
        <v>17</v>
      </c>
      <c r="C36" s="12" t="s">
        <v>13</v>
      </c>
      <c r="D36" s="12" t="s">
        <v>20</v>
      </c>
      <c r="E36" s="12" t="s">
        <v>12</v>
      </c>
      <c r="F36" s="12">
        <v>194</v>
      </c>
      <c r="G36" s="11">
        <f>RANK(Table3[[#This Row],[Total Score]],Table3[[Gender]:[Total Score]],0)</f>
        <v>41</v>
      </c>
      <c r="H36" s="12" t="str">
        <f>_xlfn.XLOOKUP(Table3[[#This Row],[Total Score]],I:I,J:J,,-1)</f>
        <v>D</v>
      </c>
    </row>
    <row r="37" spans="2:8" ht="29" x14ac:dyDescent="0.35">
      <c r="B37" s="9" t="s">
        <v>8</v>
      </c>
      <c r="C37" s="12" t="s">
        <v>21</v>
      </c>
      <c r="D37" s="12" t="s">
        <v>20</v>
      </c>
      <c r="E37" s="12" t="s">
        <v>15</v>
      </c>
      <c r="F37" s="12">
        <v>210</v>
      </c>
      <c r="G37" s="11">
        <f>RANK(Table3[[#This Row],[Total Score]],Table3[[Gender]:[Total Score]],0)</f>
        <v>35</v>
      </c>
      <c r="H37" s="12" t="str">
        <f>_xlfn.XLOOKUP(Table3[[#This Row],[Total Score]],I:I,J:J,,-1)</f>
        <v>C</v>
      </c>
    </row>
    <row r="38" spans="2:8" x14ac:dyDescent="0.35">
      <c r="B38" s="9" t="s">
        <v>8</v>
      </c>
      <c r="C38" s="12" t="s">
        <v>21</v>
      </c>
      <c r="D38" s="12" t="s">
        <v>11</v>
      </c>
      <c r="E38" s="12" t="s">
        <v>12</v>
      </c>
      <c r="F38" s="12">
        <v>182</v>
      </c>
      <c r="G38" s="11">
        <f>RANK(Table3[[#This Row],[Total Score]],Table3[[Gender]:[Total Score]],0)</f>
        <v>49</v>
      </c>
      <c r="H38" s="12" t="str">
        <f>_xlfn.XLOOKUP(Table3[[#This Row],[Total Score]],I:I,J:J,,-1)</f>
        <v>D</v>
      </c>
    </row>
    <row r="39" spans="2:8" x14ac:dyDescent="0.35">
      <c r="B39" s="9" t="s">
        <v>8</v>
      </c>
      <c r="C39" s="12" t="s">
        <v>21</v>
      </c>
      <c r="D39" s="12" t="s">
        <v>11</v>
      </c>
      <c r="E39" s="12" t="s">
        <v>12</v>
      </c>
      <c r="F39" s="12">
        <v>177</v>
      </c>
      <c r="G39" s="11">
        <f>RANK(Table3[[#This Row],[Total Score]],Table3[[Gender]:[Total Score]],0)</f>
        <v>51</v>
      </c>
      <c r="H39" s="12" t="str">
        <f>_xlfn.XLOOKUP(Table3[[#This Row],[Total Score]],I:I,J:J,,-1)</f>
        <v>F</v>
      </c>
    </row>
    <row r="40" spans="2:8" ht="29" x14ac:dyDescent="0.35">
      <c r="B40" s="9" t="s">
        <v>17</v>
      </c>
      <c r="C40" s="12" t="s">
        <v>21</v>
      </c>
      <c r="D40" s="12" t="s">
        <v>20</v>
      </c>
      <c r="E40" s="12" t="s">
        <v>15</v>
      </c>
      <c r="F40" s="12">
        <v>263</v>
      </c>
      <c r="G40" s="11">
        <f>RANK(Table3[[#This Row],[Total Score]],Table3[[Gender]:[Total Score]],0)</f>
        <v>10</v>
      </c>
      <c r="H40" s="12" t="str">
        <f>_xlfn.XLOOKUP(Table3[[#This Row],[Total Score]],I:I,J:J,,-1)</f>
        <v>B</v>
      </c>
    </row>
    <row r="41" spans="2:8" ht="29" x14ac:dyDescent="0.35">
      <c r="B41" s="9" t="s">
        <v>8</v>
      </c>
      <c r="C41" s="12" t="s">
        <v>13</v>
      </c>
      <c r="D41" s="12" t="s">
        <v>20</v>
      </c>
      <c r="E41" s="12" t="s">
        <v>12</v>
      </c>
      <c r="F41" s="12">
        <v>152</v>
      </c>
      <c r="G41" s="11">
        <f>RANK(Table3[[#This Row],[Total Score]],Table3[[Gender]:[Total Score]],0)</f>
        <v>58</v>
      </c>
      <c r="H41" s="12" t="str">
        <f>_xlfn.XLOOKUP(Table3[[#This Row],[Total Score]],I:I,J:J,,-1)</f>
        <v>F</v>
      </c>
    </row>
    <row r="42" spans="2:8" x14ac:dyDescent="0.35">
      <c r="B42" s="9" t="s">
        <v>17</v>
      </c>
      <c r="C42" s="12" t="s">
        <v>21</v>
      </c>
      <c r="D42" s="12" t="s">
        <v>11</v>
      </c>
      <c r="E42" s="12" t="s">
        <v>12</v>
      </c>
      <c r="F42" s="12">
        <v>260</v>
      </c>
      <c r="G42" s="11">
        <f>RANK(Table3[[#This Row],[Total Score]],Table3[[Gender]:[Total Score]],0)</f>
        <v>12</v>
      </c>
      <c r="H42" s="12" t="str">
        <f>_xlfn.XLOOKUP(Table3[[#This Row],[Total Score]],I:I,J:J,,-1)</f>
        <v>B</v>
      </c>
    </row>
    <row r="43" spans="2:8" x14ac:dyDescent="0.35">
      <c r="B43" s="9" t="s">
        <v>8</v>
      </c>
      <c r="C43" s="12" t="s">
        <v>24</v>
      </c>
      <c r="D43" s="12" t="s">
        <v>11</v>
      </c>
      <c r="E43" s="12" t="s">
        <v>15</v>
      </c>
      <c r="F43" s="12">
        <v>293</v>
      </c>
      <c r="G43" s="11">
        <f>RANK(Table3[[#This Row],[Total Score]],Table3[[Gender]:[Total Score]],0)</f>
        <v>1</v>
      </c>
      <c r="H43" s="12" t="str">
        <f>_xlfn.XLOOKUP(Table3[[#This Row],[Total Score]],I:I,J:J,,-1)</f>
        <v>A</v>
      </c>
    </row>
    <row r="44" spans="2:8" x14ac:dyDescent="0.35">
      <c r="B44" s="9" t="s">
        <v>17</v>
      </c>
      <c r="C44" s="12" t="s">
        <v>21</v>
      </c>
      <c r="D44" s="12" t="s">
        <v>11</v>
      </c>
      <c r="E44" s="12" t="s">
        <v>12</v>
      </c>
      <c r="F44" s="12">
        <v>246</v>
      </c>
      <c r="G44" s="11">
        <f>RANK(Table3[[#This Row],[Total Score]],Table3[[Gender]:[Total Score]],0)</f>
        <v>20</v>
      </c>
      <c r="H44" s="12" t="str">
        <f>_xlfn.XLOOKUP(Table3[[#This Row],[Total Score]],I:I,J:J,,-1)</f>
        <v>B</v>
      </c>
    </row>
    <row r="45" spans="2:8" x14ac:dyDescent="0.35">
      <c r="B45" s="9" t="s">
        <v>17</v>
      </c>
      <c r="C45" s="12" t="s">
        <v>13</v>
      </c>
      <c r="D45" s="12" t="s">
        <v>11</v>
      </c>
      <c r="E45" s="12" t="s">
        <v>12</v>
      </c>
      <c r="F45" s="12">
        <v>183</v>
      </c>
      <c r="G45" s="11">
        <f>RANK(Table3[[#This Row],[Total Score]],Table3[[Gender]:[Total Score]],0)</f>
        <v>48</v>
      </c>
      <c r="H45" s="12" t="str">
        <f>_xlfn.XLOOKUP(Table3[[#This Row],[Total Score]],I:I,J:J,,-1)</f>
        <v>D</v>
      </c>
    </row>
    <row r="46" spans="2:8" ht="29" x14ac:dyDescent="0.35">
      <c r="B46" s="9" t="s">
        <v>17</v>
      </c>
      <c r="C46" s="12" t="s">
        <v>13</v>
      </c>
      <c r="D46" s="12" t="s">
        <v>20</v>
      </c>
      <c r="E46" s="12" t="s">
        <v>15</v>
      </c>
      <c r="F46" s="12">
        <v>231</v>
      </c>
      <c r="G46" s="11">
        <f>RANK(Table3[[#This Row],[Total Score]],Table3[[Gender]:[Total Score]],0)</f>
        <v>26</v>
      </c>
      <c r="H46" s="12" t="str">
        <f>_xlfn.XLOOKUP(Table3[[#This Row],[Total Score]],I:I,J:J,,-1)</f>
        <v>C</v>
      </c>
    </row>
    <row r="47" spans="2:8" x14ac:dyDescent="0.35">
      <c r="B47" s="9" t="s">
        <v>8</v>
      </c>
      <c r="C47" s="12" t="s">
        <v>9</v>
      </c>
      <c r="D47" s="12" t="s">
        <v>11</v>
      </c>
      <c r="E47" s="12" t="s">
        <v>12</v>
      </c>
      <c r="F47" s="12">
        <v>251</v>
      </c>
      <c r="G47" s="11">
        <f>RANK(Table3[[#This Row],[Total Score]],Table3[[Gender]:[Total Score]],0)</f>
        <v>18</v>
      </c>
      <c r="H47" s="12" t="str">
        <f>_xlfn.XLOOKUP(Table3[[#This Row],[Total Score]],I:I,J:J,,-1)</f>
        <v>B</v>
      </c>
    </row>
    <row r="48" spans="2:8" ht="29" x14ac:dyDescent="0.35">
      <c r="B48" s="9" t="s">
        <v>8</v>
      </c>
      <c r="C48" s="12" t="s">
        <v>13</v>
      </c>
      <c r="D48" s="12" t="s">
        <v>20</v>
      </c>
      <c r="E48" s="12" t="s">
        <v>12</v>
      </c>
      <c r="F48" s="12">
        <v>178</v>
      </c>
      <c r="G48" s="11">
        <f>RANK(Table3[[#This Row],[Total Score]],Table3[[Gender]:[Total Score]],0)</f>
        <v>50</v>
      </c>
      <c r="H48" s="12" t="str">
        <f>_xlfn.XLOOKUP(Table3[[#This Row],[Total Score]],I:I,J:J,,-1)</f>
        <v>F</v>
      </c>
    </row>
    <row r="49" spans="2:8" x14ac:dyDescent="0.35">
      <c r="B49" s="9" t="s">
        <v>8</v>
      </c>
      <c r="C49" s="12" t="s">
        <v>13</v>
      </c>
      <c r="D49" s="12" t="s">
        <v>11</v>
      </c>
      <c r="E49" s="12" t="s">
        <v>15</v>
      </c>
      <c r="F49" s="12">
        <v>185</v>
      </c>
      <c r="G49" s="11">
        <f>RANK(Table3[[#This Row],[Total Score]],Table3[[Gender]:[Total Score]],0)</f>
        <v>46</v>
      </c>
      <c r="H49" s="12" t="str">
        <f>_xlfn.XLOOKUP(Table3[[#This Row],[Total Score]],I:I,J:J,,-1)</f>
        <v>D</v>
      </c>
    </row>
    <row r="50" spans="2:8" x14ac:dyDescent="0.35">
      <c r="B50" s="9" t="s">
        <v>17</v>
      </c>
      <c r="C50" s="12" t="s">
        <v>24</v>
      </c>
      <c r="D50" s="12" t="s">
        <v>11</v>
      </c>
      <c r="E50" s="12" t="s">
        <v>12</v>
      </c>
      <c r="F50" s="12">
        <v>259</v>
      </c>
      <c r="G50" s="11">
        <f>RANK(Table3[[#This Row],[Total Score]],Table3[[Gender]:[Total Score]],0)</f>
        <v>13</v>
      </c>
      <c r="H50" s="12" t="str">
        <f>_xlfn.XLOOKUP(Table3[[#This Row],[Total Score]],I:I,J:J,,-1)</f>
        <v>B</v>
      </c>
    </row>
    <row r="51" spans="2:8" x14ac:dyDescent="0.35">
      <c r="B51" s="9" t="s">
        <v>17</v>
      </c>
      <c r="C51" s="12" t="s">
        <v>13</v>
      </c>
      <c r="D51" s="12" t="s">
        <v>11</v>
      </c>
      <c r="E51" s="12" t="s">
        <v>15</v>
      </c>
      <c r="F51" s="12">
        <v>261</v>
      </c>
      <c r="G51" s="11">
        <f>RANK(Table3[[#This Row],[Total Score]],Table3[[Gender]:[Total Score]],0)</f>
        <v>11</v>
      </c>
      <c r="H51" s="12" t="str">
        <f>_xlfn.XLOOKUP(Table3[[#This Row],[Total Score]],I:I,J:J,,-1)</f>
        <v>B</v>
      </c>
    </row>
    <row r="52" spans="2:8" x14ac:dyDescent="0.35">
      <c r="B52" s="9" t="s">
        <v>17</v>
      </c>
      <c r="C52" s="12" t="s">
        <v>13</v>
      </c>
      <c r="D52" s="12" t="s">
        <v>11</v>
      </c>
      <c r="E52" s="12" t="s">
        <v>12</v>
      </c>
      <c r="F52" s="12">
        <v>205</v>
      </c>
      <c r="G52" s="11">
        <f>RANK(Table3[[#This Row],[Total Score]],Table3[[Gender]:[Total Score]],0)</f>
        <v>38</v>
      </c>
      <c r="H52" s="12" t="str">
        <f>_xlfn.XLOOKUP(Table3[[#This Row],[Total Score]],I:I,J:J,,-1)</f>
        <v>D</v>
      </c>
    </row>
    <row r="53" spans="2:8" ht="29" x14ac:dyDescent="0.35">
      <c r="B53" s="9" t="s">
        <v>8</v>
      </c>
      <c r="C53" s="12" t="s">
        <v>24</v>
      </c>
      <c r="D53" s="12" t="s">
        <v>20</v>
      </c>
      <c r="E53" s="12" t="s">
        <v>12</v>
      </c>
      <c r="F53" s="12">
        <v>254</v>
      </c>
      <c r="G53" s="11">
        <f>RANK(Table3[[#This Row],[Total Score]],Table3[[Gender]:[Total Score]],0)</f>
        <v>17</v>
      </c>
      <c r="H53" s="12" t="str">
        <f>_xlfn.XLOOKUP(Table3[[#This Row],[Total Score]],I:I,J:J,,-1)</f>
        <v>B</v>
      </c>
    </row>
    <row r="54" spans="2:8" ht="29" x14ac:dyDescent="0.35">
      <c r="B54" s="9" t="s">
        <v>8</v>
      </c>
      <c r="C54" s="12" t="s">
        <v>18</v>
      </c>
      <c r="D54" s="12" t="s">
        <v>20</v>
      </c>
      <c r="E54" s="12" t="s">
        <v>12</v>
      </c>
      <c r="F54" s="12">
        <v>190</v>
      </c>
      <c r="G54" s="11">
        <f>RANK(Table3[[#This Row],[Total Score]],Table3[[Gender]:[Total Score]],0)</f>
        <v>44</v>
      </c>
      <c r="H54" s="12" t="str">
        <f>_xlfn.XLOOKUP(Table3[[#This Row],[Total Score]],I:I,J:J,,-1)</f>
        <v>D</v>
      </c>
    </row>
    <row r="55" spans="2:8" x14ac:dyDescent="0.35">
      <c r="B55" s="9" t="s">
        <v>17</v>
      </c>
      <c r="C55" s="12" t="s">
        <v>21</v>
      </c>
      <c r="D55" s="12" t="s">
        <v>11</v>
      </c>
      <c r="E55" s="12" t="s">
        <v>12</v>
      </c>
      <c r="F55" s="12">
        <v>258</v>
      </c>
      <c r="G55" s="11">
        <f>RANK(Table3[[#This Row],[Total Score]],Table3[[Gender]:[Total Score]],0)</f>
        <v>15</v>
      </c>
      <c r="H55" s="12" t="str">
        <f>_xlfn.XLOOKUP(Table3[[#This Row],[Total Score]],I:I,J:J,,-1)</f>
        <v>B</v>
      </c>
    </row>
    <row r="56" spans="2:8" x14ac:dyDescent="0.35">
      <c r="B56" s="9" t="s">
        <v>8</v>
      </c>
      <c r="C56" s="12" t="s">
        <v>13</v>
      </c>
      <c r="D56" s="12" t="s">
        <v>11</v>
      </c>
      <c r="E56" s="12" t="s">
        <v>12</v>
      </c>
      <c r="F56" s="12">
        <v>225</v>
      </c>
      <c r="G56" s="11">
        <f>RANK(Table3[[#This Row],[Total Score]],Table3[[Gender]:[Total Score]],0)</f>
        <v>29</v>
      </c>
      <c r="H56" s="12" t="str">
        <f>_xlfn.XLOOKUP(Table3[[#This Row],[Total Score]],I:I,J:J,,-1)</f>
        <v>C</v>
      </c>
    </row>
    <row r="57" spans="2:8" ht="29" x14ac:dyDescent="0.35">
      <c r="B57" s="9" t="s">
        <v>17</v>
      </c>
      <c r="C57" s="12" t="s">
        <v>13</v>
      </c>
      <c r="D57" s="12" t="s">
        <v>20</v>
      </c>
      <c r="E57" s="12" t="s">
        <v>15</v>
      </c>
      <c r="F57" s="12">
        <v>210</v>
      </c>
      <c r="G57" s="11">
        <f>RANK(Table3[[#This Row],[Total Score]],Table3[[Gender]:[Total Score]],0)</f>
        <v>35</v>
      </c>
      <c r="H57" s="12" t="str">
        <f>_xlfn.XLOOKUP(Table3[[#This Row],[Total Score]],I:I,J:J,,-1)</f>
        <v>C</v>
      </c>
    </row>
    <row r="58" spans="2:8" x14ac:dyDescent="0.35">
      <c r="B58" s="9" t="s">
        <v>8</v>
      </c>
      <c r="C58" s="12" t="s">
        <v>21</v>
      </c>
      <c r="D58" s="12" t="s">
        <v>11</v>
      </c>
      <c r="E58" s="12" t="s">
        <v>12</v>
      </c>
      <c r="F58" s="12">
        <v>265</v>
      </c>
      <c r="G58" s="11">
        <f>RANK(Table3[[#This Row],[Total Score]],Table3[[Gender]:[Total Score]],0)</f>
        <v>8</v>
      </c>
      <c r="H58" s="12" t="str">
        <f>_xlfn.XLOOKUP(Table3[[#This Row],[Total Score]],I:I,J:J,,-1)</f>
        <v>B</v>
      </c>
    </row>
    <row r="59" spans="2:8" x14ac:dyDescent="0.35">
      <c r="B59" s="9" t="s">
        <v>8</v>
      </c>
      <c r="C59" s="12" t="s">
        <v>21</v>
      </c>
      <c r="D59" s="12" t="s">
        <v>11</v>
      </c>
      <c r="E59" s="12" t="s">
        <v>12</v>
      </c>
      <c r="F59" s="12">
        <v>292</v>
      </c>
      <c r="G59" s="11">
        <f>RANK(Table3[[#This Row],[Total Score]],Table3[[Gender]:[Total Score]],0)</f>
        <v>2</v>
      </c>
      <c r="H59" s="12" t="str">
        <f>_xlfn.XLOOKUP(Table3[[#This Row],[Total Score]],I:I,J:J,,-1)</f>
        <v>A</v>
      </c>
    </row>
    <row r="60" spans="2:8" x14ac:dyDescent="0.35">
      <c r="B60" s="9" t="s">
        <v>8</v>
      </c>
      <c r="C60" s="12" t="s">
        <v>24</v>
      </c>
      <c r="D60" s="12" t="s">
        <v>11</v>
      </c>
      <c r="E60" s="12" t="s">
        <v>15</v>
      </c>
      <c r="F60" s="12">
        <v>282</v>
      </c>
      <c r="G60" s="11">
        <f>RANK(Table3[[#This Row],[Total Score]],Table3[[Gender]:[Total Score]],0)</f>
        <v>4</v>
      </c>
      <c r="H60" s="12" t="str">
        <f>_xlfn.XLOOKUP(Table3[[#This Row],[Total Score]],I:I,J:J,,-1)</f>
        <v>A</v>
      </c>
    </row>
    <row r="61" spans="2:8" x14ac:dyDescent="0.35">
      <c r="B61" s="9" t="s">
        <v>58</v>
      </c>
      <c r="C61" s="12"/>
      <c r="D61" s="12"/>
      <c r="E61" s="12"/>
      <c r="F61" s="12">
        <f>SUBTOTAL(109,Table3[Total Score])</f>
        <v>13027</v>
      </c>
      <c r="G61" s="11"/>
      <c r="H61" s="1">
        <f>SUBTOTAL(103,Table3[Grading])</f>
        <v>59</v>
      </c>
    </row>
  </sheetData>
  <conditionalFormatting sqref="G2:G60">
    <cfRule type="colorScale" priority="1">
      <colorScale>
        <cfvo type="min"/>
        <cfvo type="max"/>
        <color rgb="FFFFEF9C"/>
        <color rgb="FF63BE7B"/>
      </colorScale>
    </cfRule>
  </conditionalFormatting>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3585A-7C2E-4324-8AB2-4E1975C88D91}">
  <sheetPr>
    <tabColor rgb="FFFFC000"/>
  </sheetPr>
  <dimension ref="B3:P11"/>
  <sheetViews>
    <sheetView showGridLines="0" zoomScaleNormal="100" workbookViewId="0">
      <selection activeCell="B14" sqref="B14"/>
    </sheetView>
  </sheetViews>
  <sheetFormatPr defaultRowHeight="14.5" x14ac:dyDescent="0.35"/>
  <cols>
    <col min="2" max="2" width="21.54296875" customWidth="1"/>
    <col min="3" max="3" width="8.90625" bestFit="1" customWidth="1"/>
    <col min="4" max="5" width="9.36328125" bestFit="1" customWidth="1"/>
    <col min="6" max="6" width="8.90625" bestFit="1" customWidth="1"/>
    <col min="7" max="7" width="11.26953125" customWidth="1"/>
    <col min="8" max="8" width="9.1796875" bestFit="1" customWidth="1"/>
    <col min="9" max="12" width="9.36328125" bestFit="1" customWidth="1"/>
    <col min="13" max="15" width="8.90625" bestFit="1" customWidth="1"/>
    <col min="16" max="16" width="14.81640625" customWidth="1"/>
  </cols>
  <sheetData>
    <row r="3" spans="2:16" ht="21.5" thickBot="1" x14ac:dyDescent="0.55000000000000004">
      <c r="B3" s="167" t="s">
        <v>115</v>
      </c>
      <c r="C3" s="166"/>
      <c r="D3" s="166"/>
      <c r="E3" s="166"/>
      <c r="F3" s="166"/>
      <c r="G3" s="166"/>
      <c r="H3" s="166"/>
      <c r="I3" s="108"/>
      <c r="J3" s="108"/>
      <c r="K3" s="108"/>
      <c r="L3" s="108"/>
      <c r="M3" s="108"/>
      <c r="N3" s="108"/>
      <c r="O3" s="108"/>
      <c r="P3" s="6"/>
    </row>
    <row r="4" spans="2:16" ht="53.5" thickBot="1" x14ac:dyDescent="0.5">
      <c r="B4" s="117" t="s">
        <v>98</v>
      </c>
      <c r="C4" s="118" t="s">
        <v>99</v>
      </c>
      <c r="D4" s="118" t="s">
        <v>100</v>
      </c>
      <c r="E4" s="118" t="s">
        <v>101</v>
      </c>
      <c r="F4" s="118" t="s">
        <v>102</v>
      </c>
      <c r="G4" s="118" t="s">
        <v>103</v>
      </c>
      <c r="H4" s="118" t="s">
        <v>104</v>
      </c>
      <c r="I4" s="118" t="s">
        <v>105</v>
      </c>
      <c r="J4" s="118" t="s">
        <v>106</v>
      </c>
      <c r="K4" s="118" t="s">
        <v>107</v>
      </c>
      <c r="L4" s="118" t="s">
        <v>108</v>
      </c>
      <c r="M4" s="118" t="s">
        <v>109</v>
      </c>
      <c r="N4" s="118" t="s">
        <v>110</v>
      </c>
      <c r="O4" s="118" t="s">
        <v>111</v>
      </c>
      <c r="P4" s="165"/>
    </row>
    <row r="5" spans="2:16" ht="27" thickBot="1" x14ac:dyDescent="0.5">
      <c r="B5" s="110"/>
      <c r="C5" s="116">
        <v>1000</v>
      </c>
      <c r="D5" s="116">
        <v>203312</v>
      </c>
      <c r="E5" s="116">
        <v>203312</v>
      </c>
      <c r="F5" s="116"/>
      <c r="G5" s="116">
        <v>203312</v>
      </c>
      <c r="H5" s="116">
        <v>203312</v>
      </c>
      <c r="I5" s="116">
        <v>203312</v>
      </c>
      <c r="J5" s="116">
        <v>203312</v>
      </c>
      <c r="K5" s="116">
        <v>203312</v>
      </c>
      <c r="L5" s="116">
        <v>203312</v>
      </c>
      <c r="M5" s="111"/>
      <c r="N5" s="111"/>
      <c r="O5" s="112"/>
      <c r="P5" s="113"/>
    </row>
    <row r="6" spans="2:16" ht="23" customHeight="1" x14ac:dyDescent="0.45">
      <c r="B6" s="114" t="s">
        <v>19</v>
      </c>
      <c r="C6" s="73">
        <v>222</v>
      </c>
      <c r="D6" s="73">
        <v>208.71</v>
      </c>
      <c r="E6" s="73">
        <v>209</v>
      </c>
      <c r="F6" s="73">
        <v>41.01</v>
      </c>
      <c r="G6" s="73">
        <v>95</v>
      </c>
      <c r="H6" s="73">
        <v>300</v>
      </c>
      <c r="I6" s="73">
        <v>214</v>
      </c>
      <c r="J6" s="73">
        <v>176</v>
      </c>
      <c r="K6" s="73">
        <v>209</v>
      </c>
      <c r="L6" s="73">
        <v>237</v>
      </c>
      <c r="M6" s="73">
        <v>176</v>
      </c>
      <c r="N6" s="73">
        <v>209</v>
      </c>
      <c r="O6" s="73">
        <v>237.25</v>
      </c>
      <c r="P6" s="109"/>
    </row>
    <row r="7" spans="2:16" ht="26.5" x14ac:dyDescent="0.45">
      <c r="B7" s="115" t="s">
        <v>10</v>
      </c>
      <c r="C7" s="72">
        <v>118</v>
      </c>
      <c r="D7" s="72">
        <v>215.77</v>
      </c>
      <c r="E7" s="72">
        <v>213.5</v>
      </c>
      <c r="F7" s="72">
        <v>41.84</v>
      </c>
      <c r="G7" s="72">
        <v>117</v>
      </c>
      <c r="H7" s="72">
        <v>300</v>
      </c>
      <c r="I7" s="72">
        <v>225</v>
      </c>
      <c r="J7" s="72">
        <v>192.25</v>
      </c>
      <c r="K7" s="72">
        <v>213.5</v>
      </c>
      <c r="L7" s="72">
        <v>242</v>
      </c>
      <c r="M7" s="72">
        <v>191</v>
      </c>
      <c r="N7" s="72">
        <v>213.5</v>
      </c>
      <c r="O7" s="72">
        <v>243</v>
      </c>
      <c r="P7" s="74"/>
    </row>
    <row r="8" spans="2:16" ht="26.5" x14ac:dyDescent="0.45">
      <c r="B8" s="115" t="s">
        <v>22</v>
      </c>
      <c r="C8" s="72">
        <v>196</v>
      </c>
      <c r="D8" s="72">
        <v>189.29</v>
      </c>
      <c r="E8" s="72">
        <v>195</v>
      </c>
      <c r="F8" s="72">
        <v>40.53</v>
      </c>
      <c r="G8" s="72">
        <v>55</v>
      </c>
      <c r="H8" s="72">
        <v>287</v>
      </c>
      <c r="I8" s="72">
        <v>158</v>
      </c>
      <c r="J8" s="72">
        <v>161.75</v>
      </c>
      <c r="K8" s="72">
        <v>195</v>
      </c>
      <c r="L8" s="72">
        <v>218</v>
      </c>
      <c r="M8" s="72">
        <v>161.25</v>
      </c>
      <c r="N8" s="72">
        <v>195</v>
      </c>
      <c r="O8" s="73">
        <v>218</v>
      </c>
      <c r="P8" s="74"/>
    </row>
    <row r="9" spans="2:16" ht="26.5" x14ac:dyDescent="0.45">
      <c r="B9" s="115" t="s">
        <v>16</v>
      </c>
      <c r="C9" s="72">
        <v>59</v>
      </c>
      <c r="D9" s="72">
        <v>220.8</v>
      </c>
      <c r="E9" s="72">
        <v>220</v>
      </c>
      <c r="F9" s="72">
        <v>40.799999999999997</v>
      </c>
      <c r="G9" s="72">
        <v>134</v>
      </c>
      <c r="H9" s="72">
        <v>293</v>
      </c>
      <c r="I9" s="72">
        <v>193</v>
      </c>
      <c r="J9" s="72">
        <v>189.5</v>
      </c>
      <c r="K9" s="72">
        <v>220</v>
      </c>
      <c r="L9" s="72">
        <v>256.5</v>
      </c>
      <c r="M9" s="72">
        <v>189</v>
      </c>
      <c r="N9" s="72">
        <v>220</v>
      </c>
      <c r="O9" s="72">
        <v>258</v>
      </c>
      <c r="P9" s="74"/>
    </row>
    <row r="10" spans="2:16" ht="26.5" x14ac:dyDescent="0.45">
      <c r="B10" s="115" t="s">
        <v>14</v>
      </c>
      <c r="C10" s="72">
        <v>226</v>
      </c>
      <c r="D10" s="72">
        <v>205.43</v>
      </c>
      <c r="E10" s="72">
        <v>206</v>
      </c>
      <c r="F10" s="72">
        <v>41.13</v>
      </c>
      <c r="G10" s="72">
        <v>70</v>
      </c>
      <c r="H10" s="72">
        <v>297</v>
      </c>
      <c r="I10" s="72">
        <v>223</v>
      </c>
      <c r="J10" s="72">
        <v>180</v>
      </c>
      <c r="K10" s="72">
        <v>206</v>
      </c>
      <c r="L10" s="72">
        <v>234</v>
      </c>
      <c r="M10" s="72">
        <v>180</v>
      </c>
      <c r="N10" s="72">
        <v>206</v>
      </c>
      <c r="O10" s="72">
        <v>234.25</v>
      </c>
      <c r="P10" s="74"/>
    </row>
    <row r="11" spans="2:16" ht="26.5" x14ac:dyDescent="0.45">
      <c r="B11" s="115" t="s">
        <v>23</v>
      </c>
      <c r="C11" s="72">
        <v>179</v>
      </c>
      <c r="D11" s="72">
        <v>195.32</v>
      </c>
      <c r="E11" s="72">
        <v>200</v>
      </c>
      <c r="F11" s="72">
        <v>44.95</v>
      </c>
      <c r="G11" s="72">
        <v>27</v>
      </c>
      <c r="H11" s="72">
        <v>297</v>
      </c>
      <c r="I11" s="72">
        <v>173</v>
      </c>
      <c r="J11" s="72">
        <v>167</v>
      </c>
      <c r="K11" s="72">
        <v>200</v>
      </c>
      <c r="L11" s="72">
        <v>229.5</v>
      </c>
      <c r="M11" s="72">
        <v>166</v>
      </c>
      <c r="N11" s="72">
        <v>200</v>
      </c>
      <c r="O11" s="72">
        <v>230</v>
      </c>
      <c r="P11" s="74"/>
    </row>
  </sheetData>
  <conditionalFormatting sqref="C6:O11">
    <cfRule type="colorScale" priority="1">
      <colorScale>
        <cfvo type="min"/>
        <cfvo type="percentile" val="50"/>
        <cfvo type="max"/>
        <color rgb="FF5A8AC6"/>
        <color rgb="FFFCFCFF"/>
        <color rgb="FFF8696B"/>
      </colorScale>
    </cfRule>
  </conditionalFormatting>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low="1" first="1" last="1" xr2:uid="{A44CE1A7-D8DF-41D2-A635-AFF23BB8C293}">
          <x14:colorSeries rgb="FF00B0F0"/>
          <x14:colorNegative rgb="FFD00000"/>
          <x14:colorAxis rgb="FF000000"/>
          <x14:colorMarkers rgb="FFD00000"/>
          <x14:colorFirst theme="9" tint="0.39997558519241921"/>
          <x14:colorLast rgb="FFD00000"/>
          <x14:colorHigh rgb="FFD00000"/>
          <x14:colorLow rgb="FFFFC000"/>
          <x14:sparklines>
            <x14:sparkline>
              <xm:f>'Score Distribution Stats'!C11:O11</xm:f>
              <xm:sqref>P11</xm:sqref>
            </x14:sparkline>
          </x14:sparklines>
        </x14:sparklineGroup>
        <x14:sparklineGroup displayEmptyCellsAs="gap" low="1" first="1" last="1" xr2:uid="{687E832B-184C-4D63-81B9-9E75DBF71517}">
          <x14:colorSeries rgb="FFFF0000"/>
          <x14:colorNegative rgb="FFD00000"/>
          <x14:colorAxis rgb="FF000000"/>
          <x14:colorMarkers rgb="FFD00000"/>
          <x14:colorFirst rgb="FFD00000"/>
          <x14:colorLast rgb="FFD00000"/>
          <x14:colorHigh rgb="FFD00000"/>
          <x14:colorLow rgb="FFD00000"/>
          <x14:sparklines>
            <x14:sparkline>
              <xm:f>'Score Distribution Stats'!C10:O10</xm:f>
              <xm:sqref>P10</xm:sqref>
            </x14:sparkline>
          </x14:sparklines>
        </x14:sparklineGroup>
        <x14:sparklineGroup displayEmptyCellsAs="gap" high="1" low="1" first="1" last="1" xr2:uid="{61F13156-BDDF-4938-8E4D-C6FC304B9D4B}">
          <x14:colorSeries rgb="FF376092"/>
          <x14:colorNegative rgb="FFD00000"/>
          <x14:colorAxis rgb="FF000000"/>
          <x14:colorMarkers rgb="FFD00000"/>
          <x14:colorFirst rgb="FFD00000"/>
          <x14:colorLast rgb="FFD00000"/>
          <x14:colorHigh rgb="FFD00000"/>
          <x14:colorLow rgb="FFD00000"/>
          <x14:sparklines>
            <x14:sparkline>
              <xm:f>'Score Distribution Stats'!C9:O9</xm:f>
              <xm:sqref>P9</xm:sqref>
            </x14:sparkline>
          </x14:sparklines>
        </x14:sparklineGroup>
        <x14:sparklineGroup displayEmptyCellsAs="gap" markers="1" high="1" low="1" first="1" last="1" negative="1" xr2:uid="{890219C4-2C5B-4C4E-98BD-A05B42DCA603}">
          <x14:colorSeries theme="3"/>
          <x14:colorNegative theme="4"/>
          <x14:colorAxis rgb="FF000000"/>
          <x14:colorMarkers theme="9"/>
          <x14:colorFirst theme="5"/>
          <x14:colorLast theme="6"/>
          <x14:colorHigh theme="7"/>
          <x14:colorLow theme="8"/>
          <x14:sparklines>
            <x14:sparkline>
              <xm:f>'Score Distribution Stats'!C8:O8</xm:f>
              <xm:sqref>P8</xm:sqref>
            </x14:sparkline>
          </x14:sparklines>
        </x14:sparklineGroup>
        <x14:sparklineGroup displayEmptyCellsAs="gap" high="1" low="1" first="1" last="1" xr2:uid="{F2683B33-D19A-4853-A987-139744F481AC}">
          <x14:colorSeries rgb="FF00B050"/>
          <x14:colorNegative rgb="FFD00000"/>
          <x14:colorAxis rgb="FF000000"/>
          <x14:colorMarkers rgb="FFD00000"/>
          <x14:colorFirst theme="5"/>
          <x14:colorLast theme="8" tint="0.39997558519241921"/>
          <x14:colorHigh rgb="FFD00000"/>
          <x14:colorLow rgb="FFD00000"/>
          <x14:sparklines>
            <x14:sparkline>
              <xm:f>'Score Distribution Stats'!C7:O7</xm:f>
              <xm:sqref>P7</xm:sqref>
            </x14:sparkline>
          </x14:sparklines>
        </x14:sparklineGroup>
        <x14:sparklineGroup displayEmptyCellsAs="gap" high="1" low="1" first="1" last="1" xr2:uid="{F2BAB5D8-386F-4690-9361-4F88086FD1D0}">
          <x14:colorSeries theme="8" tint="0.39997558519241921"/>
          <x14:colorNegative theme="0" tint="-0.499984740745262"/>
          <x14:colorAxis rgb="FF000000"/>
          <x14:colorMarkers theme="8" tint="0.79998168889431442"/>
          <x14:colorFirst rgb="FFFF0000"/>
          <x14:colorLast theme="8" tint="-0.249977111117893"/>
          <x14:colorHigh theme="8" tint="-0.499984740745262"/>
          <x14:colorLow rgb="FF00B050"/>
          <x14:sparklines>
            <x14:sparkline>
              <xm:f>'Score Distribution Stats'!C6:O6</xm:f>
              <xm:sqref>P6</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CFB35-FF44-47FB-AB0B-44AB87E75703}">
  <sheetPr>
    <tabColor rgb="FF0070C0"/>
  </sheetPr>
  <dimension ref="A2:D7"/>
  <sheetViews>
    <sheetView showGridLines="0" workbookViewId="0">
      <selection activeCell="J3" sqref="J3"/>
    </sheetView>
  </sheetViews>
  <sheetFormatPr defaultRowHeight="14.5" x14ac:dyDescent="0.35"/>
  <cols>
    <col min="1" max="1" width="9" customWidth="1"/>
    <col min="2" max="2" width="21" customWidth="1"/>
    <col min="3" max="4" width="18" customWidth="1"/>
    <col min="7" max="7" width="13.90625" customWidth="1"/>
    <col min="8" max="8" width="29.7265625" customWidth="1"/>
    <col min="9" max="9" width="17.36328125" customWidth="1"/>
    <col min="10" max="10" width="26.90625" customWidth="1"/>
    <col min="11" max="11" width="10.81640625" customWidth="1"/>
  </cols>
  <sheetData>
    <row r="2" spans="1:4" ht="22" x14ac:dyDescent="0.35">
      <c r="A2" s="171" t="s">
        <v>116</v>
      </c>
      <c r="B2" s="171" t="s">
        <v>66</v>
      </c>
      <c r="C2" s="171" t="s">
        <v>117</v>
      </c>
      <c r="D2" s="172" t="s">
        <v>118</v>
      </c>
    </row>
    <row r="3" spans="1:4" ht="22" x14ac:dyDescent="0.35">
      <c r="A3" s="168" t="s">
        <v>18</v>
      </c>
      <c r="B3" s="168" t="s">
        <v>16</v>
      </c>
      <c r="C3" s="28">
        <v>0</v>
      </c>
      <c r="D3" s="28">
        <v>0.3</v>
      </c>
    </row>
    <row r="4" spans="1:4" ht="22" x14ac:dyDescent="0.35">
      <c r="A4" s="168" t="s">
        <v>9</v>
      </c>
      <c r="B4" s="168" t="s">
        <v>16</v>
      </c>
      <c r="C4" s="28">
        <v>0</v>
      </c>
      <c r="D4" s="28">
        <v>0.9</v>
      </c>
    </row>
    <row r="5" spans="1:4" ht="22" x14ac:dyDescent="0.35">
      <c r="A5" s="168" t="s">
        <v>13</v>
      </c>
      <c r="B5" s="168" t="s">
        <v>16</v>
      </c>
      <c r="C5" s="28">
        <v>0</v>
      </c>
      <c r="D5" s="28">
        <v>0.7</v>
      </c>
    </row>
    <row r="6" spans="1:4" ht="22" x14ac:dyDescent="0.35">
      <c r="A6" s="168" t="s">
        <v>21</v>
      </c>
      <c r="B6" s="168" t="s">
        <v>16</v>
      </c>
      <c r="C6" s="28">
        <v>0</v>
      </c>
      <c r="D6" s="169"/>
    </row>
    <row r="7" spans="1:4" ht="22.5" thickBot="1" x14ac:dyDescent="0.4">
      <c r="A7" s="168" t="s">
        <v>24</v>
      </c>
      <c r="B7" s="168" t="s">
        <v>16</v>
      </c>
      <c r="C7" s="28">
        <v>0</v>
      </c>
      <c r="D7" s="170"/>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1149C-250E-4443-AA2A-AF7F51AE07B1}">
  <sheetPr>
    <tabColor rgb="FF002060"/>
  </sheetPr>
  <dimension ref="A1:D8"/>
  <sheetViews>
    <sheetView showGridLines="0" workbookViewId="0">
      <selection activeCell="A12" sqref="A12:B12"/>
    </sheetView>
  </sheetViews>
  <sheetFormatPr defaultRowHeight="14.5" x14ac:dyDescent="0.35"/>
  <cols>
    <col min="1" max="1" width="23.08984375" customWidth="1"/>
    <col min="2" max="2" width="18.453125" customWidth="1"/>
    <col min="3" max="3" width="11.26953125" customWidth="1"/>
  </cols>
  <sheetData>
    <row r="1" spans="1:4" ht="20.5" x14ac:dyDescent="0.35">
      <c r="A1" s="180" t="s">
        <v>66</v>
      </c>
      <c r="B1" s="177" t="s">
        <v>67</v>
      </c>
      <c r="C1" s="176" t="s">
        <v>68</v>
      </c>
    </row>
    <row r="2" spans="1:4" ht="20.5" x14ac:dyDescent="0.35">
      <c r="A2" s="181" t="s">
        <v>23</v>
      </c>
      <c r="B2" s="178">
        <v>0.50800000000000001</v>
      </c>
      <c r="C2" s="174">
        <v>0.49199999999999999</v>
      </c>
      <c r="D2" s="173"/>
    </row>
    <row r="3" spans="1:4" ht="20.5" x14ac:dyDescent="0.35">
      <c r="A3" s="181" t="s">
        <v>22</v>
      </c>
      <c r="B3" s="178">
        <v>0.48</v>
      </c>
      <c r="C3" s="174">
        <v>0.52</v>
      </c>
      <c r="D3" s="173"/>
    </row>
    <row r="4" spans="1:4" ht="20.5" x14ac:dyDescent="0.35">
      <c r="A4" s="181" t="s">
        <v>14</v>
      </c>
      <c r="B4" s="178">
        <v>0.52200000000000002</v>
      </c>
      <c r="C4" s="174">
        <v>0.47799999999999998</v>
      </c>
      <c r="D4" s="173"/>
    </row>
    <row r="5" spans="1:4" ht="20.5" x14ac:dyDescent="0.35">
      <c r="A5" s="181" t="s">
        <v>19</v>
      </c>
      <c r="B5" s="178">
        <v>0.52300000000000002</v>
      </c>
      <c r="C5" s="174">
        <v>0.47699999999999998</v>
      </c>
      <c r="D5" s="173"/>
    </row>
    <row r="6" spans="1:4" ht="20.5" x14ac:dyDescent="0.35">
      <c r="A6" s="181" t="s">
        <v>10</v>
      </c>
      <c r="B6" s="178">
        <v>0.53400000000000003</v>
      </c>
      <c r="C6" s="174">
        <v>0.46600000000000003</v>
      </c>
      <c r="D6" s="173"/>
    </row>
    <row r="7" spans="1:4" ht="21" thickBot="1" x14ac:dyDescent="0.4">
      <c r="A7" s="182" t="s">
        <v>16</v>
      </c>
      <c r="B7" s="179">
        <v>0.61</v>
      </c>
      <c r="C7" s="175">
        <v>0.39</v>
      </c>
      <c r="D7" s="173"/>
    </row>
    <row r="8" spans="1:4" ht="20.5" x14ac:dyDescent="0.35">
      <c r="A8" s="37"/>
      <c r="B8" s="37"/>
      <c r="C8" s="37"/>
    </row>
  </sheetData>
  <conditionalFormatting sqref="C2:C7">
    <cfRule type="iconSet" priority="3">
      <iconSet>
        <cfvo type="percent" val="0"/>
        <cfvo type="percent" val="33"/>
        <cfvo type="percent" val="67"/>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71ECBB8F-02C6-49D8-AF74-F9FAFE413F81}">
            <x14:iconSet iconSet="3Stars">
              <x14:cfvo type="percent">
                <xm:f>0</xm:f>
              </x14:cfvo>
              <x14:cfvo type="percent">
                <xm:f>33</xm:f>
              </x14:cfvo>
              <x14:cfvo type="percent">
                <xm:f>67</xm:f>
              </x14:cfvo>
            </x14:iconSet>
          </x14:cfRule>
          <xm:sqref>B2:B7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B4007-8BD3-4906-8027-C65292AFD5CB}">
  <sheetPr>
    <tabColor rgb="FFFF0000"/>
  </sheetPr>
  <dimension ref="A21:N29"/>
  <sheetViews>
    <sheetView showGridLines="0" zoomScale="74" zoomScaleNormal="74" workbookViewId="0">
      <selection activeCell="A19" sqref="A19"/>
    </sheetView>
  </sheetViews>
  <sheetFormatPr defaultRowHeight="14.5" x14ac:dyDescent="0.35"/>
  <cols>
    <col min="1" max="1" width="28.1796875" customWidth="1"/>
    <col min="2" max="2" width="25.36328125" customWidth="1"/>
    <col min="3" max="3" width="12.1796875" customWidth="1"/>
    <col min="4" max="4" width="19.1796875" customWidth="1"/>
    <col min="5" max="5" width="21" customWidth="1"/>
    <col min="6" max="6" width="15.54296875" customWidth="1"/>
    <col min="7" max="7" width="13.36328125" customWidth="1"/>
    <col min="8" max="8" width="16.36328125" customWidth="1"/>
    <col min="9" max="9" width="24.54296875" customWidth="1"/>
    <col min="10" max="10" width="23.54296875" customWidth="1"/>
    <col min="11" max="11" width="20.54296875" customWidth="1"/>
    <col min="12" max="12" width="17.54296875" customWidth="1"/>
    <col min="13" max="13" width="14.7265625" customWidth="1"/>
    <col min="14" max="14" width="22.26953125" customWidth="1"/>
  </cols>
  <sheetData>
    <row r="21" spans="1:14" ht="35" customHeight="1" x14ac:dyDescent="0.35"/>
    <row r="22" spans="1:14" ht="50" customHeight="1" thickBot="1" x14ac:dyDescent="1.1000000000000001">
      <c r="A22" s="165"/>
      <c r="B22" s="197"/>
      <c r="C22" s="198" t="s">
        <v>113</v>
      </c>
      <c r="D22" s="198"/>
      <c r="E22" s="199"/>
      <c r="F22" s="199"/>
      <c r="G22" s="200"/>
      <c r="H22" s="200"/>
      <c r="I22" s="201"/>
      <c r="J22" s="165"/>
      <c r="K22" s="197"/>
      <c r="L22" s="197"/>
      <c r="M22" s="165"/>
      <c r="N22" s="165"/>
    </row>
    <row r="23" spans="1:14" ht="97" customHeight="1" thickBot="1" x14ac:dyDescent="0.4">
      <c r="A23" s="202"/>
      <c r="B23" s="203" t="s">
        <v>75</v>
      </c>
      <c r="C23" s="204" t="s">
        <v>76</v>
      </c>
      <c r="D23" s="205" t="s">
        <v>77</v>
      </c>
      <c r="E23" s="205" t="s">
        <v>78</v>
      </c>
      <c r="F23" s="205" t="s">
        <v>79</v>
      </c>
      <c r="G23" s="205" t="s">
        <v>80</v>
      </c>
      <c r="H23" s="205" t="s">
        <v>81</v>
      </c>
      <c r="I23" s="203" t="s">
        <v>82</v>
      </c>
      <c r="J23" s="205" t="s">
        <v>83</v>
      </c>
      <c r="K23" s="205" t="s">
        <v>84</v>
      </c>
      <c r="L23" s="205" t="s">
        <v>85</v>
      </c>
      <c r="M23" s="206" t="s">
        <v>86</v>
      </c>
      <c r="N23" s="206" t="s">
        <v>87</v>
      </c>
    </row>
    <row r="24" spans="1:14" ht="35.5" customHeight="1" x14ac:dyDescent="0.45">
      <c r="A24" s="207" t="s">
        <v>23</v>
      </c>
      <c r="B24" s="208">
        <v>195.3</v>
      </c>
      <c r="C24" s="209">
        <v>0.83799999999999997</v>
      </c>
      <c r="D24" s="210">
        <v>0.43</v>
      </c>
      <c r="E24" s="210">
        <v>0.34100000000000003</v>
      </c>
      <c r="F24" s="208">
        <v>207.6</v>
      </c>
      <c r="G24" s="210">
        <v>0.90700000000000003</v>
      </c>
      <c r="H24" s="208">
        <v>171.7</v>
      </c>
      <c r="I24" s="210">
        <v>0.70499999999999996</v>
      </c>
      <c r="J24" s="208">
        <v>208</v>
      </c>
      <c r="K24" s="210">
        <v>0.90900000000000003</v>
      </c>
      <c r="L24" s="208">
        <v>185.7</v>
      </c>
      <c r="M24" s="210">
        <v>0.78400000000000003</v>
      </c>
      <c r="N24" s="211"/>
    </row>
    <row r="25" spans="1:14" ht="26.5" x14ac:dyDescent="0.45">
      <c r="A25" s="212" t="s">
        <v>22</v>
      </c>
      <c r="B25" s="208">
        <v>189.3</v>
      </c>
      <c r="C25" s="209">
        <v>0.83199999999999996</v>
      </c>
      <c r="D25" s="210">
        <v>0.28599999999999998</v>
      </c>
      <c r="E25" s="210">
        <v>0.35699999999999998</v>
      </c>
      <c r="F25" s="208">
        <v>198.8</v>
      </c>
      <c r="G25" s="210">
        <v>0.89700000000000002</v>
      </c>
      <c r="H25" s="208">
        <v>172.1</v>
      </c>
      <c r="I25" s="210">
        <v>0.71399999999999997</v>
      </c>
      <c r="J25" s="208">
        <v>200.9</v>
      </c>
      <c r="K25" s="210">
        <v>0.91100000000000003</v>
      </c>
      <c r="L25" s="208">
        <v>184.6</v>
      </c>
      <c r="M25" s="210">
        <v>0.8</v>
      </c>
      <c r="N25" s="211"/>
    </row>
    <row r="26" spans="1:14" ht="34.5" customHeight="1" x14ac:dyDescent="0.45">
      <c r="A26" s="212" t="s">
        <v>14</v>
      </c>
      <c r="B26" s="213">
        <v>205.4</v>
      </c>
      <c r="C26" s="214">
        <v>0.93400000000000005</v>
      </c>
      <c r="D26" s="215">
        <v>0.34100000000000003</v>
      </c>
      <c r="E26" s="215">
        <v>0.35</v>
      </c>
      <c r="F26" s="213">
        <v>214.3</v>
      </c>
      <c r="G26" s="215">
        <v>0.94599999999999995</v>
      </c>
      <c r="H26" s="213">
        <v>188.9</v>
      </c>
      <c r="I26" s="215">
        <v>0.91100000000000003</v>
      </c>
      <c r="J26" s="213">
        <v>224</v>
      </c>
      <c r="K26" s="215">
        <v>1</v>
      </c>
      <c r="L26" s="213">
        <v>195.9</v>
      </c>
      <c r="M26" s="215">
        <v>0.89900000000000002</v>
      </c>
      <c r="N26" s="211"/>
    </row>
    <row r="27" spans="1:14" ht="37.5" customHeight="1" x14ac:dyDescent="0.45">
      <c r="A27" s="212" t="s">
        <v>19</v>
      </c>
      <c r="B27" s="213">
        <v>208.7</v>
      </c>
      <c r="C27" s="214">
        <v>0.92300000000000004</v>
      </c>
      <c r="D27" s="215">
        <v>0.36899999999999999</v>
      </c>
      <c r="E27" s="215">
        <v>0.34699999999999998</v>
      </c>
      <c r="F27" s="213">
        <v>215.3</v>
      </c>
      <c r="G27" s="215">
        <v>0.93799999999999994</v>
      </c>
      <c r="H27" s="213">
        <v>196.3</v>
      </c>
      <c r="I27" s="215">
        <v>0.89600000000000002</v>
      </c>
      <c r="J27" s="213">
        <v>224.8</v>
      </c>
      <c r="K27" s="215">
        <v>0.96299999999999997</v>
      </c>
      <c r="L27" s="213">
        <v>199.3</v>
      </c>
      <c r="M27" s="215">
        <v>0.9</v>
      </c>
      <c r="N27" s="211"/>
    </row>
    <row r="28" spans="1:14" ht="35" customHeight="1" x14ac:dyDescent="0.45">
      <c r="A28" s="212" t="s">
        <v>10</v>
      </c>
      <c r="B28" s="216">
        <v>215.8</v>
      </c>
      <c r="C28" s="217">
        <v>0.93200000000000005</v>
      </c>
      <c r="D28" s="218">
        <v>0.39</v>
      </c>
      <c r="E28" s="218">
        <v>0.373</v>
      </c>
      <c r="F28" s="216">
        <v>224.5</v>
      </c>
      <c r="G28" s="218">
        <v>0.98599999999999999</v>
      </c>
      <c r="H28" s="216">
        <v>201.2</v>
      </c>
      <c r="I28" s="218">
        <v>0.84099999999999997</v>
      </c>
      <c r="J28" s="216">
        <v>228.7</v>
      </c>
      <c r="K28" s="218">
        <v>0.95699999999999996</v>
      </c>
      <c r="L28" s="216">
        <v>207.5</v>
      </c>
      <c r="M28" s="218">
        <v>0.91700000000000004</v>
      </c>
      <c r="N28" s="211"/>
    </row>
    <row r="29" spans="1:14" ht="43.5" customHeight="1" thickBot="1" x14ac:dyDescent="0.5">
      <c r="A29" s="219" t="s">
        <v>16</v>
      </c>
      <c r="B29" s="220">
        <v>220.8</v>
      </c>
      <c r="C29" s="221">
        <v>0.98299999999999998</v>
      </c>
      <c r="D29" s="222">
        <v>0.33900000000000002</v>
      </c>
      <c r="E29" s="222">
        <v>0.40699999999999997</v>
      </c>
      <c r="F29" s="223">
        <v>234.1</v>
      </c>
      <c r="G29" s="222">
        <v>1</v>
      </c>
      <c r="H29" s="223">
        <v>201.3</v>
      </c>
      <c r="I29" s="222">
        <v>0.95799999999999996</v>
      </c>
      <c r="J29" s="223">
        <v>229</v>
      </c>
      <c r="K29" s="222">
        <v>0.95</v>
      </c>
      <c r="L29" s="223">
        <v>216.6</v>
      </c>
      <c r="M29" s="222">
        <v>1</v>
      </c>
      <c r="N29" s="224"/>
    </row>
  </sheetData>
  <conditionalFormatting sqref="B29:M29">
    <cfRule type="colorScale" priority="2">
      <colorScale>
        <cfvo type="min"/>
        <cfvo type="percentile" val="50"/>
        <cfvo type="max"/>
        <color rgb="FF63BE7B"/>
        <color rgb="FFFFEB84"/>
        <color rgb="FFF8696B"/>
      </colorScale>
    </cfRule>
  </conditionalFormatting>
  <conditionalFormatting sqref="J23:J28">
    <cfRule type="colorScale" priority="1">
      <colorScale>
        <cfvo type="min"/>
        <cfvo type="max"/>
        <color rgb="FF63BE7B"/>
        <color rgb="FFFFEF9C"/>
      </colorScale>
    </cfRule>
  </conditionalFormatting>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high="1" low="1" last="1" xr2:uid="{8DF59ECC-8668-411F-8519-57C3D958D247}">
          <x14:colorSeries rgb="FF376092"/>
          <x14:colorNegative rgb="FFD00000"/>
          <x14:colorAxis rgb="FF000000"/>
          <x14:colorMarkers rgb="FFD00000"/>
          <x14:colorFirst rgb="FFD00000"/>
          <x14:colorLast rgb="FFD00000"/>
          <x14:colorHigh rgb="FFFF0000"/>
          <x14:colorLow rgb="FFC00000"/>
          <x14:sparklines>
            <x14:sparkline>
              <xm:f>'University Readiness KPSI'!B24:M24</xm:f>
              <xm:sqref>N24</xm:sqref>
            </x14:sparkline>
            <x14:sparkline>
              <xm:f>'University Readiness KPSI'!B25:M25</xm:f>
              <xm:sqref>N25</xm:sqref>
            </x14:sparkline>
            <x14:sparkline>
              <xm:f>'University Readiness KPSI'!B26:M26</xm:f>
              <xm:sqref>N26</xm:sqref>
            </x14:sparkline>
            <x14:sparkline>
              <xm:f>'University Readiness KPSI'!B27:M27</xm:f>
              <xm:sqref>N27</xm:sqref>
            </x14:sparkline>
            <x14:sparkline>
              <xm:f>'University Readiness KPSI'!B28:M28</xm:f>
              <xm:sqref>N28</xm:sqref>
            </x14:sparkline>
            <x14:sparkline>
              <xm:f>'University Readiness KPSI'!B29:M29</xm:f>
              <xm:sqref>N29</xm:sqref>
            </x14:sparkline>
          </x14:sparklines>
        </x14:sparklineGroup>
      </x14:sparklineGroup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13C8E-3741-45DC-953A-6F0EF9B06ADD}">
  <sheetPr>
    <tabColor theme="9" tint="0.59999389629810485"/>
  </sheetPr>
  <dimension ref="B3:J12"/>
  <sheetViews>
    <sheetView showGridLines="0" zoomScale="86" zoomScaleNormal="86" workbookViewId="0">
      <selection activeCell="D13" sqref="D13"/>
    </sheetView>
  </sheetViews>
  <sheetFormatPr defaultRowHeight="14.5" x14ac:dyDescent="0.35"/>
  <cols>
    <col min="2" max="2" width="18.90625" customWidth="1"/>
    <col min="3" max="3" width="15.26953125" customWidth="1"/>
    <col min="4" max="4" width="20.36328125" customWidth="1"/>
    <col min="5" max="5" width="24.54296875" customWidth="1"/>
    <col min="6" max="6" width="28" customWidth="1"/>
    <col min="7" max="7" width="29.81640625" customWidth="1"/>
    <col min="8" max="8" width="23.1796875" customWidth="1"/>
    <col min="9" max="9" width="16.1796875" customWidth="1"/>
    <col min="10" max="10" width="18.36328125" customWidth="1"/>
    <col min="11" max="11" width="17.26953125" customWidth="1"/>
    <col min="12" max="12" width="20.1796875" customWidth="1"/>
    <col min="13" max="13" width="14.81640625" customWidth="1"/>
    <col min="14" max="14" width="16.81640625" customWidth="1"/>
    <col min="15" max="15" width="18.08984375" customWidth="1"/>
    <col min="16" max="16" width="17.453125" customWidth="1"/>
  </cols>
  <sheetData>
    <row r="3" spans="2:10" ht="30" thickBot="1" x14ac:dyDescent="1.2">
      <c r="B3" s="195"/>
      <c r="C3" s="195"/>
      <c r="D3" s="195"/>
      <c r="E3" s="225" t="s">
        <v>114</v>
      </c>
      <c r="F3" s="226"/>
      <c r="G3" s="226"/>
      <c r="H3" s="226"/>
      <c r="I3" s="166"/>
      <c r="J3" s="195"/>
    </row>
    <row r="4" spans="2:10" ht="22" customHeight="1" thickBot="1" x14ac:dyDescent="0.4">
      <c r="B4" s="196"/>
      <c r="C4" s="227" t="s">
        <v>67</v>
      </c>
      <c r="D4" s="228" t="s">
        <v>68</v>
      </c>
      <c r="E4" s="228" t="s">
        <v>69</v>
      </c>
      <c r="F4" s="228" t="s">
        <v>70</v>
      </c>
      <c r="G4" s="228" t="s">
        <v>71</v>
      </c>
      <c r="H4" s="228" t="s">
        <v>72</v>
      </c>
      <c r="I4" s="228" t="s">
        <v>73</v>
      </c>
      <c r="J4" s="229" t="s">
        <v>74</v>
      </c>
    </row>
    <row r="5" spans="2:10" ht="29.5" x14ac:dyDescent="1.1499999999999999">
      <c r="B5" s="230" t="s">
        <v>23</v>
      </c>
      <c r="C5" s="231">
        <v>0.50800000000000001</v>
      </c>
      <c r="D5" s="232">
        <v>0.49199999999999999</v>
      </c>
      <c r="E5" s="232">
        <v>0.13400000000000001</v>
      </c>
      <c r="F5" s="232">
        <v>0.21199999999999999</v>
      </c>
      <c r="G5" s="232">
        <v>0.27400000000000002</v>
      </c>
      <c r="H5" s="233">
        <v>0.27900000000000003</v>
      </c>
      <c r="I5" s="232">
        <v>0.10100000000000001</v>
      </c>
      <c r="J5" s="234"/>
    </row>
    <row r="6" spans="2:10" ht="29.5" x14ac:dyDescent="1.1499999999999999">
      <c r="B6" s="235" t="s">
        <v>22</v>
      </c>
      <c r="C6" s="236">
        <v>0.48</v>
      </c>
      <c r="D6" s="237">
        <v>0.52</v>
      </c>
      <c r="E6" s="238">
        <v>9.1999999999999998E-2</v>
      </c>
      <c r="F6" s="238">
        <v>0.245</v>
      </c>
      <c r="G6" s="238">
        <v>0.32700000000000001</v>
      </c>
      <c r="H6" s="233">
        <v>0.224</v>
      </c>
      <c r="I6" s="239">
        <v>0.112</v>
      </c>
      <c r="J6" s="234"/>
    </row>
    <row r="7" spans="2:10" ht="29.5" x14ac:dyDescent="1.1499999999999999">
      <c r="B7" s="235" t="s">
        <v>14</v>
      </c>
      <c r="C7" s="240">
        <v>0.52200000000000002</v>
      </c>
      <c r="D7" s="237">
        <v>0.47799999999999998</v>
      </c>
      <c r="E7" s="237">
        <v>0.08</v>
      </c>
      <c r="F7" s="237">
        <v>0.16400000000000001</v>
      </c>
      <c r="G7" s="237">
        <v>0.30499999999999999</v>
      </c>
      <c r="H7" s="233">
        <v>0.29599999999999999</v>
      </c>
      <c r="I7" s="237">
        <v>0.155</v>
      </c>
      <c r="J7" s="241"/>
    </row>
    <row r="8" spans="2:10" ht="29.5" x14ac:dyDescent="1.1499999999999999">
      <c r="B8" s="235" t="s">
        <v>19</v>
      </c>
      <c r="C8" s="240">
        <v>0.52300000000000002</v>
      </c>
      <c r="D8" s="237">
        <v>0.47699999999999998</v>
      </c>
      <c r="E8" s="237">
        <v>6.3E-2</v>
      </c>
      <c r="F8" s="237">
        <v>0.185</v>
      </c>
      <c r="G8" s="237">
        <v>0.35099999999999998</v>
      </c>
      <c r="H8" s="233">
        <v>0.22500000000000001</v>
      </c>
      <c r="I8" s="237">
        <v>0.17599999999999999</v>
      </c>
      <c r="J8" s="234"/>
    </row>
    <row r="9" spans="2:10" ht="29.5" x14ac:dyDescent="1.1499999999999999">
      <c r="B9" s="235" t="s">
        <v>10</v>
      </c>
      <c r="C9" s="236">
        <v>0.53400000000000003</v>
      </c>
      <c r="D9" s="237">
        <v>0.46600000000000003</v>
      </c>
      <c r="E9" s="239">
        <v>0.10199999999999999</v>
      </c>
      <c r="F9" s="239">
        <v>0.16900000000000001</v>
      </c>
      <c r="G9" s="239">
        <v>0.33900000000000002</v>
      </c>
      <c r="H9" s="239">
        <v>0.23699999999999999</v>
      </c>
      <c r="I9" s="239">
        <v>0.153</v>
      </c>
      <c r="J9" s="234"/>
    </row>
    <row r="10" spans="2:10" ht="30" thickBot="1" x14ac:dyDescent="1.2">
      <c r="B10" s="242" t="s">
        <v>16</v>
      </c>
      <c r="C10" s="236">
        <v>0.61</v>
      </c>
      <c r="D10" s="237">
        <v>0.39</v>
      </c>
      <c r="E10" s="239">
        <v>5.0999999999999997E-2</v>
      </c>
      <c r="F10" s="239">
        <v>0.10199999999999999</v>
      </c>
      <c r="G10" s="239">
        <v>0.32200000000000001</v>
      </c>
      <c r="H10" s="239">
        <v>0.39</v>
      </c>
      <c r="I10" s="239">
        <v>0.13600000000000001</v>
      </c>
      <c r="J10" s="241"/>
    </row>
    <row r="11" spans="2:10" ht="30" thickBot="1" x14ac:dyDescent="0.4">
      <c r="B11" s="243" t="s">
        <v>58</v>
      </c>
      <c r="C11" s="244">
        <f>SUM(C5:C10)</f>
        <v>3.177</v>
      </c>
      <c r="D11" s="245">
        <f t="shared" ref="D11" si="0">SUM(D5:D10)</f>
        <v>2.8230000000000004</v>
      </c>
      <c r="E11" s="245">
        <f>SUM(E5:E10)</f>
        <v>0.52200000000000002</v>
      </c>
      <c r="F11" s="245">
        <f>SUM(F5:F10)</f>
        <v>1.0770000000000002</v>
      </c>
      <c r="G11" s="245">
        <f>SUM(G5:G10)</f>
        <v>1.9179999999999999</v>
      </c>
      <c r="H11" s="245">
        <f>SUM(H5:H10)</f>
        <v>1.6510000000000002</v>
      </c>
      <c r="I11" s="245">
        <f>SUM(I5:I10)</f>
        <v>0.83300000000000007</v>
      </c>
      <c r="J11" s="246"/>
    </row>
    <row r="12" spans="2:10" ht="15" thickTop="1" x14ac:dyDescent="0.35"/>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high="1" low="1" last="1" xr2:uid="{0F97C5E6-36AB-4738-BE78-DA66125BC9FC}">
          <x14:colorSeries rgb="FFC00000"/>
          <x14:colorNegative rgb="FFD00000"/>
          <x14:colorAxis rgb="FF000000"/>
          <x14:colorMarkers rgb="FFD00000"/>
          <x14:colorFirst rgb="FFD00000"/>
          <x14:colorLast rgb="FFD00000"/>
          <x14:colorHigh rgb="FFD00000"/>
          <x14:colorLow rgb="FFD00000"/>
          <x14:sparklines>
            <x14:sparkline>
              <xm:f>'Education leve %'!C11:I11</xm:f>
              <xm:sqref>J11</xm:sqref>
            </x14:sparkline>
          </x14:sparklines>
        </x14:sparklineGroup>
        <x14:sparklineGroup displayEmptyCellsAs="gap" markers="1" high="1" low="1" first="1" last="1" xr2:uid="{078B9097-2C63-4283-B6A8-F538759247E5}">
          <x14:colorSeries rgb="FF00B050"/>
          <x14:colorNegative theme="9"/>
          <x14:colorAxis rgb="FF000000"/>
          <x14:colorMarkers theme="8" tint="-0.249977111117893"/>
          <x14:colorFirst theme="8" tint="-0.249977111117893"/>
          <x14:colorLast theme="8" tint="-0.249977111117893"/>
          <x14:colorHigh theme="8" tint="-0.249977111117893"/>
          <x14:colorLow theme="8" tint="-0.249977111117893"/>
          <x14:sparklines>
            <x14:sparkline>
              <xm:f>'Education leve %'!C10:I10</xm:f>
              <xm:sqref>J10</xm:sqref>
            </x14:sparkline>
          </x14:sparklines>
        </x14:sparklineGroup>
        <x14:sparklineGroup displayEmptyCellsAs="gap" high="1" low="1" first="1" last="1" xr2:uid="{142040F5-F624-41AB-A47E-7584BB578F7C}">
          <x14:colorSeries rgb="FF376092"/>
          <x14:colorNegative rgb="FFD00000"/>
          <x14:colorAxis rgb="FF000000"/>
          <x14:colorMarkers rgb="FFD00000"/>
          <x14:colorFirst rgb="FFD00000"/>
          <x14:colorLast rgb="FFD00000"/>
          <x14:colorHigh rgb="FFD00000"/>
          <x14:colorLow theme="5"/>
          <x14:sparklines>
            <x14:sparkline>
              <xm:f>'Education leve %'!C5:I5</xm:f>
              <xm:sqref>J5</xm:sqref>
            </x14:sparkline>
          </x14:sparklines>
        </x14:sparklineGroup>
        <x14:sparklineGroup displayEmptyCellsAs="gap" low="1" first="1" last="1" xr2:uid="{E5B90981-6330-4E9A-81FC-11FB0F67F445}">
          <x14:colorSeries rgb="FFFFC000"/>
          <x14:colorNegative rgb="FFD00000"/>
          <x14:colorAxis rgb="FF000000"/>
          <x14:colorMarkers rgb="FFD00000"/>
          <x14:colorFirst rgb="FFD00000"/>
          <x14:colorLast rgb="FFD00000"/>
          <x14:colorHigh rgb="FFD00000"/>
          <x14:colorLow rgb="FFD00000"/>
          <x14:sparklines>
            <x14:sparkline>
              <xm:f>'Education leve %'!C6:I6</xm:f>
              <xm:sqref>J6</xm:sqref>
            </x14:sparkline>
          </x14:sparklines>
        </x14:sparklineGroup>
        <x14:sparklineGroup displayEmptyCellsAs="gap" markers="1" xr2:uid="{891A5DEF-DD8A-4026-9EBC-08239E387A85}">
          <x14:colorSeries rgb="FF376092"/>
          <x14:colorNegative rgb="FFD00000"/>
          <x14:colorAxis rgb="FF000000"/>
          <x14:colorMarkers rgb="FF00B050"/>
          <x14:colorFirst rgb="FFD00000"/>
          <x14:colorLast rgb="FFD00000"/>
          <x14:colorHigh rgb="FFD00000"/>
          <x14:colorLow rgb="FFD00000"/>
          <x14:sparklines>
            <x14:sparkline>
              <xm:f>'Education leve %'!C8:I8</xm:f>
              <xm:sqref>J8</xm:sqref>
            </x14:sparkline>
          </x14:sparklines>
        </x14:sparklineGroup>
        <x14:sparklineGroup displayEmptyCellsAs="gap" xr2:uid="{9B60E641-31CA-44EB-A33F-A807B8C9204F}">
          <x14:colorSeries rgb="FF376092"/>
          <x14:colorNegative rgb="FFD00000"/>
          <x14:colorAxis rgb="FF000000"/>
          <x14:colorMarkers rgb="FFD00000"/>
          <x14:colorFirst rgb="FFD00000"/>
          <x14:colorLast rgb="FFD00000"/>
          <x14:colorHigh rgb="FFD00000"/>
          <x14:colorLow rgb="FFD00000"/>
          <x14:sparklines>
            <x14:sparkline>
              <xm:f>'Education leve %'!C9:I9</xm:f>
              <xm:sqref>J9</xm:sqref>
            </x14:sparkline>
          </x14:sparklines>
        </x14:sparklineGroup>
        <x14:sparklineGroup displayEmptyCellsAs="gap" low="1" first="1" last="1" xr2:uid="{BA75E717-3944-4190-95E8-D7F6B336EA0C}">
          <x14:colorSeries theme="8" tint="0.39997558519241921"/>
          <x14:colorNegative theme="0" tint="-0.499984740745262"/>
          <x14:colorAxis rgb="FF000000"/>
          <x14:colorMarkers theme="8" tint="0.79998168889431442"/>
          <x14:colorFirst theme="8" tint="-0.249977111117893"/>
          <x14:colorLast theme="8" tint="-0.249977111117893"/>
          <x14:colorHigh theme="8" tint="-0.499984740745262"/>
          <x14:colorLow theme="8" tint="-0.499984740745262"/>
          <x14:sparklines>
            <x14:sparkline>
              <xm:f>'Education leve %'!C7:I7</xm:f>
              <xm:sqref>J7</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StudentsPerformance CSV</vt:lpstr>
      <vt:lpstr>Some High School Level</vt:lpstr>
      <vt:lpstr>Some Collage</vt:lpstr>
      <vt:lpstr>Associate's Degree</vt:lpstr>
      <vt:lpstr>Bacholer's Degree</vt:lpstr>
      <vt:lpstr>High School Level</vt:lpstr>
      <vt:lpstr>Master's Degree</vt:lpstr>
      <vt:lpstr>Score Distribution Stats</vt:lpstr>
      <vt:lpstr>PassGrading</vt:lpstr>
      <vt:lpstr>Students in that Level</vt:lpstr>
      <vt:lpstr>University Readiness KPSI</vt:lpstr>
      <vt:lpstr>Education leve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watsala innocent</cp:lastModifiedBy>
  <cp:lastPrinted>2025-12-01T04:30:19Z</cp:lastPrinted>
  <dcterms:created xsi:type="dcterms:W3CDTF">2025-11-14T01:29:39Z</dcterms:created>
  <dcterms:modified xsi:type="dcterms:W3CDTF">2025-12-08T10:55:14Z</dcterms:modified>
</cp:coreProperties>
</file>